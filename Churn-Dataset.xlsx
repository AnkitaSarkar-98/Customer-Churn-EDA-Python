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ta Dictionary" sheetId="2" r:id="rId5"/>
    <sheet state="visible" name="Functions" sheetId="3" r:id="rId6"/>
    <sheet state="visible" name="Logical" sheetId="4" r:id="rId7"/>
    <sheet state="visible" name="Sample" sheetId="5" r:id="rId8"/>
  </sheets>
  <definedNames/>
  <calcPr/>
  <extLst>
    <ext uri="GoogleSheetsCustomDataVersion2">
      <go:sheetsCustomData xmlns:go="http://customooxmlschemas.google.com/" r:id="rId9" roundtripDataChecksum="dl28tiqTVKzXbFNf4VVrnLbcSFYps539mW1tMTOAhDo="/>
    </ext>
  </extLst>
</workbook>
</file>

<file path=xl/sharedStrings.xml><?xml version="1.0" encoding="utf-8"?>
<sst xmlns="http://schemas.openxmlformats.org/spreadsheetml/2006/main" count="120007" uniqueCount="7249">
  <si>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</si>
  <si>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</si>
  <si>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</si>
  <si>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</si>
  <si>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</si>
  <si>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</si>
  <si>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</si>
  <si>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</si>
  <si>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</si>
  <si>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</si>
  <si>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</si>
  <si>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</si>
  <si>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</si>
  <si>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</si>
  <si>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</si>
  <si>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</si>
  <si>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</si>
  <si>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</si>
  <si>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</si>
  <si>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</si>
  <si>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</si>
  <si>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</si>
  <si>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</si>
  <si>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</si>
  <si>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</si>
  <si>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</si>
  <si>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</si>
  <si>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</si>
  <si>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</si>
  <si>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</si>
  <si>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</si>
  <si>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</si>
  <si>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</si>
  <si>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</si>
  <si>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</si>
  <si>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</si>
  <si>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</si>
  <si>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</si>
  <si>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</si>
  <si>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</si>
  <si>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</si>
  <si>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</si>
  <si>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</si>
  <si>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</si>
  <si>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</si>
  <si>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</si>
  <si>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</si>
  <si>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</si>
  <si>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</si>
  <si>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</si>
  <si>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</si>
  <si>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</si>
  <si>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</si>
  <si>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</si>
  <si>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</si>
  <si>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</si>
  <si>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</si>
  <si>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</si>
  <si>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</si>
  <si>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</si>
  <si>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</si>
  <si>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</si>
  <si>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</si>
  <si>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</si>
  <si>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</si>
  <si>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</si>
  <si>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</si>
  <si>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</si>
  <si>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</si>
  <si>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</si>
  <si>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</si>
  <si>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</si>
  <si>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</si>
  <si>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</si>
  <si>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</si>
  <si>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</si>
  <si>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</si>
  <si>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</si>
  <si>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</si>
  <si>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</si>
  <si>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</si>
  <si>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</si>
  <si>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</si>
  <si>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</si>
  <si>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</si>
  <si>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</si>
  <si>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</si>
  <si>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</si>
  <si>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</si>
  <si>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</si>
  <si>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</si>
  <si>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</si>
  <si>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</si>
  <si>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</si>
  <si>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</si>
  <si>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</si>
  <si>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</si>
  <si>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</si>
  <si>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</si>
  <si>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</si>
  <si>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</si>
  <si>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</si>
  <si>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</si>
  <si>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</si>
  <si>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</si>
  <si>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</si>
  <si>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</si>
  <si>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</si>
  <si>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</si>
  <si>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</si>
  <si>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</si>
  <si>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</si>
  <si>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</si>
  <si>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</si>
  <si>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</si>
  <si>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</si>
  <si>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</si>
  <si>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</si>
  <si>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</si>
  <si>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</si>
  <si>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</si>
  <si>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</si>
  <si>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</si>
  <si>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</si>
  <si>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</si>
  <si>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</si>
  <si>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</si>
  <si>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</si>
  <si>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</si>
  <si>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</si>
  <si>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</si>
  <si>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</si>
  <si>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</si>
  <si>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</si>
  <si>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</si>
  <si>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</si>
  <si>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</si>
  <si>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</si>
  <si>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</si>
  <si>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</si>
  <si>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</si>
  <si>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</si>
  <si>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</si>
  <si>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</si>
  <si>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</si>
  <si>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</si>
  <si>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</si>
  <si>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</si>
  <si>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</si>
  <si>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</si>
  <si>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</si>
  <si>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</si>
  <si>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</si>
  <si>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</si>
  <si>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</si>
  <si>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</si>
  <si>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</si>
  <si>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</si>
  <si>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</si>
  <si>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</si>
  <si>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</si>
  <si>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</si>
  <si>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</si>
  <si>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</si>
  <si>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</si>
  <si>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</si>
  <si>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</si>
  <si>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</si>
  <si>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</si>
  <si>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</si>
  <si>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</si>
  <si>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</si>
  <si>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</si>
  <si>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</si>
  <si>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</si>
  <si>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</si>
  <si>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</si>
  <si>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</si>
  <si>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</si>
  <si>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</si>
  <si>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</si>
  <si>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</si>
  <si>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</si>
  <si>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</si>
  <si>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</si>
  <si>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</si>
  <si>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</si>
  <si>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</si>
  <si>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</si>
  <si>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</si>
  <si>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</si>
  <si>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</si>
  <si>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</si>
  <si>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</si>
  <si>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</si>
  <si>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</si>
  <si>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</si>
  <si>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</si>
  <si>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</si>
  <si>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</si>
  <si>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</si>
  <si>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</si>
  <si>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</si>
  <si>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</si>
  <si>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</si>
  <si>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</si>
  <si>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</si>
  <si>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</si>
  <si>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</si>
  <si>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</si>
  <si>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</si>
  <si>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</si>
  <si>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</si>
  <si>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</si>
  <si>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</si>
  <si>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</si>
  <si>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</si>
  <si>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</si>
  <si>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</si>
  <si>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</si>
  <si>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</si>
  <si>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</si>
  <si>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</si>
  <si>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</si>
  <si>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</si>
  <si>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</si>
  <si>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</si>
  <si>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</si>
  <si>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</si>
  <si>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</si>
  <si>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</si>
  <si>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</si>
  <si>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</si>
  <si>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</si>
  <si>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</si>
  <si>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</si>
  <si>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</si>
  <si>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</si>
  <si>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</si>
  <si>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</si>
  <si>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</si>
  <si>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</si>
  <si>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</si>
  <si>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</si>
  <si>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</si>
  <si>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</si>
  <si>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</si>
  <si>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</si>
  <si>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</si>
  <si>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</si>
  <si>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</si>
  <si>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</si>
  <si>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</si>
  <si>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</si>
  <si>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</si>
  <si>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</si>
  <si>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</si>
  <si>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</si>
  <si>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</si>
  <si>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</si>
  <si>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</si>
  <si>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</si>
  <si>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</si>
  <si>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</si>
  <si>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</si>
  <si>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</si>
  <si>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</si>
  <si>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</si>
  <si>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</si>
  <si>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</si>
  <si>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</si>
  <si>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</si>
  <si>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</si>
  <si>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</si>
  <si>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</si>
  <si>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</si>
  <si>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</si>
  <si>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</si>
  <si>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</si>
  <si>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</si>
  <si>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</si>
  <si>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</si>
  <si>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</si>
  <si>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</si>
  <si>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</si>
  <si>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</si>
  <si>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</si>
  <si>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</si>
  <si>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</si>
  <si>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</si>
  <si>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</si>
  <si>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</si>
  <si>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</si>
  <si>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</si>
  <si>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</si>
  <si>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</si>
  <si>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</si>
  <si>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</si>
  <si>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</si>
  <si>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</si>
  <si>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</si>
  <si>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</si>
  <si>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</si>
  <si>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</si>
  <si>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</si>
  <si>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</si>
  <si>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</si>
  <si>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</si>
  <si>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</si>
  <si>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</si>
  <si>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</si>
  <si>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</si>
  <si>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</si>
  <si>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</si>
  <si>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</si>
  <si>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</si>
  <si>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</si>
  <si>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</si>
  <si>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</si>
  <si>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</si>
  <si>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</si>
  <si>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</si>
  <si>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</si>
  <si>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</si>
  <si>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</si>
  <si>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</si>
  <si>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</si>
  <si>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</si>
  <si>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</si>
  <si>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</si>
  <si>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</si>
  <si>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</si>
  <si>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</si>
  <si>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</si>
  <si>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</si>
  <si>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</si>
  <si>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</si>
  <si>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</si>
  <si>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</si>
  <si>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</si>
  <si>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</si>
  <si>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</si>
  <si>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</si>
  <si>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</si>
  <si>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</si>
  <si>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</si>
  <si>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</si>
  <si>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</si>
  <si>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</si>
  <si>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</si>
  <si>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</si>
  <si>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</si>
  <si>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</si>
  <si>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</si>
  <si>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</si>
  <si>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</si>
  <si>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</si>
  <si>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</si>
  <si>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</si>
  <si>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</si>
  <si>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</si>
  <si>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</si>
  <si>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</si>
  <si>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</si>
  <si>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</si>
  <si>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</si>
  <si>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</si>
  <si>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</si>
  <si>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</si>
  <si>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</si>
  <si>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</si>
  <si>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</si>
  <si>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</si>
  <si>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</si>
  <si>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</si>
  <si>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</si>
  <si>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</si>
  <si>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</si>
  <si>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</si>
  <si>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</si>
  <si>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</si>
  <si>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</si>
  <si>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</si>
  <si>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</si>
  <si>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</si>
  <si>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</si>
  <si>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</si>
  <si>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</si>
  <si>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</si>
  <si>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</si>
  <si>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</si>
  <si>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</si>
  <si>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</si>
  <si>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</si>
  <si>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</si>
  <si>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</si>
  <si>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</si>
  <si>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</si>
  <si>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</si>
  <si>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</si>
  <si>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</si>
  <si>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</si>
  <si>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</si>
  <si>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</si>
  <si>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</si>
  <si>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</si>
  <si>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</si>
  <si>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</si>
  <si>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</si>
  <si>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</si>
  <si>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</si>
  <si>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</si>
  <si>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</si>
  <si>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</si>
  <si>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</si>
  <si>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</si>
  <si>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</si>
  <si>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</si>
  <si>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</si>
  <si>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</si>
  <si>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</si>
  <si>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</si>
  <si>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</si>
  <si>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</si>
  <si>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</si>
  <si>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</si>
  <si>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</si>
  <si>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</si>
  <si>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</si>
  <si>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</si>
  <si>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</si>
  <si>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</si>
  <si>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</si>
  <si>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</si>
  <si>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</si>
  <si>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</si>
  <si>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</si>
  <si>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</si>
  <si>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</si>
  <si>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</si>
  <si>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</si>
  <si>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</si>
  <si>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</si>
  <si>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</si>
  <si>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</si>
  <si>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</si>
  <si>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</si>
  <si>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</si>
  <si>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</si>
  <si>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</si>
  <si>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</si>
  <si>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</si>
  <si>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</si>
  <si>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</si>
  <si>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</si>
  <si>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</si>
  <si>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</si>
  <si>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</si>
  <si>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</si>
  <si>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</si>
  <si>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</si>
  <si>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</si>
  <si>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</si>
  <si>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</si>
  <si>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</si>
  <si>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</si>
  <si>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</si>
  <si>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</si>
  <si>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</si>
  <si>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</si>
  <si>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</si>
  <si>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</si>
  <si>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</si>
  <si>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</si>
  <si>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</si>
  <si>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</si>
  <si>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</si>
  <si>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</si>
  <si>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</si>
  <si>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</si>
  <si>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</si>
  <si>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</si>
  <si>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</si>
  <si>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</si>
  <si>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</si>
  <si>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</si>
  <si>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</si>
  <si>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</si>
  <si>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</si>
  <si>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</si>
  <si>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</si>
  <si>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</si>
  <si>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</si>
  <si>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</si>
  <si>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</si>
  <si>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</si>
  <si>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</si>
  <si>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</si>
  <si>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</si>
  <si>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</si>
  <si>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</si>
  <si>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</si>
  <si>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</si>
  <si>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</si>
  <si>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</si>
  <si>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</si>
  <si>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</si>
  <si>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</si>
  <si>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</si>
  <si>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</si>
  <si>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</si>
  <si>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</si>
  <si>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</si>
  <si>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</si>
  <si>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</si>
  <si>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</si>
  <si>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</si>
  <si>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</si>
  <si>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</si>
  <si>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</si>
  <si>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</si>
  <si>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</si>
  <si>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</si>
  <si>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</si>
  <si>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</si>
  <si>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</si>
  <si>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</si>
  <si>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</si>
  <si>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</si>
  <si>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</si>
  <si>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</si>
  <si>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</si>
  <si>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</si>
  <si>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</si>
  <si>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</si>
  <si>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</si>
  <si>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</si>
  <si>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</si>
  <si>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</si>
  <si>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</si>
  <si>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</si>
  <si>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</si>
  <si>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</si>
  <si>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</si>
  <si>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</si>
  <si>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</si>
  <si>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</si>
  <si>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</si>
  <si>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</si>
  <si>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</si>
  <si>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</si>
  <si>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</si>
  <si>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</si>
  <si>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</si>
  <si>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</si>
  <si>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</si>
  <si>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</si>
  <si>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</si>
  <si>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</si>
  <si>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</si>
  <si>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</si>
  <si>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</si>
  <si>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</si>
  <si>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</si>
  <si>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</si>
  <si>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</si>
  <si>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</si>
  <si>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</si>
  <si>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</si>
  <si>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</si>
  <si>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</si>
  <si>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</si>
  <si>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</si>
  <si>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</si>
  <si>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</si>
  <si>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</si>
  <si>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</si>
  <si>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</si>
  <si>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</si>
  <si>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</si>
  <si>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</si>
  <si>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</si>
  <si>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</si>
  <si>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</si>
  <si>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</si>
  <si>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</si>
  <si>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</si>
  <si>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</si>
  <si>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</si>
  <si>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</si>
  <si>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</si>
  <si>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</si>
  <si>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</si>
  <si>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</si>
  <si>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</si>
  <si>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</si>
  <si>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</si>
  <si>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</si>
  <si>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</si>
  <si>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</si>
  <si>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</si>
  <si>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</si>
  <si>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</si>
  <si>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</si>
  <si>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</si>
  <si>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</si>
  <si>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</si>
  <si>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</si>
  <si>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</si>
  <si>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</si>
  <si>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</si>
  <si>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</si>
  <si>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</si>
  <si>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</si>
  <si>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</si>
  <si>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</si>
  <si>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</si>
  <si>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</si>
  <si>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</si>
  <si>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</si>
  <si>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</si>
  <si>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</si>
  <si>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</si>
  <si>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</si>
  <si>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</si>
  <si>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</si>
  <si>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</si>
  <si>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</si>
  <si>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</si>
  <si>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</si>
  <si>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</si>
  <si>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</si>
  <si>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</si>
  <si>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</si>
  <si>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</si>
  <si>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</si>
  <si>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</si>
  <si>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</si>
  <si>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</si>
  <si>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</si>
  <si>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</si>
  <si>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</si>
  <si>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</si>
  <si>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</si>
  <si>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</si>
  <si>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</si>
  <si>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</si>
  <si>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</si>
  <si>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</si>
  <si>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</si>
  <si>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</si>
  <si>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</si>
  <si>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</si>
  <si>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</si>
  <si>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</si>
  <si>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</si>
  <si>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</si>
  <si>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</si>
  <si>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</si>
  <si>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</si>
  <si>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</si>
  <si>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</si>
  <si>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</si>
  <si>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</si>
  <si>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</si>
  <si>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</si>
  <si>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</si>
  <si>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</si>
  <si>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</si>
  <si>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</si>
  <si>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</si>
  <si>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</si>
  <si>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</si>
  <si>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</si>
  <si>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</si>
  <si>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</si>
  <si>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</si>
  <si>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</si>
  <si>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</si>
  <si>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</si>
  <si>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</si>
  <si>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</si>
  <si>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</si>
  <si>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</si>
  <si>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</si>
  <si>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</si>
  <si>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</si>
  <si>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</si>
  <si>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</si>
  <si>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</si>
  <si>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</si>
  <si>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</si>
  <si>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</si>
  <si>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</si>
  <si>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</si>
  <si>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</si>
  <si>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</si>
  <si>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</si>
  <si>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</si>
  <si>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</si>
  <si>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</si>
  <si>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</si>
  <si>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</si>
  <si>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</si>
  <si>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</si>
  <si>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</si>
  <si>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</si>
  <si>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</si>
  <si>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</si>
  <si>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</si>
  <si>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</si>
  <si>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</si>
  <si>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</si>
  <si>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</si>
  <si>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</si>
  <si>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</si>
  <si>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</si>
  <si>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</si>
  <si>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</si>
  <si>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</si>
  <si>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</si>
  <si>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</si>
  <si>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</si>
  <si>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</si>
  <si>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</si>
  <si>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</si>
  <si>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</si>
  <si>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</si>
  <si>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</si>
  <si>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</si>
  <si>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</si>
  <si>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</si>
  <si>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</si>
  <si>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</si>
  <si>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</si>
  <si>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</si>
  <si>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</si>
  <si>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</si>
  <si>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</si>
  <si>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</si>
  <si>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</si>
  <si>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</si>
  <si>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</si>
  <si>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</si>
  <si>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</si>
  <si>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</si>
  <si>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</si>
  <si>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</si>
  <si>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</si>
  <si>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</si>
  <si>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</si>
  <si>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</si>
  <si>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</si>
  <si>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</si>
  <si>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</si>
  <si>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</si>
  <si>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</si>
  <si>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</si>
  <si>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</si>
  <si>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</si>
  <si>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</si>
  <si>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</si>
  <si>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</si>
  <si>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</si>
  <si>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</si>
  <si>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</si>
  <si>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</si>
  <si>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</si>
  <si>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</si>
  <si>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</si>
  <si>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</si>
  <si>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</si>
  <si>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</si>
  <si>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</si>
  <si>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</si>
  <si>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</si>
  <si>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</si>
  <si>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</si>
  <si>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</si>
  <si>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</si>
  <si>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</si>
  <si>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</si>
  <si>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</si>
  <si>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</si>
  <si>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</si>
  <si>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</si>
  <si>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</si>
  <si>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</si>
  <si>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</si>
  <si>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</si>
  <si>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</si>
  <si>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</si>
  <si>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</si>
  <si>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</si>
  <si>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</si>
  <si>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</si>
  <si>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</si>
  <si>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</si>
  <si>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</si>
  <si>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</si>
  <si>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</si>
  <si>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</si>
  <si>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</si>
  <si>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</si>
  <si>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</si>
  <si>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</si>
  <si>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</si>
  <si>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</si>
  <si>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</si>
  <si>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</si>
  <si>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</si>
  <si>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</si>
  <si>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</si>
  <si>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</si>
  <si>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</si>
  <si>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</si>
  <si>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</si>
  <si>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</si>
  <si>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</si>
  <si>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</si>
  <si>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</si>
  <si>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</si>
  <si>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</si>
  <si>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</si>
  <si>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</si>
  <si>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</si>
  <si>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</si>
  <si>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</si>
  <si>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</si>
  <si>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</si>
  <si>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</si>
  <si>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</si>
  <si>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</si>
  <si>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</si>
  <si>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</si>
  <si>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</si>
  <si>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</si>
  <si>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</si>
  <si>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</si>
  <si>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</si>
  <si>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</si>
  <si>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</si>
  <si>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</si>
  <si>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</si>
  <si>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</si>
  <si>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</si>
  <si>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</si>
  <si>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</si>
  <si>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</si>
  <si>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</si>
  <si>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</si>
  <si>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</si>
  <si>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</si>
  <si>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</si>
  <si>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</si>
  <si>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</si>
  <si>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</si>
  <si>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</si>
  <si>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</si>
  <si>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</si>
  <si>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</si>
  <si>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</si>
  <si>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</si>
  <si>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</si>
  <si>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</si>
  <si>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</si>
  <si>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</si>
  <si>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</si>
  <si>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</si>
  <si>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</si>
  <si>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</si>
  <si>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</si>
  <si>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</si>
  <si>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</si>
  <si>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</si>
  <si>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</si>
  <si>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</si>
  <si>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</si>
  <si>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</si>
  <si>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</si>
  <si>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</si>
  <si>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</si>
  <si>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</si>
  <si>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</si>
  <si>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</si>
  <si>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</si>
  <si>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</si>
  <si>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</si>
  <si>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</si>
  <si>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</si>
  <si>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</si>
  <si>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</si>
  <si>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</si>
  <si>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</si>
  <si>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</si>
  <si>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</si>
  <si>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</si>
  <si>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</si>
  <si>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</si>
  <si>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</si>
  <si>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</si>
  <si>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</si>
  <si>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</si>
  <si>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</si>
  <si>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</si>
  <si>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</si>
  <si>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</si>
  <si>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</si>
  <si>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</si>
  <si>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</si>
  <si>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</si>
  <si>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</si>
  <si>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</si>
  <si>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</si>
  <si>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</si>
  <si>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</si>
  <si>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</si>
  <si>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</si>
  <si>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</si>
  <si>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</si>
  <si>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</si>
  <si>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</si>
  <si>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</si>
  <si>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</si>
  <si>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</si>
  <si>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</si>
  <si>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</si>
  <si>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</si>
  <si>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</si>
  <si>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</si>
  <si>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</si>
  <si>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</si>
  <si>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</si>
  <si>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</si>
  <si>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</si>
  <si>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</si>
  <si>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</si>
  <si>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</si>
  <si>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</si>
  <si>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</si>
  <si>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</si>
  <si>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</si>
  <si>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</si>
  <si>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</si>
  <si>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</si>
  <si>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</si>
  <si>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</si>
  <si>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</si>
  <si>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</si>
  <si>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</si>
  <si>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</si>
  <si>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</si>
  <si>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</si>
  <si>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</si>
  <si>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</si>
  <si>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</si>
  <si>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</si>
  <si>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</si>
  <si>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</si>
  <si>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</si>
  <si>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</si>
  <si>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</si>
  <si>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</si>
  <si>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</si>
  <si>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</si>
  <si>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</si>
  <si>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</si>
  <si>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</si>
  <si>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</si>
  <si>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</si>
  <si>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</si>
  <si>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</si>
  <si>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</si>
  <si>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</si>
  <si>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</si>
  <si>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</si>
  <si>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</si>
  <si>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</si>
  <si>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</si>
  <si>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</si>
  <si>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</si>
  <si>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</si>
  <si>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</si>
  <si>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</si>
  <si>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</si>
  <si>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</si>
  <si>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</si>
  <si>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</si>
  <si>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</si>
  <si>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</si>
  <si>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</si>
  <si>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</si>
  <si>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</si>
  <si>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</si>
  <si>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</si>
  <si>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</si>
  <si>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</si>
  <si>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</si>
  <si>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</si>
  <si>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</si>
  <si>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</si>
  <si>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</si>
  <si>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</si>
  <si>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</si>
  <si>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</si>
  <si>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</si>
  <si>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</si>
  <si>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</si>
  <si>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</si>
  <si>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</si>
  <si>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</si>
  <si>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</si>
  <si>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</si>
  <si>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</si>
  <si>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</si>
  <si>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</si>
  <si>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</si>
  <si>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</si>
  <si>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</si>
  <si>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</si>
  <si>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</si>
  <si>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</si>
  <si>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</si>
  <si>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</si>
  <si>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</si>
  <si>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</si>
  <si>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</si>
  <si>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</si>
  <si>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</si>
  <si>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</si>
  <si>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</si>
  <si>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</si>
  <si>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</si>
  <si>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</si>
  <si>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</si>
  <si>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</si>
  <si>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</si>
  <si>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</si>
  <si>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</si>
  <si>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</si>
  <si>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</si>
  <si>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</si>
  <si>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</si>
  <si>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</si>
  <si>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</si>
  <si>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</si>
  <si>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</si>
  <si>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</si>
  <si>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</si>
  <si>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</si>
  <si>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</si>
  <si>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</si>
  <si>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</si>
  <si>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</si>
  <si>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</si>
  <si>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</si>
  <si>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</si>
  <si>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</si>
  <si>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</si>
  <si>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</si>
  <si>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</si>
  <si>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</si>
  <si>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</si>
  <si>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</si>
  <si>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</si>
  <si>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</si>
  <si>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</si>
  <si>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</si>
  <si>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</si>
  <si>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</si>
  <si>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</si>
  <si>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</si>
  <si>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</si>
  <si>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</si>
  <si>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</si>
  <si>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</si>
  <si>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</si>
  <si>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</si>
  <si>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</si>
  <si>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</si>
  <si>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</si>
  <si>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</si>
  <si>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</si>
  <si>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</si>
  <si>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</si>
  <si>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</si>
  <si>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</si>
  <si>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</si>
  <si>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</si>
  <si>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</si>
  <si>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</si>
  <si>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</si>
  <si>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</si>
  <si>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</si>
  <si>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</si>
  <si>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</si>
  <si>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</si>
  <si>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</si>
  <si>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</si>
  <si>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</si>
  <si>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</si>
  <si>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</si>
  <si>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</si>
  <si>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</si>
  <si>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</si>
  <si>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</si>
  <si>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</si>
  <si>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</si>
  <si>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</si>
  <si>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</si>
  <si>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</si>
  <si>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</si>
  <si>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</si>
  <si>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</si>
  <si>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</si>
  <si>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</si>
  <si>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</si>
  <si>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</si>
  <si>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</si>
  <si>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</si>
  <si>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</si>
  <si>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</si>
  <si>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</si>
  <si>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</si>
  <si>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</si>
  <si>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</si>
  <si>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</si>
  <si>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</si>
  <si>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</si>
  <si>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</si>
  <si>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</si>
  <si>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</si>
  <si>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</si>
  <si>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</si>
  <si>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</si>
  <si>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</si>
  <si>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</si>
  <si>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</si>
  <si>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</si>
  <si>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</si>
  <si>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</si>
  <si>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</si>
  <si>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</si>
  <si>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</si>
  <si>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</si>
  <si>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</si>
  <si>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</si>
  <si>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</si>
  <si>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</si>
  <si>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</si>
  <si>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</si>
  <si>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</si>
  <si>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</si>
  <si>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</si>
  <si>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</si>
  <si>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</si>
  <si>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</si>
  <si>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</si>
  <si>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</si>
  <si>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</si>
  <si>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</si>
  <si>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</si>
  <si>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</si>
  <si>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</si>
  <si>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</si>
  <si>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</si>
  <si>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</si>
  <si>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</si>
  <si>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</si>
  <si>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</si>
  <si>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</si>
  <si>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</si>
  <si>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</si>
  <si>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</si>
  <si>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</si>
  <si>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</si>
  <si>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</si>
  <si>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</si>
  <si>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</si>
  <si>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</si>
  <si>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</si>
  <si>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</si>
  <si>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</si>
  <si>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</si>
  <si>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</si>
  <si>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</si>
  <si>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</si>
  <si>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</si>
  <si>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</si>
  <si>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</si>
  <si>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</si>
  <si>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</si>
  <si>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</si>
  <si>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</si>
  <si>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</si>
  <si>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</si>
  <si>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</si>
  <si>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</si>
  <si>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</si>
  <si>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</si>
  <si>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</si>
  <si>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</si>
  <si>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</si>
  <si>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</si>
  <si>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</si>
  <si>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</si>
  <si>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</si>
  <si>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</si>
  <si>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</si>
  <si>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</si>
  <si>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</si>
  <si>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</si>
  <si>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</si>
  <si>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</si>
  <si>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</si>
  <si>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</si>
  <si>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</si>
  <si>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</si>
  <si>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</si>
  <si>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</si>
  <si>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</si>
  <si>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</si>
  <si>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</si>
  <si>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</si>
  <si>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</si>
  <si>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</si>
  <si>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</si>
  <si>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</si>
  <si>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</si>
  <si>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</si>
  <si>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</si>
  <si>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</si>
  <si>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</si>
  <si>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</si>
  <si>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</si>
  <si>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</si>
  <si>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</si>
  <si>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</si>
  <si>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</si>
  <si>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</si>
  <si>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</si>
  <si>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</si>
  <si>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</si>
  <si>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</si>
  <si>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</si>
  <si>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</si>
  <si>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</si>
  <si>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</si>
  <si>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</si>
  <si>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</si>
  <si>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</si>
  <si>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</si>
  <si>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</si>
  <si>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</si>
  <si>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</si>
  <si>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</si>
  <si>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</si>
  <si>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</si>
  <si>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</si>
  <si>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</si>
  <si>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</si>
  <si>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</si>
  <si>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</si>
  <si>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</si>
  <si>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</si>
  <si>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</si>
  <si>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</si>
  <si>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</si>
  <si>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</si>
  <si>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</si>
  <si>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</si>
  <si>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</si>
  <si>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</si>
  <si>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</si>
  <si>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</si>
  <si>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</si>
  <si>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</si>
  <si>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</si>
  <si>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</si>
  <si>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</si>
  <si>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</si>
  <si>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</si>
  <si>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</si>
  <si>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</si>
  <si>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</si>
  <si>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</si>
  <si>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</si>
  <si>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</si>
  <si>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</si>
  <si>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</si>
  <si>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</si>
  <si>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</si>
  <si>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</si>
  <si>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</si>
  <si>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</si>
  <si>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</si>
  <si>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</si>
  <si>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</si>
  <si>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</si>
  <si>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</si>
  <si>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</si>
  <si>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</si>
  <si>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</si>
  <si>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</si>
  <si>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</si>
  <si>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</si>
  <si>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</si>
  <si>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</si>
  <si>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</si>
  <si>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</si>
  <si>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</si>
  <si>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</si>
  <si>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</si>
  <si>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</si>
  <si>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</si>
  <si>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</si>
  <si>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</si>
  <si>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</si>
  <si>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</si>
  <si>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</si>
  <si>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</si>
  <si>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</si>
  <si>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</si>
  <si>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</si>
  <si>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</si>
  <si>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</si>
  <si>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</si>
  <si>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</si>
  <si>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</si>
  <si>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</si>
  <si>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</si>
  <si>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</si>
  <si>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</si>
  <si>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</si>
  <si>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</si>
  <si>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</si>
  <si>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</si>
  <si>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</si>
  <si>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</si>
  <si>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</si>
  <si>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</si>
  <si>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</si>
  <si>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</si>
  <si>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</si>
  <si>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</si>
  <si>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</si>
  <si>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</si>
  <si>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</si>
  <si>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</si>
  <si>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</si>
  <si>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</si>
  <si>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</si>
  <si>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</si>
  <si>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</si>
  <si>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</si>
  <si>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</si>
  <si>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</si>
  <si>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</si>
  <si>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</si>
  <si>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</si>
  <si>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</si>
  <si>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</si>
  <si>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</si>
  <si>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</si>
  <si>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</si>
  <si>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</si>
  <si>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</si>
  <si>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</si>
  <si>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</si>
  <si>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</si>
  <si>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</si>
  <si>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</si>
  <si>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</si>
  <si>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</si>
  <si>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</si>
  <si>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</si>
  <si>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</si>
  <si>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</si>
  <si>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</si>
  <si>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</si>
  <si>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</si>
  <si>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</si>
  <si>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</si>
  <si>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</si>
  <si>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</si>
  <si>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</si>
  <si>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</si>
  <si>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</si>
  <si>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</si>
  <si>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</si>
  <si>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</si>
  <si>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</si>
  <si>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</si>
  <si>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</si>
  <si>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</si>
  <si>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</si>
  <si>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</si>
  <si>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</si>
  <si>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</si>
  <si>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</si>
  <si>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</si>
  <si>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</si>
  <si>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</si>
  <si>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</si>
  <si>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</si>
  <si>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</si>
  <si>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</si>
  <si>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</si>
  <si>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</si>
  <si>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</si>
  <si>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</si>
  <si>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</si>
  <si>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</si>
  <si>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</si>
  <si>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</si>
  <si>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</si>
  <si>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</si>
  <si>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</si>
  <si>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</si>
  <si>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</si>
  <si>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</si>
  <si>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</si>
  <si>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</si>
  <si>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</si>
  <si>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</si>
  <si>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</si>
  <si>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</si>
  <si>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</si>
  <si>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</si>
  <si>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</si>
  <si>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</si>
  <si>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</si>
  <si>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</si>
  <si>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</si>
  <si>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</si>
  <si>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</si>
  <si>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</si>
  <si>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</si>
  <si>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</si>
  <si>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</si>
  <si>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</si>
  <si>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</si>
  <si>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</si>
  <si>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</si>
  <si>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</si>
  <si>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</si>
  <si>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</si>
  <si>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</si>
  <si>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</si>
  <si>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</si>
  <si>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</si>
  <si>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</si>
  <si>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</si>
  <si>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</si>
  <si>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</si>
  <si>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</si>
  <si>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</si>
  <si>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</si>
  <si>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</si>
  <si>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</si>
  <si>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</si>
  <si>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</si>
  <si>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</si>
  <si>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</si>
  <si>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</si>
  <si>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</si>
  <si>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</si>
  <si>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</si>
  <si>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</si>
  <si>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</si>
  <si>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</si>
  <si>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</si>
  <si>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</si>
  <si>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</si>
  <si>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</si>
  <si>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</si>
  <si>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</si>
  <si>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</si>
  <si>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</si>
  <si>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</si>
  <si>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</si>
  <si>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</si>
  <si>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</si>
  <si>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</si>
  <si>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</si>
  <si>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</si>
  <si>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</si>
  <si>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</si>
  <si>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</si>
  <si>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</si>
  <si>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</si>
  <si>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</si>
  <si>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</si>
  <si>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</si>
  <si>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</si>
  <si>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</si>
  <si>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</si>
  <si>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</si>
  <si>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</si>
  <si>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</si>
  <si>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</si>
  <si>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</si>
  <si>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</si>
  <si>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</si>
  <si>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</si>
  <si>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</si>
  <si>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</si>
  <si>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</si>
  <si>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</si>
  <si>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</si>
  <si>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</si>
  <si>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</si>
  <si>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</si>
  <si>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</si>
  <si>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</si>
  <si>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</si>
  <si>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</si>
  <si>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</si>
  <si>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</si>
  <si>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</si>
  <si>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</si>
  <si>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</si>
  <si>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</si>
  <si>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</si>
  <si>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</si>
  <si>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</si>
  <si>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</si>
  <si>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</si>
  <si>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</si>
  <si>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</si>
  <si>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</si>
  <si>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</si>
  <si>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</si>
  <si>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</si>
  <si>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</si>
  <si>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</si>
  <si>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</si>
  <si>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</si>
  <si>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</si>
  <si>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</si>
  <si>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</si>
  <si>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</si>
  <si>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</si>
  <si>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</si>
  <si>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</si>
  <si>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</si>
  <si>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</si>
  <si>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</si>
  <si>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</si>
  <si>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</si>
  <si>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</si>
  <si>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</si>
  <si>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</si>
  <si>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</si>
  <si>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</si>
  <si>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</si>
  <si>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</si>
  <si>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</si>
  <si>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</si>
  <si>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</si>
  <si>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</si>
  <si>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</si>
  <si>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</si>
  <si>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</si>
  <si>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</si>
  <si>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</si>
  <si>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</si>
  <si>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</si>
  <si>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</si>
  <si>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</si>
  <si>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</si>
  <si>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</si>
  <si>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</si>
  <si>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</si>
  <si>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</si>
  <si>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</si>
  <si>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</si>
  <si>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</si>
  <si>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</si>
  <si>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</si>
  <si>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</si>
  <si>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</si>
  <si>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</si>
  <si>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</si>
  <si>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</si>
  <si>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</si>
  <si>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</si>
  <si>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</si>
  <si>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</si>
  <si>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</si>
  <si>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</si>
  <si>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</si>
  <si>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</si>
  <si>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</si>
  <si>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</si>
  <si>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</si>
  <si>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</si>
  <si>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</si>
  <si>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</si>
  <si>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</si>
  <si>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</si>
  <si>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</si>
  <si>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</si>
  <si>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</si>
  <si>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</si>
  <si>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</si>
  <si>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</si>
  <si>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</si>
  <si>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</si>
  <si>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</si>
  <si>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</si>
  <si>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</si>
  <si>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</si>
  <si>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</si>
  <si>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</si>
  <si>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</si>
  <si>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</si>
  <si>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</si>
  <si>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</si>
  <si>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</si>
  <si>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</si>
  <si>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</si>
  <si>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</si>
  <si>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</si>
  <si>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</si>
  <si>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</si>
  <si>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</si>
  <si>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</si>
  <si>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</si>
  <si>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</si>
  <si>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</si>
  <si>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</si>
  <si>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</si>
  <si>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</si>
  <si>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</si>
  <si>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</si>
  <si>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</si>
  <si>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</si>
  <si>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</si>
  <si>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</si>
  <si>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</si>
  <si>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</si>
  <si>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</si>
  <si>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</si>
  <si>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</si>
  <si>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</si>
  <si>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</si>
  <si>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</si>
  <si>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</si>
  <si>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</si>
  <si>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</si>
  <si>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</si>
  <si>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</si>
  <si>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</si>
  <si>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</si>
  <si>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</si>
  <si>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</si>
  <si>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</si>
  <si>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</si>
  <si>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</si>
  <si>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</si>
  <si>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</si>
  <si>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</si>
  <si>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</si>
  <si>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</si>
  <si>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</si>
  <si>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</si>
  <si>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</si>
  <si>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</si>
  <si>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</si>
  <si>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</si>
  <si>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</si>
  <si>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</si>
  <si>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</si>
  <si>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</si>
  <si>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</si>
  <si>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</si>
  <si>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</si>
  <si>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</si>
  <si>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</si>
  <si>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</si>
  <si>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</si>
  <si>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</si>
  <si>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</si>
  <si>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</si>
  <si>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</si>
  <si>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</si>
  <si>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</si>
  <si>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</si>
  <si>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</si>
  <si>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</si>
  <si>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</si>
  <si>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</si>
  <si>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</si>
  <si>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</si>
  <si>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</si>
  <si>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</si>
  <si>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</si>
  <si>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</si>
  <si>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</si>
  <si>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</si>
  <si>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</si>
  <si>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</si>
  <si>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</si>
  <si>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</si>
  <si>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</si>
  <si>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</si>
  <si>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</si>
  <si>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</si>
  <si>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</si>
  <si>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</si>
  <si>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</si>
  <si>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</si>
  <si>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</si>
  <si>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</si>
  <si>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</si>
  <si>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</si>
  <si>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</si>
  <si>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</si>
  <si>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</si>
  <si>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</si>
  <si>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</si>
  <si>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</si>
  <si>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</si>
  <si>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</si>
  <si>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</si>
  <si>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</si>
  <si>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</si>
  <si>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</si>
  <si>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</si>
  <si>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</si>
  <si>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</si>
  <si>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</si>
  <si>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</si>
  <si>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</si>
  <si>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</si>
  <si>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</si>
  <si>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</si>
  <si>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</si>
  <si>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</si>
  <si>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</si>
  <si>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</si>
  <si>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</si>
  <si>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</si>
  <si>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</si>
  <si>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</si>
  <si>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</si>
  <si>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</si>
  <si>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</si>
  <si>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</si>
  <si>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</si>
  <si>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</si>
  <si>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</si>
  <si>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</si>
  <si>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</si>
  <si>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</si>
  <si>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</si>
  <si>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</si>
  <si>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</si>
  <si>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</si>
  <si>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</si>
  <si>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</si>
  <si>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</si>
  <si>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</si>
  <si>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</si>
  <si>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</si>
  <si>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</si>
  <si>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</si>
  <si>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</si>
  <si>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</si>
  <si>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</si>
  <si>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</si>
  <si>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</si>
  <si>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</si>
  <si>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</si>
  <si>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</si>
  <si>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</si>
  <si>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</si>
  <si>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</si>
  <si>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</si>
  <si>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</si>
  <si>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</si>
  <si>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</si>
  <si>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</si>
  <si>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</si>
  <si>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</si>
  <si>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</si>
  <si>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</si>
  <si>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</si>
  <si>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</si>
  <si>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</si>
  <si>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</si>
  <si>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</si>
  <si>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</si>
  <si>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</si>
  <si>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</si>
  <si>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</si>
  <si>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</si>
  <si>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</si>
  <si>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</si>
  <si>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</si>
  <si>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</si>
  <si>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</si>
  <si>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</si>
  <si>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</si>
  <si>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</si>
  <si>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</si>
  <si>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</si>
  <si>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</si>
  <si>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</si>
  <si>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</si>
  <si>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</si>
  <si>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</si>
  <si>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</si>
  <si>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</si>
  <si>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</si>
  <si>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</si>
  <si>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</si>
  <si>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</si>
  <si>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</si>
  <si>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</si>
  <si>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</si>
  <si>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</si>
  <si>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</si>
  <si>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</si>
  <si>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</si>
  <si>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</si>
  <si>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</si>
  <si>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</si>
  <si>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</si>
  <si>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</si>
  <si>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</si>
  <si>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</si>
  <si>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</si>
  <si>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</si>
  <si>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</si>
  <si>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</si>
  <si>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</si>
  <si>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</si>
  <si>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</si>
  <si>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</si>
  <si>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</si>
  <si>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</si>
  <si>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</si>
  <si>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</si>
  <si>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</si>
  <si>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</si>
  <si>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</si>
  <si>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</si>
  <si>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</si>
  <si>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</si>
  <si>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</si>
  <si>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</si>
  <si>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</si>
  <si>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</si>
  <si>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</si>
  <si>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</si>
  <si>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</si>
  <si>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</si>
  <si>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</si>
  <si>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</si>
  <si>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</si>
  <si>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</si>
  <si>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</si>
  <si>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</si>
  <si>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</si>
  <si>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</si>
  <si>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</si>
  <si>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</si>
  <si>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</si>
  <si>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</si>
  <si>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</si>
  <si>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</si>
  <si>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</si>
  <si>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</si>
  <si>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</si>
  <si>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</si>
  <si>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</si>
  <si>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</si>
  <si>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</si>
  <si>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</si>
  <si>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</si>
  <si>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</si>
  <si>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</si>
  <si>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</si>
  <si>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</si>
  <si>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</si>
  <si>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</si>
  <si>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</si>
  <si>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</si>
  <si>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</si>
  <si>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</si>
  <si>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</si>
  <si>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</si>
  <si>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</si>
  <si>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</si>
  <si>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</si>
  <si>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</si>
  <si>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</si>
  <si>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</si>
  <si>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</si>
  <si>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</si>
  <si>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</si>
  <si>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</si>
  <si>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</si>
  <si>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</si>
  <si>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</si>
  <si>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</si>
  <si>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</si>
  <si>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</si>
  <si>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</si>
  <si>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</si>
  <si>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</si>
  <si>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</si>
  <si>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</si>
  <si>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</si>
  <si>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</si>
  <si>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</si>
  <si>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</si>
  <si>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</si>
  <si>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</si>
  <si>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</si>
  <si>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</si>
  <si>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</si>
  <si>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</si>
  <si>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</si>
  <si>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</si>
  <si>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</si>
  <si>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</si>
  <si>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</si>
  <si>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</si>
  <si>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</si>
  <si>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</si>
  <si>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</si>
  <si>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</si>
  <si>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</si>
  <si>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</si>
  <si>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</si>
  <si>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</si>
  <si>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</si>
  <si>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</si>
  <si>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</si>
  <si>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</si>
  <si>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</si>
  <si>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</si>
  <si>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</si>
  <si>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</si>
  <si>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</si>
  <si>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</si>
  <si>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</si>
  <si>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</si>
  <si>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</si>
  <si>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</si>
  <si>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</si>
  <si>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</si>
  <si>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</si>
  <si>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</si>
  <si>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</si>
  <si>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</si>
  <si>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</si>
  <si>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</si>
  <si>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</si>
  <si>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</si>
  <si>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</si>
  <si>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</si>
  <si>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</si>
  <si>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</si>
  <si>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</si>
  <si>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</si>
  <si>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</si>
  <si>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</si>
  <si>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</si>
  <si>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</si>
  <si>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</si>
  <si>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</si>
  <si>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</si>
  <si>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</si>
  <si>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</si>
  <si>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</si>
  <si>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</si>
  <si>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</si>
  <si>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</si>
  <si>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</si>
  <si>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</si>
  <si>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</si>
  <si>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</si>
  <si>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</si>
  <si>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</si>
  <si>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</si>
  <si>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</si>
  <si>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</si>
  <si>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</si>
  <si>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</si>
  <si>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</si>
  <si>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</si>
  <si>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</si>
  <si>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</si>
  <si>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</si>
  <si>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</si>
  <si>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</si>
  <si>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</si>
  <si>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</si>
  <si>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</si>
  <si>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</si>
  <si>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</si>
  <si>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</si>
  <si>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</si>
  <si>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</si>
  <si>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</si>
  <si>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</si>
  <si>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</si>
  <si>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</si>
  <si>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</si>
  <si>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</si>
  <si>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</si>
  <si>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</si>
  <si>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</si>
  <si>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</si>
  <si>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</si>
  <si>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</si>
  <si>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</si>
  <si>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</si>
  <si>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</si>
  <si>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</si>
  <si>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</si>
  <si>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</si>
  <si>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</si>
  <si>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</si>
  <si>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</si>
  <si>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</si>
  <si>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</si>
  <si>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</si>
  <si>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</si>
  <si>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</si>
  <si>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</si>
  <si>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</si>
  <si>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</si>
  <si>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</si>
  <si>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</si>
  <si>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</si>
  <si>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</si>
  <si>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</si>
  <si>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</si>
  <si>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</si>
  <si>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</si>
  <si>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</si>
  <si>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</si>
  <si>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</si>
  <si>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</si>
  <si>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</si>
  <si>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</si>
  <si>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</si>
  <si>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</si>
  <si>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</si>
  <si>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</si>
  <si>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</si>
  <si>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</si>
  <si>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</si>
  <si>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</si>
  <si>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</si>
  <si>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</si>
  <si>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</si>
  <si>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</si>
  <si>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</si>
  <si>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</si>
  <si>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</si>
  <si>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</si>
  <si>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</si>
  <si>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</si>
  <si>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</si>
  <si>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</si>
  <si>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</si>
  <si>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</si>
  <si>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</si>
  <si>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</si>
  <si>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</si>
  <si>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</si>
  <si>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</si>
  <si>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</si>
  <si>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</si>
  <si>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</si>
  <si>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</si>
  <si>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</si>
  <si>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</si>
  <si>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</si>
  <si>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</si>
  <si>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</si>
  <si>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</si>
  <si>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</si>
  <si>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</si>
  <si>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</si>
  <si>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</si>
  <si>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</si>
  <si>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</si>
  <si>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</si>
  <si>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</si>
  <si>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</si>
  <si>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</si>
  <si>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</si>
  <si>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</si>
  <si>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</si>
  <si>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</si>
  <si>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</si>
  <si>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</si>
  <si>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</si>
  <si>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</si>
  <si>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</si>
  <si>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</si>
  <si>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</si>
  <si>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</si>
  <si>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</si>
  <si>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</si>
  <si>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</si>
  <si>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</si>
  <si>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</si>
  <si>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</si>
  <si>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</si>
  <si>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</si>
  <si>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</si>
  <si>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</si>
  <si>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</si>
  <si>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</si>
  <si>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</si>
  <si>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</si>
  <si>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</si>
  <si>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</si>
  <si>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</si>
  <si>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</si>
  <si>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</si>
  <si>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</si>
  <si>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</si>
  <si>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</si>
  <si>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</si>
  <si>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</si>
  <si>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</si>
  <si>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</si>
  <si>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</si>
  <si>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</si>
  <si>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</si>
  <si>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</si>
  <si>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</si>
  <si>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</si>
  <si>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</si>
  <si>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</si>
  <si>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</si>
  <si>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</si>
  <si>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</si>
  <si>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</si>
  <si>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</si>
  <si>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</si>
  <si>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</si>
  <si>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</si>
  <si>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</si>
  <si>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</si>
  <si>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</si>
  <si>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</si>
  <si>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</si>
  <si>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</si>
  <si>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</si>
  <si>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</si>
  <si>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</si>
  <si>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</si>
  <si>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</si>
  <si>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</si>
  <si>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</si>
  <si>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</si>
  <si>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</si>
  <si>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</si>
  <si>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</si>
  <si>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</si>
  <si>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</si>
  <si>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</si>
  <si>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</si>
  <si>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</si>
  <si>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</si>
  <si>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</si>
  <si>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</si>
  <si>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</si>
  <si>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</si>
  <si>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</si>
  <si>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</si>
  <si>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</si>
  <si>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</si>
  <si>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</si>
  <si>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</si>
  <si>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</si>
  <si>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</si>
  <si>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</si>
  <si>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</si>
  <si>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</si>
  <si>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</si>
  <si>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</si>
  <si>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</si>
  <si>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</si>
  <si>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</si>
  <si>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</si>
  <si>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</si>
  <si>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</si>
  <si>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</si>
  <si>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</si>
  <si>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</si>
  <si>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</si>
  <si>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</si>
  <si>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</si>
  <si>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</si>
  <si>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</si>
  <si>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</si>
  <si>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</si>
  <si>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</si>
  <si>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</si>
  <si>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</si>
  <si>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</si>
  <si>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</si>
  <si>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</si>
  <si>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</si>
  <si>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</si>
  <si>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</si>
  <si>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</si>
  <si>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</si>
  <si>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</si>
  <si>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</si>
  <si>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</si>
  <si>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</si>
  <si>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</si>
  <si>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</si>
  <si>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</si>
  <si>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</si>
  <si>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</si>
  <si>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</si>
  <si>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</si>
  <si>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</si>
  <si>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</si>
  <si>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</si>
  <si>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</si>
  <si>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</si>
  <si>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</si>
  <si>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</si>
  <si>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</si>
  <si>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</si>
  <si>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</si>
  <si>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</si>
  <si>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</si>
  <si>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</si>
  <si>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</si>
  <si>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</si>
  <si>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</si>
  <si>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</si>
  <si>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</si>
  <si>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</si>
  <si>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</si>
  <si>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</si>
  <si>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</si>
  <si>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</si>
  <si>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</si>
  <si>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</si>
  <si>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</si>
  <si>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</si>
  <si>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</si>
  <si>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</si>
  <si>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</si>
  <si>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</si>
  <si>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</si>
  <si>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</si>
  <si>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</si>
  <si>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</si>
  <si>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</si>
  <si>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</si>
  <si>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</si>
  <si>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</si>
  <si>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</si>
  <si>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</si>
  <si>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</si>
  <si>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</si>
  <si>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</si>
  <si>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</si>
  <si>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</si>
  <si>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</si>
  <si>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</si>
  <si>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</si>
  <si>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</si>
  <si>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</si>
  <si>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</si>
  <si>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</si>
  <si>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</si>
  <si>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</si>
  <si>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</si>
  <si>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</si>
  <si>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</si>
  <si>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</si>
  <si>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</si>
  <si>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</si>
  <si>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</si>
  <si>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</si>
  <si>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</si>
  <si>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</si>
  <si>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</si>
  <si>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</si>
  <si>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</si>
  <si>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</si>
  <si>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</si>
  <si>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</si>
  <si>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</si>
  <si>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</si>
  <si>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</si>
  <si>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</si>
  <si>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</si>
  <si>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</si>
  <si>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</si>
  <si>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</si>
  <si>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</si>
  <si>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</si>
  <si>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</si>
  <si>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</si>
  <si>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</si>
  <si>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</si>
  <si>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</si>
  <si>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</si>
  <si>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</si>
  <si>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</si>
  <si>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</si>
  <si>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</si>
  <si>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</si>
  <si>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</si>
  <si>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</si>
  <si>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</si>
  <si>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</si>
  <si>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</si>
  <si>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</si>
  <si>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</si>
  <si>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</si>
  <si>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</si>
  <si>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</si>
  <si>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</si>
  <si>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</si>
  <si>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</si>
  <si>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</si>
  <si>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</si>
  <si>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</si>
  <si>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</si>
  <si>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</si>
  <si>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</si>
  <si>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</si>
  <si>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</si>
  <si>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</si>
  <si>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</si>
  <si>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</si>
  <si>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</si>
  <si>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</si>
  <si>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</si>
  <si>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</si>
  <si>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</si>
  <si>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</si>
  <si>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</si>
  <si>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</si>
  <si>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</si>
  <si>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</si>
  <si>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</si>
  <si>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</si>
  <si>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</si>
  <si>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</si>
  <si>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</si>
  <si>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</si>
  <si>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</si>
  <si>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</si>
  <si>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</si>
  <si>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</si>
  <si>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</si>
  <si>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</si>
  <si>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</si>
  <si>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</si>
  <si>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</si>
  <si>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</si>
  <si>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</si>
  <si>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</si>
  <si>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</si>
  <si>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</si>
  <si>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</si>
  <si>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</si>
  <si>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</si>
  <si>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</si>
  <si>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</si>
  <si>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</si>
  <si>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</si>
  <si>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</si>
  <si>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</si>
  <si>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</si>
  <si>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</si>
  <si>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</si>
  <si>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</si>
  <si>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</si>
  <si>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</si>
  <si>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</si>
  <si>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</si>
  <si>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</si>
  <si>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</si>
  <si>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</si>
  <si>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</si>
  <si>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</si>
  <si>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</si>
  <si>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</si>
  <si>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</si>
  <si>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</si>
  <si>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</si>
  <si>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</si>
  <si>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</si>
  <si>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</si>
  <si>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</si>
  <si>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</si>
  <si>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</si>
  <si>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</si>
  <si>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</si>
  <si>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</si>
  <si>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</si>
  <si>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</si>
  <si>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</si>
  <si>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</si>
  <si>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</si>
  <si>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</si>
  <si>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</si>
  <si>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</si>
  <si>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</si>
  <si>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</si>
  <si>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</si>
  <si>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</si>
  <si>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</si>
  <si>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</si>
  <si>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</si>
  <si>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</si>
  <si>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</si>
  <si>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</si>
  <si>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</si>
  <si>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</si>
  <si>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</si>
  <si>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</si>
  <si>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</si>
  <si>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</si>
  <si>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</si>
  <si>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</si>
  <si>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</si>
  <si>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</si>
  <si>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</si>
  <si>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</si>
  <si>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</si>
  <si>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</si>
  <si>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</si>
  <si>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</si>
  <si>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</si>
  <si>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</si>
  <si>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</si>
  <si>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</si>
  <si>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</si>
  <si>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</si>
  <si>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</si>
  <si>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</si>
  <si>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</si>
  <si>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</si>
  <si>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</si>
  <si>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</si>
  <si>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</si>
  <si>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</si>
  <si>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</si>
  <si>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</si>
  <si>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</si>
  <si>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</si>
  <si>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</si>
  <si>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</si>
  <si>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</si>
  <si>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</si>
  <si>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</si>
  <si>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</si>
  <si>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</si>
  <si>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</si>
  <si>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</si>
  <si>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</si>
  <si>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</si>
  <si>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</si>
  <si>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</si>
  <si>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</si>
  <si>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</si>
  <si>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</si>
  <si>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</si>
  <si>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</si>
  <si>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</si>
  <si>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</si>
  <si>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</si>
  <si>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</si>
  <si>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</si>
  <si>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</si>
  <si>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</si>
  <si>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</si>
  <si>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</si>
  <si>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</si>
  <si>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</si>
  <si>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</si>
  <si>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</si>
  <si>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</si>
  <si>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</si>
  <si>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</si>
  <si>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</si>
  <si>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</si>
  <si>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</si>
  <si>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</si>
  <si>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</si>
  <si>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</si>
  <si>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</si>
  <si>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</si>
  <si>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</si>
  <si>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</si>
  <si>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</si>
  <si>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</si>
  <si>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</si>
  <si>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</si>
  <si>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</si>
  <si>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</si>
  <si>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</si>
  <si>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</si>
  <si>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</si>
  <si>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</si>
  <si>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</si>
  <si>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</si>
  <si>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</si>
  <si>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</si>
  <si>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</si>
  <si>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</si>
  <si>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</si>
  <si>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</si>
  <si>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</si>
  <si>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</si>
  <si>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</si>
  <si>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</si>
  <si>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</si>
  <si>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</si>
  <si>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</si>
  <si>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</si>
  <si>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</si>
  <si>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</si>
  <si>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</si>
  <si>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</si>
  <si>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</si>
  <si>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</si>
  <si>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</si>
  <si>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</si>
  <si>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</si>
  <si>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</si>
  <si>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</si>
  <si>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</si>
  <si>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</si>
  <si>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</si>
  <si>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</si>
  <si>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</si>
  <si>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</si>
  <si>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</si>
  <si>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</si>
  <si>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</si>
  <si>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</si>
  <si>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</si>
  <si>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</si>
  <si>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</si>
  <si>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</si>
  <si>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</si>
  <si>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</si>
  <si>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</si>
  <si>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</si>
  <si>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</si>
  <si>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</si>
  <si>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</si>
  <si>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</si>
  <si>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</si>
  <si>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</si>
  <si>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</si>
  <si>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</si>
  <si>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</si>
  <si>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</si>
  <si>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</si>
  <si>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</si>
  <si>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</si>
  <si>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</si>
  <si>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</si>
  <si>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</si>
  <si>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</si>
  <si>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</si>
  <si>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</si>
  <si>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</si>
  <si>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</si>
  <si>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</si>
  <si>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</si>
  <si>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</si>
  <si>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</si>
  <si>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</si>
  <si>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</si>
  <si>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</si>
  <si>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</si>
  <si>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</si>
  <si>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</si>
  <si>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</si>
  <si>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</si>
  <si>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</si>
  <si>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</si>
  <si>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</si>
  <si>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</si>
  <si>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</si>
  <si>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</si>
  <si>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</si>
  <si>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</si>
  <si>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</si>
  <si>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</si>
  <si>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</si>
  <si>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</si>
  <si>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</si>
  <si>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</si>
  <si>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</si>
  <si>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</si>
  <si>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</si>
  <si>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</si>
  <si>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</si>
  <si>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</si>
  <si>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</si>
  <si>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</si>
  <si>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</si>
  <si>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</si>
  <si>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</si>
  <si>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</si>
  <si>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</si>
  <si>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</si>
  <si>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</si>
  <si>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</si>
  <si>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</si>
  <si>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</si>
  <si>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</si>
  <si>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</si>
  <si>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</si>
  <si>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</si>
  <si>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</si>
  <si>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</si>
  <si>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</si>
  <si>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</si>
  <si>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</si>
  <si>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</si>
  <si>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</si>
  <si>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</si>
  <si>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</si>
  <si>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</si>
  <si>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</si>
  <si>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</si>
  <si>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</si>
  <si>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</si>
  <si>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</si>
  <si>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</si>
  <si>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</si>
  <si>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</si>
  <si>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</si>
  <si>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</si>
  <si>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</si>
  <si>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</si>
  <si>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</si>
  <si>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</si>
  <si>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</si>
  <si>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</si>
  <si>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</si>
  <si>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</si>
  <si>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</si>
  <si>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</si>
  <si>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</si>
  <si>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</si>
  <si>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</si>
  <si>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</si>
  <si>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</si>
  <si>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</si>
  <si>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</si>
  <si>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</si>
  <si>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</si>
  <si>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</si>
  <si>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</si>
  <si>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</si>
  <si>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</si>
  <si>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</si>
  <si>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</si>
  <si>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</si>
  <si>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</si>
  <si>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</si>
  <si>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</si>
  <si>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</si>
  <si>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</si>
  <si>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</si>
  <si>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</si>
  <si>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</si>
  <si>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</si>
  <si>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</si>
  <si>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</si>
  <si>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</si>
  <si>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</si>
  <si>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</si>
  <si>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</si>
  <si>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</si>
  <si>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</si>
  <si>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</si>
  <si>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</si>
  <si>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</si>
  <si>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</si>
  <si>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</si>
  <si>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</si>
  <si>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</si>
  <si>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</si>
  <si>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</si>
  <si>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</si>
  <si>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</si>
  <si>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</si>
  <si>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</si>
  <si>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</si>
  <si>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</si>
  <si>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</si>
  <si>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</si>
  <si>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</si>
  <si>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</si>
  <si>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</si>
  <si>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</si>
  <si>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</si>
  <si>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</si>
  <si>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</si>
  <si>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</si>
  <si>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</si>
  <si>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</si>
  <si>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</si>
  <si>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</si>
  <si>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</si>
  <si>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</si>
  <si>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</si>
  <si>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</si>
  <si>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</si>
  <si>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</si>
  <si>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</si>
  <si>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</si>
  <si>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</si>
  <si>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</si>
  <si>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</si>
  <si>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</si>
  <si>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</si>
  <si>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</si>
  <si>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</si>
  <si>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</si>
  <si>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</si>
  <si>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</si>
  <si>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</si>
  <si>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</si>
  <si>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</si>
  <si>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</si>
  <si>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</si>
  <si>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</si>
  <si>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</si>
  <si>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</si>
  <si>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</si>
  <si>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</si>
  <si>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</si>
  <si>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</si>
  <si>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</si>
  <si>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</si>
  <si>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</si>
  <si>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</si>
  <si>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</si>
  <si>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</si>
  <si>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</si>
  <si>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</si>
  <si>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</si>
  <si>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</si>
  <si>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</si>
  <si>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</si>
  <si>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</si>
  <si>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</si>
  <si>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</si>
  <si>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</si>
  <si>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</si>
  <si>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</si>
  <si>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</si>
  <si>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</si>
  <si>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</si>
  <si>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</si>
  <si>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</si>
  <si>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</si>
  <si>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</si>
  <si>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</si>
  <si>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</si>
  <si>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</si>
  <si>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</si>
  <si>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</si>
  <si>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</si>
  <si>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</si>
  <si>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</si>
  <si>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</si>
  <si>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</si>
  <si>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</si>
  <si>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</si>
  <si>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</si>
  <si>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</si>
  <si>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</si>
  <si>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</si>
  <si>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</si>
  <si>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</si>
  <si>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</si>
  <si>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</si>
  <si>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</si>
  <si>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</si>
  <si>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</si>
  <si>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</si>
  <si>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</si>
  <si>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</si>
  <si>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</si>
  <si>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</si>
  <si>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</si>
  <si>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</si>
  <si>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</si>
  <si>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</si>
  <si>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</si>
  <si>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</si>
  <si>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</si>
  <si>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</si>
  <si>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</si>
  <si>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</si>
  <si>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</si>
  <si>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</si>
  <si>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</si>
  <si>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</si>
  <si>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</si>
  <si>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</si>
  <si>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</si>
  <si>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</si>
  <si>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</si>
  <si>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</si>
  <si>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</si>
  <si>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</si>
  <si>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</si>
  <si>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</si>
  <si>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</si>
  <si>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</si>
  <si>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</si>
  <si>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</si>
  <si>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</si>
  <si>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</si>
  <si>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</si>
  <si>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</si>
  <si>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</si>
  <si>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</si>
  <si>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</si>
  <si>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</si>
  <si>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</si>
  <si>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</si>
  <si>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</si>
  <si>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</si>
  <si>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</si>
  <si>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</si>
  <si>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</si>
  <si>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</si>
  <si>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</si>
  <si>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</si>
  <si>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</si>
  <si>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</si>
  <si>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</si>
  <si>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</si>
  <si>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</si>
  <si>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</si>
  <si>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</si>
  <si>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</si>
  <si>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</si>
  <si>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</si>
  <si>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</si>
  <si>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</si>
  <si>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</si>
  <si>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</si>
  <si>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</si>
  <si>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</si>
  <si>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</si>
  <si>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</si>
  <si>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</si>
  <si>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</si>
  <si>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</si>
  <si>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</si>
  <si>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</si>
  <si>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</si>
  <si>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</si>
  <si>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</si>
  <si>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</si>
  <si>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</si>
  <si>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</si>
  <si>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</si>
  <si>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</si>
  <si>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</si>
  <si>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</si>
  <si>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</si>
  <si>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</si>
  <si>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</si>
  <si>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</si>
  <si>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</si>
  <si>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</si>
  <si>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</si>
  <si>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</si>
  <si>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</si>
  <si>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</si>
  <si>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</si>
  <si>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</si>
  <si>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</si>
  <si>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</si>
  <si>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</si>
  <si>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</si>
  <si>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</si>
  <si>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</si>
  <si>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</si>
  <si>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</si>
  <si>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</si>
  <si>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</si>
  <si>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</si>
  <si>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</si>
  <si>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</si>
  <si>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</si>
  <si>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</si>
  <si>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</si>
  <si>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</si>
  <si>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</si>
  <si>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</si>
  <si>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</si>
  <si>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</si>
  <si>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</si>
  <si>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</si>
  <si>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</si>
  <si>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</si>
  <si>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</si>
  <si>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</si>
  <si>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</si>
  <si>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</si>
  <si>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</si>
  <si>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</si>
  <si>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</si>
  <si>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</si>
  <si>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</si>
  <si>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</si>
  <si>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</si>
  <si>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</si>
  <si>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</si>
  <si>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</si>
  <si>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</si>
  <si>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</si>
  <si>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</si>
  <si>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</si>
  <si>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</si>
  <si>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</si>
  <si>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</si>
  <si>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</si>
  <si>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</si>
  <si>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</si>
  <si>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</si>
  <si>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</si>
  <si>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</si>
  <si>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</si>
  <si>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</si>
  <si>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</si>
  <si>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</si>
  <si>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</si>
  <si>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</si>
  <si>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</si>
  <si>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</si>
  <si>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</si>
  <si>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</si>
  <si>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</si>
  <si>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</si>
  <si>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</si>
  <si>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</si>
  <si>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</si>
  <si>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</si>
  <si>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</si>
  <si>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</si>
  <si>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</si>
  <si>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</si>
  <si>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</si>
  <si>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</si>
  <si>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</si>
  <si>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</si>
  <si>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</si>
  <si>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</si>
  <si>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</si>
  <si>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</si>
  <si>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</si>
  <si>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</si>
  <si>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</si>
  <si>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</si>
  <si>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</si>
  <si>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</si>
  <si>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</si>
  <si>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</si>
  <si>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</si>
  <si>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</si>
  <si>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</si>
  <si>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</si>
  <si>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</si>
  <si>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</si>
  <si>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</si>
  <si>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</si>
  <si>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</si>
  <si>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</si>
  <si>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</si>
  <si>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</si>
  <si>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</si>
  <si>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</si>
  <si>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</si>
  <si>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</si>
  <si>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</si>
  <si>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</si>
  <si>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</si>
  <si>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</si>
  <si>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</si>
  <si>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</si>
  <si>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</si>
  <si>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</si>
  <si>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</si>
  <si>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</si>
  <si>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</si>
  <si>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</si>
  <si>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</si>
  <si>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</si>
  <si>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</si>
  <si>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</si>
  <si>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</si>
  <si>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</si>
  <si>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</si>
  <si>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</si>
  <si>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</si>
  <si>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</si>
  <si>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</si>
  <si>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</si>
  <si>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</si>
  <si>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</si>
  <si>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</si>
  <si>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</si>
  <si>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</si>
  <si>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</si>
  <si>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</si>
  <si>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</si>
  <si>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</si>
  <si>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</si>
  <si>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</si>
  <si>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</si>
  <si>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</si>
  <si>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</si>
  <si>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</si>
  <si>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</si>
  <si>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</si>
  <si>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</si>
  <si>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</si>
  <si>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</si>
  <si>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</si>
  <si>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</si>
  <si>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</si>
  <si>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</si>
  <si>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</si>
  <si>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</si>
  <si>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</si>
  <si>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</si>
  <si>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</si>
  <si>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</si>
  <si>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</si>
  <si>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</si>
  <si>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</si>
  <si>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</si>
  <si>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</si>
  <si>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</si>
  <si>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</si>
  <si>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</si>
  <si>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</si>
  <si>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</si>
  <si>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</si>
  <si>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</si>
  <si>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</si>
  <si>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</si>
  <si>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</si>
  <si>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</si>
  <si>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</si>
  <si>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</si>
  <si>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</si>
  <si>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</si>
  <si>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</si>
  <si>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</si>
  <si>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</si>
  <si>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</si>
  <si>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</si>
  <si>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</si>
  <si>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</si>
  <si>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</si>
  <si>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</si>
  <si>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</si>
  <si>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</si>
  <si>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</si>
  <si>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</si>
  <si>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</si>
  <si>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</si>
  <si>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</si>
  <si>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</si>
  <si>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</si>
  <si>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</si>
  <si>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</si>
  <si>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</si>
  <si>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</si>
  <si>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</si>
  <si>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</si>
  <si>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</si>
  <si>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</si>
  <si>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</si>
  <si>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</si>
  <si>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</si>
  <si>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</si>
  <si>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</si>
  <si>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</si>
  <si>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</si>
  <si>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</si>
  <si>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</si>
  <si>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</si>
  <si>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</si>
  <si>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</si>
  <si>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</si>
  <si>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</si>
  <si>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</si>
  <si>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</si>
  <si>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</si>
  <si>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</si>
  <si>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</si>
  <si>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</si>
  <si>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</si>
  <si>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</si>
  <si>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</si>
  <si>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</si>
  <si>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</si>
  <si>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</si>
  <si>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</si>
  <si>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</si>
  <si>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</si>
  <si>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</si>
  <si>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</si>
  <si>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</si>
  <si>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</si>
  <si>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</si>
  <si>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</si>
  <si>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</si>
  <si>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</si>
  <si>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</si>
  <si>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</si>
  <si>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</si>
  <si>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</si>
  <si>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</si>
  <si>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</si>
  <si>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</si>
  <si>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</si>
  <si>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</si>
  <si>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</si>
  <si>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</si>
  <si>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</si>
  <si>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</si>
  <si>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</si>
  <si>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</si>
  <si>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</si>
  <si>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</si>
  <si>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</si>
  <si>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</si>
  <si>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</si>
  <si>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</si>
  <si>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</si>
  <si>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</si>
  <si>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</si>
  <si>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</si>
  <si>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</si>
  <si>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</si>
  <si>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</si>
  <si>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</si>
  <si>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</si>
  <si>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</si>
  <si>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</si>
  <si>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</si>
  <si>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</si>
  <si>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</si>
  <si>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</si>
  <si>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</si>
  <si>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</si>
  <si>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</si>
  <si>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</si>
  <si>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</si>
  <si>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</si>
  <si>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</si>
  <si>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</si>
  <si>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</si>
  <si>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</si>
  <si>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</si>
  <si>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</si>
  <si>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</si>
  <si>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</si>
  <si>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</si>
  <si>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</si>
  <si>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</si>
  <si>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</si>
  <si>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</si>
  <si>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</si>
  <si>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</si>
  <si>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</si>
  <si>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</si>
  <si>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</si>
  <si>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</si>
  <si>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</si>
  <si>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</si>
  <si>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</si>
  <si>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</si>
  <si>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</si>
  <si>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</si>
  <si>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</si>
  <si>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</si>
  <si>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</si>
  <si>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</si>
  <si>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</si>
  <si>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</si>
  <si>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</si>
  <si>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</si>
  <si>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</si>
  <si>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</si>
  <si>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</si>
  <si>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</si>
  <si>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</si>
  <si>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</si>
  <si>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</si>
  <si>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</si>
  <si>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</si>
  <si>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</si>
  <si>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</si>
  <si>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</si>
  <si>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</si>
  <si>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</si>
  <si>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</si>
  <si>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</si>
  <si>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</si>
  <si>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</si>
  <si>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</si>
  <si>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</si>
  <si>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</si>
  <si>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</si>
  <si>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</si>
  <si>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</si>
  <si>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</si>
  <si>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</si>
  <si>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</si>
  <si>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</si>
  <si>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</si>
  <si>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</si>
  <si>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</si>
  <si>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</si>
  <si>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</si>
  <si>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</si>
  <si>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</si>
  <si>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</si>
  <si>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</si>
  <si>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</si>
  <si>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</si>
  <si>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</si>
  <si>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</si>
  <si>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</si>
  <si>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</si>
  <si>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</si>
  <si>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</si>
  <si>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</si>
  <si>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</si>
  <si>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</si>
  <si>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</si>
  <si>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</si>
  <si>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</si>
  <si>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</si>
  <si>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</si>
  <si>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</si>
  <si>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</si>
  <si>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</si>
  <si>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</si>
  <si>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</si>
  <si>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</si>
  <si>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</si>
  <si>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</si>
  <si>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</si>
  <si>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</si>
  <si>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</si>
  <si>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</si>
  <si>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</si>
  <si>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</si>
  <si>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</si>
  <si>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</si>
  <si>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</si>
  <si>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</si>
  <si>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</si>
  <si>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</si>
  <si>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</si>
  <si>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</si>
  <si>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</si>
  <si>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</si>
  <si>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</si>
  <si>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</si>
  <si>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</si>
  <si>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</si>
  <si>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</si>
  <si>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</si>
  <si>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</si>
  <si>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</si>
  <si>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</si>
  <si>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</si>
  <si>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</si>
  <si>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</si>
  <si>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</si>
  <si>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</si>
  <si>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</si>
  <si>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</si>
  <si>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</si>
  <si>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</si>
  <si>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</si>
  <si>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</si>
  <si>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</si>
  <si>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</si>
  <si>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</si>
  <si>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</si>
  <si>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</si>
  <si>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</si>
  <si>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</si>
  <si>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</si>
  <si>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</si>
  <si>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</si>
  <si>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</si>
  <si>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</si>
  <si>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</si>
  <si>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</si>
  <si>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</si>
  <si>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</si>
  <si>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</si>
  <si>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</si>
  <si>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</si>
  <si>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</si>
  <si>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</si>
  <si>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</si>
  <si>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</si>
  <si>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</si>
  <si>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</si>
  <si>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</si>
  <si>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</si>
  <si>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</si>
  <si>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</si>
  <si>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</si>
  <si>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</si>
  <si>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</si>
  <si>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</si>
  <si>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</si>
  <si>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</si>
  <si>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</si>
  <si>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</si>
  <si>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</si>
  <si>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</si>
  <si>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</si>
  <si>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</si>
  <si>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</si>
  <si>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</si>
  <si>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</si>
  <si>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</si>
  <si>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</si>
  <si>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</si>
  <si>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</si>
  <si>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</si>
  <si>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</si>
  <si>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</si>
  <si>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</si>
  <si>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</si>
  <si>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</si>
  <si>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</si>
  <si>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</si>
  <si>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</si>
  <si>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</si>
  <si>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</si>
  <si>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</si>
  <si>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</si>
  <si>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</si>
  <si>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</si>
  <si>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</si>
  <si>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</si>
  <si>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</si>
  <si>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</si>
  <si>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</si>
  <si>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</si>
  <si>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</si>
  <si>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</si>
  <si>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</si>
  <si>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</si>
  <si>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</si>
  <si>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</si>
  <si>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</si>
  <si>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</si>
  <si>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</si>
  <si>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</si>
  <si>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</si>
  <si>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</si>
  <si>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</si>
  <si>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</si>
  <si>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</si>
  <si>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</si>
  <si>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</si>
  <si>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</si>
  <si>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</si>
  <si>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</si>
  <si>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</si>
  <si>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</si>
  <si>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</si>
  <si>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</si>
  <si>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</si>
  <si>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</si>
  <si>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</si>
  <si>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</si>
  <si>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</si>
  <si>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</si>
  <si>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</si>
  <si>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</si>
  <si>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</si>
  <si>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</si>
  <si>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</si>
  <si>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</si>
  <si>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</si>
  <si>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</si>
  <si>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</si>
  <si>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</si>
  <si>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</si>
  <si>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</si>
  <si>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</si>
  <si>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</si>
  <si>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</si>
  <si>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</si>
  <si>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</si>
  <si>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</si>
  <si>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</si>
  <si>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</si>
  <si>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</si>
  <si>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</si>
  <si>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</si>
  <si>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</si>
  <si>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</si>
  <si>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</si>
  <si>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</si>
  <si>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</si>
  <si>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</si>
  <si>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</si>
  <si>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</si>
  <si>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</si>
  <si>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</si>
  <si>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</si>
  <si>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</si>
  <si>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</si>
  <si>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</si>
  <si>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</si>
  <si>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</si>
  <si>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</si>
  <si>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</si>
  <si>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</si>
  <si>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</si>
  <si>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</si>
  <si>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</si>
  <si>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</si>
  <si>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</si>
  <si>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</si>
  <si>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</si>
  <si>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</si>
  <si>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</si>
  <si>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</si>
  <si>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</si>
  <si>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</si>
  <si>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</si>
  <si>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</si>
  <si>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</si>
  <si>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</si>
  <si>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</si>
  <si>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</si>
  <si>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</si>
  <si>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</si>
  <si>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</si>
  <si>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</si>
  <si>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</si>
  <si>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</si>
  <si>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</si>
  <si>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</si>
  <si>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</si>
  <si>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</si>
  <si>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</si>
  <si>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</si>
  <si>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</si>
  <si>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</si>
  <si>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</si>
  <si>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</si>
  <si>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</si>
  <si>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</si>
  <si>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</si>
  <si>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</si>
  <si>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</si>
  <si>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</si>
  <si>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</si>
  <si>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</si>
  <si>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</si>
  <si>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</si>
  <si>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</si>
  <si>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</si>
  <si>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</si>
  <si>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</si>
  <si>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</si>
  <si>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</si>
  <si>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</si>
  <si>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</si>
  <si>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</si>
  <si>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</si>
  <si>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</si>
  <si>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</si>
  <si>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</si>
  <si>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</si>
  <si>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</si>
  <si>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</si>
  <si>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</si>
  <si>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</si>
  <si>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</si>
  <si>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</si>
  <si>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</si>
  <si>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</si>
  <si>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</si>
  <si>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</si>
  <si>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</si>
  <si>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</si>
  <si>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</si>
  <si>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</si>
  <si>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</si>
  <si>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</si>
  <si>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</si>
  <si>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</si>
  <si>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</si>
  <si>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</si>
  <si>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</si>
  <si>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</si>
  <si>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</si>
  <si>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</si>
  <si>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</si>
  <si>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</si>
  <si>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</si>
  <si>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</si>
  <si>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</si>
  <si>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</si>
  <si>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</si>
  <si>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</si>
  <si>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</si>
  <si>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</si>
  <si>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</si>
  <si>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</si>
  <si>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</si>
  <si>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</si>
  <si>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</si>
  <si>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</si>
  <si>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</si>
  <si>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</si>
  <si>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</si>
  <si>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</si>
  <si>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</si>
  <si>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</si>
  <si>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</si>
  <si>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</si>
  <si>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</si>
  <si>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</si>
  <si>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</si>
  <si>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</si>
  <si>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</si>
  <si>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</si>
  <si>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</si>
  <si>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</si>
  <si>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</si>
  <si>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</si>
  <si>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</si>
  <si>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</si>
  <si>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</si>
  <si>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</si>
  <si>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</si>
  <si>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</si>
  <si>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</si>
  <si>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</si>
  <si>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</si>
  <si>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</si>
  <si>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</si>
  <si>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</si>
  <si>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</si>
  <si>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</si>
  <si>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</si>
  <si>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</si>
  <si>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</si>
  <si>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</si>
  <si>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</si>
  <si>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</si>
  <si>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</si>
  <si>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</si>
  <si>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</si>
  <si>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</si>
  <si>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</si>
  <si>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</si>
  <si>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</si>
  <si>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</si>
  <si>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</si>
  <si>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</si>
  <si>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</si>
  <si>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</si>
  <si>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</si>
  <si>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</si>
  <si>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</si>
  <si>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</si>
  <si>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</si>
  <si>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</si>
  <si>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</si>
  <si>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</si>
  <si>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</si>
  <si>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</si>
  <si>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</si>
  <si>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</si>
  <si>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</si>
  <si>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</si>
  <si>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</si>
  <si>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</si>
  <si>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</si>
  <si>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</si>
  <si>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</si>
  <si>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</si>
  <si>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</si>
  <si>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</si>
  <si>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</si>
  <si>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</si>
  <si>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</si>
  <si>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</si>
  <si>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</si>
  <si>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</si>
  <si>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</si>
  <si>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</si>
  <si>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</si>
  <si>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</si>
  <si>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</si>
  <si>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</si>
  <si>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</si>
  <si>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</si>
  <si>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</si>
  <si>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</si>
  <si>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</si>
  <si>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</si>
  <si>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</si>
  <si>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</si>
  <si>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</si>
  <si>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</si>
  <si>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</si>
  <si>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</si>
  <si>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</si>
  <si>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</si>
  <si>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</si>
  <si>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</si>
  <si>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</si>
  <si>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</si>
  <si>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</si>
  <si>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</si>
  <si>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</si>
  <si>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</si>
  <si>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</si>
  <si>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</si>
  <si>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</si>
  <si>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</si>
  <si>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</si>
  <si>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</si>
  <si>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</si>
  <si>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</si>
  <si>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</si>
  <si>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</si>
  <si>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</si>
  <si>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</si>
  <si>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</si>
  <si>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</si>
  <si>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</si>
  <si>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</si>
  <si>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</si>
  <si>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</si>
  <si>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</si>
  <si>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</si>
  <si>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</si>
  <si>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</si>
  <si>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</si>
  <si>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</si>
  <si>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</si>
  <si>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</si>
  <si>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</si>
  <si>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</si>
  <si>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</si>
  <si>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</si>
  <si>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</si>
  <si>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</si>
  <si>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</si>
  <si>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</si>
  <si>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</si>
  <si>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</si>
  <si>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</si>
  <si>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</si>
  <si>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</si>
  <si>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</si>
  <si>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</si>
  <si>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</si>
  <si>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</si>
  <si>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</si>
  <si>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</si>
  <si>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</si>
  <si>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</si>
  <si>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</si>
  <si>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</si>
  <si>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</si>
  <si>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</si>
  <si>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</si>
  <si>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</si>
  <si>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</si>
  <si>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</si>
  <si>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</si>
  <si>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</si>
  <si>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</si>
  <si>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</si>
  <si>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</si>
  <si>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</si>
  <si>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</si>
  <si>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</si>
  <si>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</si>
  <si>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</si>
  <si>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</si>
  <si>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</si>
  <si>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</si>
  <si>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</si>
  <si>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</si>
  <si>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</si>
  <si>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</si>
  <si>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</si>
  <si>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</si>
  <si>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</si>
  <si>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</si>
  <si>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</si>
  <si>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</si>
  <si>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</si>
  <si>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</si>
  <si>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</si>
  <si>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</si>
  <si>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</si>
  <si>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</si>
  <si>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</si>
  <si>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</si>
  <si>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</si>
  <si>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</si>
  <si>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</si>
  <si>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</si>
  <si>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</si>
  <si>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</si>
  <si>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</si>
  <si>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</si>
  <si>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</si>
  <si>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</si>
  <si>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</si>
  <si>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</si>
  <si>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</si>
  <si>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</si>
  <si>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</si>
  <si>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</si>
  <si>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</si>
  <si>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</si>
  <si>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</si>
  <si>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</si>
  <si>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</si>
  <si>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</si>
  <si>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</si>
  <si>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</si>
  <si>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</si>
  <si>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</si>
  <si>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</si>
  <si>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</si>
  <si>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</si>
  <si>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</si>
  <si>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</si>
  <si>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</si>
  <si>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</si>
  <si>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</si>
  <si>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</si>
  <si>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</si>
  <si>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</si>
  <si>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</si>
  <si>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</si>
  <si>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</si>
  <si>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</si>
  <si>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</si>
  <si>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</si>
  <si>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</si>
  <si>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</si>
  <si>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</si>
  <si>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</si>
  <si>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</si>
  <si>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</si>
  <si>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</si>
  <si>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</si>
  <si>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</si>
  <si>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</si>
  <si>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</si>
  <si>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</si>
  <si>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</si>
  <si>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</si>
  <si>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</si>
  <si>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</si>
  <si>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</si>
  <si>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</si>
  <si>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</si>
  <si>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</si>
  <si>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</si>
  <si>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</si>
  <si>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</si>
  <si>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</si>
  <si>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</si>
  <si>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</si>
  <si>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</si>
  <si>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</si>
  <si>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</si>
  <si>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</si>
  <si>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</si>
  <si>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</si>
  <si>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</si>
  <si>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</si>
  <si>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</si>
  <si>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</si>
  <si>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</si>
  <si>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</si>
  <si>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</si>
  <si>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</si>
  <si>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</si>
  <si>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</si>
  <si>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</si>
  <si>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</si>
  <si>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</si>
  <si>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</si>
  <si>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</si>
  <si>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</si>
  <si>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</si>
  <si>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</si>
  <si>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</si>
  <si>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</si>
  <si>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</si>
  <si>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</si>
  <si>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</si>
  <si>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</si>
  <si>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</si>
  <si>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</si>
  <si>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</si>
  <si>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</si>
  <si>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</si>
  <si>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</si>
  <si>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</si>
  <si>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</si>
  <si>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</si>
  <si>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</si>
  <si>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</si>
  <si>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</si>
  <si>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</si>
  <si>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</si>
  <si>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</si>
  <si>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</si>
  <si>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</si>
  <si>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</si>
  <si>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</si>
  <si>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</si>
  <si>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</si>
  <si>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</si>
  <si>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</si>
  <si>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</si>
  <si>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</si>
  <si>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</si>
  <si>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</si>
  <si>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</si>
  <si>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</si>
  <si>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</si>
  <si>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</si>
  <si>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</si>
  <si>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</si>
  <si>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</si>
  <si>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</si>
  <si>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</si>
  <si>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</si>
  <si>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</si>
  <si>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</si>
  <si>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</si>
  <si>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</si>
  <si>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</si>
  <si>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</si>
  <si>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</si>
  <si>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</si>
  <si>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</si>
  <si>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</si>
  <si>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</si>
  <si>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</si>
  <si>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</si>
  <si>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</si>
  <si>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</si>
  <si>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</si>
  <si>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</si>
  <si>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</si>
  <si>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</si>
  <si>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</si>
  <si>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</si>
  <si>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</si>
  <si>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</si>
  <si>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</si>
  <si>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</si>
  <si>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</si>
  <si>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</si>
  <si>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</si>
  <si>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</si>
  <si>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</si>
  <si>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</si>
  <si>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</si>
  <si>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</si>
  <si>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</si>
  <si>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</si>
  <si>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</si>
  <si>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</si>
  <si>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</si>
  <si>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</si>
  <si>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</si>
  <si>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</si>
  <si>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</si>
  <si>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</si>
  <si>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</si>
  <si>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</si>
  <si>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</si>
  <si>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</si>
  <si>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</si>
  <si>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</si>
  <si>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</si>
  <si>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</si>
  <si>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</si>
  <si>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</si>
  <si>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</si>
  <si>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</si>
  <si>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</si>
  <si>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</si>
  <si>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</si>
  <si>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</si>
  <si>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</si>
  <si>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</si>
  <si>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</si>
  <si>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</si>
  <si>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</si>
  <si>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</si>
  <si>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</si>
  <si>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</si>
  <si>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</si>
  <si>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</si>
  <si>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</si>
  <si>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</si>
  <si>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</si>
  <si>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</si>
  <si>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</si>
  <si>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</si>
  <si>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</si>
  <si>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</si>
  <si>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</si>
  <si>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</si>
  <si>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</si>
  <si>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</si>
  <si>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</si>
  <si>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</si>
  <si>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</si>
  <si>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</si>
  <si>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</si>
  <si>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</si>
  <si>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</si>
  <si>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</si>
  <si>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</si>
  <si>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</si>
  <si>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</si>
  <si>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</si>
  <si>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</si>
  <si>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</si>
  <si>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</si>
  <si>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</si>
  <si>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</si>
  <si>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</si>
  <si>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</si>
  <si>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</si>
  <si>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</si>
  <si>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</si>
  <si>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</si>
  <si>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</si>
  <si>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</si>
  <si>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</si>
  <si>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</si>
  <si>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</si>
  <si>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</si>
  <si>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</si>
  <si>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</si>
  <si>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</si>
  <si>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</si>
  <si>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</si>
  <si>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</si>
  <si>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</si>
  <si>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</si>
  <si>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</si>
  <si>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</si>
  <si>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</si>
  <si>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</si>
  <si>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</si>
  <si>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</si>
  <si>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</si>
  <si>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</si>
  <si>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</si>
  <si>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</si>
  <si>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</si>
  <si>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</si>
  <si>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</si>
  <si>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</si>
  <si>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</si>
  <si>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</si>
  <si>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</si>
  <si>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</si>
  <si>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</si>
  <si>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</si>
  <si>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</si>
  <si>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</si>
  <si>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</si>
  <si>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</si>
  <si>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</si>
  <si>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</si>
  <si>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</si>
  <si>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</si>
  <si>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</si>
  <si>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</si>
  <si>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</si>
  <si>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</si>
  <si>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</si>
  <si>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</si>
  <si>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</si>
  <si>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</si>
  <si>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</si>
  <si>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</si>
  <si>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</si>
  <si>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</si>
  <si>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</si>
  <si>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</si>
  <si>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</si>
  <si>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</si>
  <si>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</si>
  <si>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</si>
  <si>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</si>
  <si>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</si>
  <si>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</si>
  <si>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</si>
  <si>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</si>
  <si>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</si>
  <si>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</si>
  <si>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</si>
  <si>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</si>
  <si>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</si>
  <si>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</si>
  <si>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</si>
  <si>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</si>
  <si>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</si>
  <si>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</si>
  <si>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</si>
  <si>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</si>
  <si>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</si>
  <si>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</si>
  <si>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</si>
  <si>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</si>
  <si>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</si>
  <si>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</si>
  <si>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</si>
  <si>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</si>
  <si>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</si>
  <si>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</si>
  <si>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</si>
  <si>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</si>
  <si>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</si>
  <si>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</si>
  <si>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</si>
  <si>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</si>
  <si>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</si>
  <si>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</si>
  <si>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</si>
  <si>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</si>
  <si>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</si>
  <si>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</si>
  <si>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</si>
  <si>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</si>
  <si>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</si>
  <si>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</si>
  <si>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</si>
  <si>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</si>
  <si>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</si>
  <si>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</si>
  <si>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</si>
  <si>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</si>
  <si>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</si>
  <si>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</si>
  <si>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</si>
  <si>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</si>
  <si>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</si>
  <si>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</si>
  <si>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</si>
  <si>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</si>
  <si>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</si>
  <si>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</si>
  <si>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</si>
  <si>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</si>
  <si>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</si>
  <si>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</si>
  <si>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</si>
  <si>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</si>
  <si>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</si>
  <si>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</si>
  <si>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</si>
  <si>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</si>
  <si>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</si>
  <si>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</si>
  <si>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</si>
  <si>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</si>
  <si>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</si>
  <si>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</si>
  <si>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</si>
  <si>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</si>
  <si>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</si>
  <si>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</si>
  <si>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</si>
  <si>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</si>
  <si>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</si>
  <si>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</si>
  <si>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</si>
  <si>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</si>
  <si>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</si>
  <si>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</si>
  <si>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</si>
  <si>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</si>
  <si>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</si>
  <si>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</si>
  <si>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</si>
  <si>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</si>
  <si>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</si>
  <si>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</si>
  <si>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</si>
  <si>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</si>
  <si>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</si>
  <si>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</si>
  <si>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</si>
  <si>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</si>
  <si>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</si>
  <si>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</si>
  <si>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</si>
  <si>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</si>
  <si>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</si>
  <si>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</si>
  <si>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</si>
  <si>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</si>
  <si>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</si>
  <si>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</si>
  <si>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</si>
  <si>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</si>
  <si>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</si>
  <si>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</si>
  <si>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</si>
  <si>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</si>
  <si>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</si>
  <si>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</si>
  <si>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</si>
  <si>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</si>
  <si>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</si>
  <si>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</si>
  <si>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</si>
  <si>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</si>
  <si>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</si>
  <si>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</si>
  <si>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</si>
  <si>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</si>
  <si>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</si>
  <si>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</si>
  <si>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</si>
  <si>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</si>
  <si>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</si>
  <si>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</si>
  <si>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</si>
  <si>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</si>
  <si>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</si>
  <si>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</si>
  <si>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</si>
  <si>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</si>
  <si>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</si>
  <si>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</si>
  <si>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</si>
  <si>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</si>
  <si>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</si>
  <si>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</si>
  <si>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</si>
  <si>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</si>
  <si>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</si>
  <si>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</si>
  <si>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</si>
  <si>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</si>
  <si>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</si>
  <si>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</si>
  <si>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</si>
  <si>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</si>
  <si>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</si>
  <si>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</si>
  <si>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</si>
  <si>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</si>
  <si>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</si>
  <si>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</si>
  <si>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</si>
  <si>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</si>
  <si>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</si>
  <si>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</si>
  <si>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</si>
  <si>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</si>
  <si>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</si>
  <si>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</si>
  <si>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</si>
  <si>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</si>
  <si>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</si>
  <si>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</si>
  <si>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</si>
  <si>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</si>
  <si>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</si>
  <si>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</si>
  <si>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</si>
  <si>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</si>
  <si>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</si>
  <si>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</si>
  <si>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</si>
  <si>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</si>
  <si>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</si>
  <si>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</si>
  <si>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</si>
  <si>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</si>
  <si>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</si>
  <si>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</si>
  <si>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</si>
  <si>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</si>
  <si>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</si>
  <si>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</si>
  <si>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</si>
  <si>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</si>
  <si>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</si>
  <si>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</si>
  <si>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</si>
  <si>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</si>
  <si>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</si>
  <si>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</si>
  <si>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</si>
  <si>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</si>
  <si>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</si>
  <si>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</si>
  <si>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</si>
  <si>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</si>
  <si>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</si>
  <si>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</si>
  <si>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</si>
  <si>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</si>
  <si>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</si>
  <si>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</si>
  <si>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</si>
  <si>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</si>
  <si>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</si>
  <si>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</si>
  <si>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</si>
  <si>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</si>
  <si>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</si>
  <si>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</si>
  <si>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</si>
  <si>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</si>
  <si>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</si>
  <si>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</si>
  <si>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</si>
  <si>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</si>
  <si>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</si>
  <si>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</si>
  <si>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</si>
  <si>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</si>
  <si>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</si>
  <si>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</si>
  <si>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</si>
  <si>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</si>
  <si>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</si>
  <si>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</si>
  <si>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</si>
  <si>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</si>
  <si>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</si>
  <si>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</si>
  <si>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</si>
  <si>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</si>
  <si>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</si>
  <si>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</si>
  <si>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</si>
  <si>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</si>
  <si>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</si>
  <si>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</si>
  <si>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</si>
  <si>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</si>
  <si>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</si>
  <si>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</si>
  <si>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</si>
  <si>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</si>
  <si>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</si>
  <si>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</si>
  <si>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</si>
  <si>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</si>
  <si>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</si>
  <si>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</si>
  <si>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</si>
  <si>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</si>
  <si>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</si>
  <si>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</si>
  <si>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</si>
  <si>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</si>
  <si>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</si>
  <si>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</si>
  <si>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</si>
  <si>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</si>
  <si>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</si>
  <si>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</si>
  <si>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</si>
  <si>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</si>
  <si>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</si>
  <si>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</si>
  <si>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</si>
  <si>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</si>
  <si>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</si>
  <si>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</si>
  <si>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</si>
  <si>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</si>
  <si>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</si>
  <si>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</si>
  <si>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</si>
  <si>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</si>
  <si>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</si>
  <si>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</si>
  <si>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</si>
  <si>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</si>
  <si>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</si>
  <si>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</si>
  <si>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</si>
  <si>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</si>
  <si>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</si>
  <si>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</si>
  <si>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</si>
  <si>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</si>
  <si>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</si>
  <si>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</si>
  <si>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</si>
  <si>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</si>
  <si>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</si>
  <si>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</si>
  <si>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</si>
  <si>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</si>
  <si>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</si>
  <si>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</si>
  <si>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</si>
  <si>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</si>
  <si>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</si>
  <si>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</si>
  <si>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</si>
  <si>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</si>
  <si>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</si>
  <si>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</si>
  <si>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</si>
  <si>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</si>
  <si>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</si>
  <si>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</si>
  <si>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</si>
  <si>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</si>
  <si>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</si>
  <si>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</si>
  <si>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</si>
  <si>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</si>
  <si>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</si>
  <si>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</si>
  <si>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</si>
  <si>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</si>
  <si>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</si>
  <si>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</si>
  <si>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</si>
  <si>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</si>
  <si>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</si>
  <si>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</si>
  <si>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</si>
  <si>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</si>
  <si>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</si>
  <si>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</si>
  <si>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</si>
  <si>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</si>
  <si>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</si>
  <si>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</si>
  <si>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</si>
  <si>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</si>
  <si>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</si>
  <si>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</si>
  <si>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</si>
  <si>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</si>
  <si>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</si>
  <si>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</si>
  <si>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</si>
  <si>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</si>
  <si>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</si>
  <si>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</si>
  <si>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</si>
  <si>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</si>
  <si>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</si>
  <si>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</si>
  <si>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</si>
  <si>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</si>
  <si>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</si>
  <si>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</si>
  <si>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</si>
  <si>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</si>
  <si>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</si>
  <si>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</si>
  <si>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</si>
  <si>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</si>
  <si>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</si>
  <si>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</si>
  <si>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</si>
  <si>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</si>
  <si>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</si>
  <si>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</si>
  <si>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</si>
  <si>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</si>
  <si>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</si>
  <si>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</si>
  <si>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</si>
  <si>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</si>
  <si>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</si>
  <si>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</si>
  <si>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</si>
  <si>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</si>
  <si>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</si>
  <si>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</si>
  <si>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</si>
  <si>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</si>
  <si>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</si>
  <si>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</si>
  <si>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</si>
  <si>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</si>
  <si>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</si>
  <si>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</si>
  <si>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</si>
  <si>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</si>
  <si>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</si>
  <si>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</si>
  <si>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</si>
  <si>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</si>
  <si>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</si>
  <si>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</si>
  <si>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</si>
  <si>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</si>
  <si>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</si>
  <si>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</si>
  <si>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</si>
  <si>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</si>
  <si>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</si>
  <si>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</si>
  <si>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</si>
  <si>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</si>
  <si>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</si>
  <si>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</si>
  <si>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</si>
  <si>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</si>
  <si>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</si>
  <si>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</si>
  <si>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</si>
  <si>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</si>
  <si>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</si>
  <si>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</si>
  <si>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</si>
  <si>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</si>
  <si>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</si>
  <si>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</si>
  <si>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</si>
  <si>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</si>
  <si>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</si>
  <si>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</si>
  <si>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</si>
  <si>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</si>
  <si>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</si>
  <si>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</si>
  <si>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</si>
  <si>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</si>
  <si>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</si>
  <si>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</si>
  <si>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</si>
  <si>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</si>
  <si>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</si>
  <si>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</si>
  <si>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</si>
  <si>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</si>
  <si>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</si>
  <si>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</si>
  <si>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</si>
  <si>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</si>
  <si>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</si>
  <si>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</si>
  <si>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</si>
  <si>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</si>
  <si>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</si>
  <si>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</si>
  <si>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</si>
  <si>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</si>
  <si>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</si>
  <si>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</si>
  <si>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</si>
  <si>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</si>
  <si>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</si>
  <si>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</si>
  <si>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</si>
  <si>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</si>
  <si>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</si>
  <si>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</si>
  <si>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</si>
  <si>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</si>
  <si>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</si>
  <si>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</si>
  <si>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</si>
  <si>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</si>
  <si>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</si>
  <si>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</si>
  <si>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</si>
  <si>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</si>
  <si>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</si>
  <si>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</si>
  <si>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</si>
  <si>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</si>
  <si>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</si>
  <si>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</si>
  <si>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</si>
  <si>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</si>
  <si>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</si>
  <si>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</si>
  <si>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</si>
  <si>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</si>
  <si>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</si>
  <si>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</si>
  <si>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</si>
  <si>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</si>
  <si>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</si>
  <si>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</si>
  <si>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</si>
  <si>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</si>
  <si>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</si>
  <si>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</si>
  <si>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</si>
  <si>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</si>
  <si>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</si>
  <si>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</si>
  <si>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</si>
  <si>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</si>
  <si>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</si>
  <si>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</si>
  <si>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</si>
  <si>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</si>
  <si>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</si>
  <si>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</si>
  <si>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</si>
  <si>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</si>
  <si>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</si>
  <si>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</si>
  <si>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</si>
  <si>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</si>
  <si>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</si>
  <si>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</si>
  <si>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</si>
  <si>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</si>
  <si>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</si>
  <si>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</si>
  <si>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</si>
  <si>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</si>
  <si>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</si>
  <si>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</si>
  <si>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</si>
  <si>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</si>
  <si>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</si>
  <si>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</si>
  <si>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</si>
  <si>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</si>
  <si>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</si>
  <si>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</si>
  <si>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</si>
  <si>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</si>
  <si>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</si>
  <si>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</si>
  <si>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</si>
  <si>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</si>
  <si>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</si>
  <si>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</si>
  <si>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</si>
  <si>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</si>
  <si>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</si>
  <si>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</si>
  <si>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</si>
  <si>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</si>
  <si>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</si>
  <si>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</si>
  <si>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</si>
  <si>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</si>
  <si>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</si>
  <si>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</si>
  <si>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</si>
  <si>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</si>
  <si>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</si>
  <si>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</si>
  <si>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</si>
  <si>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</si>
  <si>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</si>
  <si>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</si>
  <si>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</si>
  <si>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</si>
  <si>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</si>
  <si>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</si>
  <si>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</si>
  <si>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</si>
  <si>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</si>
  <si>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</si>
  <si>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</si>
  <si>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</si>
  <si>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</si>
  <si>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</si>
  <si>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</si>
  <si>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</si>
  <si>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</si>
  <si>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</si>
  <si>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</si>
  <si>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</si>
  <si>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</si>
  <si>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</si>
  <si>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</si>
  <si>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</si>
  <si>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</si>
  <si>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</si>
  <si>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</si>
  <si>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</si>
  <si>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</si>
  <si>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</si>
  <si>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</si>
  <si>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</si>
  <si>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</si>
  <si>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</si>
  <si>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</si>
  <si>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</si>
  <si>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</si>
  <si>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</si>
  <si>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</si>
  <si>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</si>
  <si>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</si>
  <si>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</si>
  <si>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</si>
  <si>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</si>
  <si>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</si>
  <si>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</si>
  <si>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</si>
  <si>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</si>
  <si>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</si>
  <si>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</si>
  <si>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</si>
  <si>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</si>
  <si>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</si>
  <si>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</si>
  <si>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</si>
  <si>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</si>
  <si>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</si>
  <si>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</si>
  <si>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</si>
  <si>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</si>
  <si>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</si>
  <si>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</si>
  <si>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</si>
  <si>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</si>
  <si>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</si>
  <si>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</si>
  <si>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</si>
  <si>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</si>
  <si>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</si>
  <si>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</si>
  <si>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</si>
  <si>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</si>
  <si>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</si>
  <si>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</si>
  <si>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</si>
  <si>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</si>
  <si>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</si>
  <si>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</si>
  <si>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</si>
  <si>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</si>
  <si>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</si>
  <si>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</si>
  <si>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</si>
  <si>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</si>
  <si>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</si>
  <si>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</si>
  <si>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</si>
  <si>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</si>
  <si>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</si>
  <si>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</si>
  <si>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</si>
  <si>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</si>
  <si>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</si>
  <si>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</si>
  <si>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</si>
  <si>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</si>
  <si>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</si>
  <si>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</si>
  <si>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</si>
  <si>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</si>
  <si>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</si>
  <si>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</si>
  <si>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</si>
  <si>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</si>
  <si>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</si>
  <si>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</si>
  <si>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</si>
  <si>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</si>
  <si>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</si>
  <si>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</si>
  <si>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</si>
  <si>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</si>
  <si>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</si>
  <si>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</si>
  <si>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</si>
  <si>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</si>
  <si>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</si>
  <si>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</si>
  <si>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</si>
  <si>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</si>
  <si>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</si>
  <si>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</si>
  <si>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</si>
  <si>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</si>
  <si>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</si>
  <si>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</si>
  <si>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</si>
  <si>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</si>
  <si>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</si>
  <si>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</si>
  <si>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</si>
  <si>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</si>
  <si>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</si>
  <si>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</si>
  <si>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</si>
  <si>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</si>
  <si>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</si>
  <si>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</si>
  <si>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</si>
  <si>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</si>
  <si>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</si>
  <si>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</si>
  <si>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</si>
  <si>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</si>
  <si>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</si>
  <si>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</si>
  <si>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</si>
  <si>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</si>
  <si>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</si>
  <si>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</si>
  <si>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</si>
  <si>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</si>
  <si>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</si>
  <si>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</si>
  <si>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</si>
  <si>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</si>
  <si>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</si>
  <si>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</si>
  <si>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</si>
  <si>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</si>
  <si>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</si>
  <si>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</si>
  <si>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</si>
  <si>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</si>
  <si>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</si>
  <si>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</si>
  <si>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</si>
  <si>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</si>
  <si>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</si>
  <si>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</si>
  <si>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</si>
  <si>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</si>
  <si>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</si>
  <si>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</si>
  <si>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</si>
  <si>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</si>
  <si>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</si>
  <si>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</si>
  <si>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</si>
  <si>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</si>
  <si>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</si>
  <si>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</si>
  <si>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</si>
  <si>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</si>
  <si>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</si>
  <si>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</si>
  <si>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</si>
  <si>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</si>
  <si>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</si>
  <si>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</si>
  <si>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</si>
  <si>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</si>
  <si>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</si>
  <si>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</si>
  <si>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</si>
  <si>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</si>
  <si>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</si>
  <si>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</si>
  <si>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</si>
  <si>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</si>
  <si>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</si>
  <si>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</si>
  <si>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</si>
  <si>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</si>
  <si>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</si>
  <si>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</si>
  <si>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</si>
  <si>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</si>
  <si>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</si>
  <si>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</si>
  <si>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</si>
  <si>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</si>
  <si>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</si>
  <si>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</si>
  <si>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</si>
  <si>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</si>
  <si>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</si>
  <si>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</si>
  <si>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</si>
  <si>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</si>
  <si>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</si>
  <si>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</si>
  <si>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</si>
  <si>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</si>
  <si>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</si>
  <si>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</si>
  <si>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</si>
  <si>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</si>
  <si>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</si>
  <si>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</si>
  <si>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</si>
  <si>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</si>
  <si>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</si>
  <si>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</si>
  <si>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</si>
  <si>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</si>
  <si>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</si>
  <si>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</si>
  <si>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</si>
  <si>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</si>
  <si>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</si>
  <si>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</si>
  <si>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</si>
  <si>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</si>
  <si>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</si>
  <si>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</si>
  <si>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</si>
  <si>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</si>
  <si>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</si>
  <si>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</si>
  <si>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</si>
  <si>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</si>
  <si>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</si>
  <si>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</si>
  <si>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</si>
  <si>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</si>
  <si>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</si>
  <si>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</si>
  <si>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</si>
  <si>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</si>
  <si>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</si>
  <si>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</si>
  <si>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</si>
  <si>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</si>
  <si>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</si>
  <si>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</si>
  <si>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</si>
  <si>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</si>
  <si>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</si>
  <si>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</si>
  <si>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</si>
  <si>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</si>
  <si>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</si>
  <si>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</si>
  <si>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</si>
  <si>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</si>
  <si>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</si>
  <si>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</si>
  <si>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</si>
  <si>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</si>
  <si>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</si>
  <si>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</si>
  <si>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</si>
  <si>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</si>
  <si>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</si>
  <si>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</si>
  <si>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</si>
  <si>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</si>
  <si>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</si>
  <si>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</si>
  <si>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</si>
  <si>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</si>
  <si>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</si>
  <si>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</si>
  <si>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</si>
  <si>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</si>
  <si>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</si>
  <si>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</si>
  <si>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</si>
  <si>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</si>
  <si>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</si>
  <si>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</si>
  <si>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</si>
  <si>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</si>
  <si>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</si>
  <si>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</si>
  <si>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</si>
  <si>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</si>
  <si>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</si>
  <si>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</si>
  <si>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</si>
  <si>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</si>
  <si>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</si>
  <si>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</si>
  <si>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</si>
  <si>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</si>
  <si>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</si>
  <si>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</si>
  <si>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</si>
  <si>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</si>
  <si>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</si>
  <si>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</si>
  <si>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</si>
  <si>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</si>
  <si>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</si>
  <si>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</si>
  <si>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</si>
  <si>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</si>
  <si>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</si>
  <si>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</si>
  <si>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</si>
  <si>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</si>
  <si>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</si>
  <si>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</si>
  <si>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</si>
  <si>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</si>
  <si>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</si>
  <si>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</si>
  <si>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</si>
  <si>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</si>
  <si>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</si>
  <si>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</si>
  <si>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</si>
  <si>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</si>
  <si>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</si>
  <si>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</si>
  <si>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</si>
  <si>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</si>
  <si>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</si>
  <si>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</si>
  <si>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</si>
  <si>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</si>
  <si>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</si>
  <si>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</si>
  <si>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</si>
  <si>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</si>
  <si>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</si>
  <si>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</si>
  <si>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</si>
  <si>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</si>
  <si>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</si>
  <si>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</si>
  <si>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</si>
  <si>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</si>
  <si>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</si>
  <si>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</si>
  <si>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</si>
  <si>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</si>
  <si>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</si>
  <si>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</si>
  <si>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</si>
  <si>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</si>
  <si>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</si>
  <si>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</si>
  <si>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</si>
  <si>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</si>
  <si>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</si>
  <si>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</si>
  <si>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</si>
  <si>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</si>
  <si>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</si>
  <si>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</si>
  <si>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</si>
  <si>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</si>
  <si>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</si>
  <si>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</si>
  <si>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</si>
  <si>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</si>
  <si>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</si>
  <si>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</si>
  <si>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</si>
  <si>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</si>
  <si>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</si>
  <si>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</si>
  <si>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</si>
  <si>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</si>
  <si>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</si>
  <si>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</si>
  <si>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</si>
  <si>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</si>
  <si>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</si>
  <si>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</si>
  <si>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</si>
  <si>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</si>
  <si>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</si>
  <si>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</si>
  <si>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</si>
  <si>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</si>
  <si>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</si>
  <si>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</si>
  <si>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</si>
  <si>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</si>
  <si>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</si>
  <si>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</si>
  <si>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</si>
  <si>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</si>
  <si>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</si>
  <si>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</si>
  <si>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</si>
  <si>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</si>
  <si>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</si>
  <si>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</si>
  <si>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</si>
  <si>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</si>
  <si>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</si>
  <si>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</si>
  <si>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</si>
  <si>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</si>
  <si>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</si>
  <si>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</si>
  <si>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</si>
  <si>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</si>
  <si>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</si>
  <si>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</si>
  <si>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</si>
  <si>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</si>
  <si>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</si>
  <si>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</si>
  <si>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</si>
  <si>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</si>
  <si>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</si>
  <si>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</si>
  <si>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</si>
  <si>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</si>
  <si>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</si>
  <si>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</si>
  <si>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</si>
  <si>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</si>
  <si>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</si>
  <si>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</si>
  <si>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</si>
  <si>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</si>
  <si>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</si>
  <si>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</si>
  <si>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</si>
  <si>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</si>
  <si>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</si>
  <si>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</si>
  <si>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</si>
  <si>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</si>
  <si>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</si>
  <si>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</si>
  <si>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</si>
  <si>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</si>
  <si>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</si>
  <si>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</si>
  <si>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</si>
  <si>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</si>
  <si>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</si>
  <si>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</si>
  <si>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</si>
  <si>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</si>
  <si>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</si>
  <si>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</si>
  <si>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</si>
  <si>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</si>
  <si>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</si>
  <si>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</si>
  <si>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</si>
  <si>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</si>
  <si>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</si>
  <si>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</si>
  <si>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</si>
  <si>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</si>
  <si>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</si>
  <si>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</si>
  <si>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</si>
  <si>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</si>
  <si>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</si>
  <si>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</si>
  <si>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</si>
  <si>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</si>
  <si>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</si>
  <si>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</si>
  <si>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</si>
  <si>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</si>
  <si>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</si>
  <si>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</si>
  <si>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</si>
  <si>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</si>
  <si>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</si>
  <si>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</si>
  <si>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</si>
  <si>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</si>
  <si>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</si>
  <si>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</si>
  <si>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</si>
  <si>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</si>
  <si>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</si>
  <si>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</si>
  <si>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</si>
  <si>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</si>
  <si>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</si>
  <si>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</si>
  <si>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</si>
  <si>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</si>
  <si>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</si>
  <si>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</si>
  <si>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</si>
  <si>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</si>
  <si>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</si>
  <si>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</si>
  <si>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</si>
  <si>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</si>
  <si>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</si>
  <si>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</si>
  <si>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</si>
  <si>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</si>
  <si>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</si>
  <si>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</si>
  <si>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</si>
  <si>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</si>
  <si>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</si>
  <si>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</si>
  <si>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</si>
  <si>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</si>
  <si>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</si>
  <si>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</si>
  <si>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</si>
  <si>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</si>
  <si>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</si>
  <si>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</si>
  <si>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</si>
  <si>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</si>
  <si>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</si>
  <si>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</si>
  <si>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</si>
  <si>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</si>
  <si>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</si>
  <si>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</si>
  <si>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</si>
  <si>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</si>
  <si>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</si>
  <si>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</si>
  <si>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</si>
  <si>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</si>
  <si>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</si>
  <si>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</si>
  <si>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</si>
  <si>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</si>
  <si>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</si>
  <si>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</si>
  <si>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</si>
  <si>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</si>
  <si>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</si>
  <si>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</si>
  <si>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</si>
  <si>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</si>
  <si>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</si>
  <si>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</si>
  <si>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</si>
  <si>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</si>
  <si>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</si>
  <si>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</si>
  <si>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</si>
  <si>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</si>
  <si>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</si>
  <si>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</si>
  <si>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</si>
  <si>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</si>
  <si>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</si>
  <si>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</si>
  <si>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</si>
  <si>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</si>
  <si>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</si>
  <si>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</si>
  <si>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</si>
  <si>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</si>
  <si>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</si>
  <si>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</si>
  <si>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</si>
  <si>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</si>
  <si>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</si>
  <si>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</si>
  <si>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</si>
  <si>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</si>
  <si>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</si>
  <si>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</si>
  <si>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</si>
  <si>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</si>
  <si>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</si>
  <si>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</si>
  <si>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</si>
  <si>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</si>
  <si>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</si>
  <si>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</si>
  <si>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</si>
  <si>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</si>
  <si>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</si>
  <si>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</si>
  <si>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</si>
  <si>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</si>
  <si>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</si>
  <si>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</si>
  <si>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</si>
  <si>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</si>
  <si>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</si>
  <si>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</si>
  <si>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</si>
  <si>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</si>
  <si>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</si>
  <si>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</si>
  <si>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</si>
  <si>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</si>
  <si>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</si>
  <si>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</si>
  <si>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</si>
  <si>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</si>
  <si>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</si>
  <si>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</si>
  <si>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</si>
  <si>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</si>
  <si>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</si>
  <si>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</si>
  <si>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</si>
  <si>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</si>
  <si>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</si>
  <si>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</si>
  <si>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</si>
  <si>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</si>
  <si>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</si>
  <si>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</si>
  <si>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</si>
  <si>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</si>
  <si>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</si>
  <si>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</si>
  <si>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</si>
  <si>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</si>
  <si>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</si>
  <si>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</si>
  <si>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</si>
  <si>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</si>
  <si>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</si>
  <si>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</si>
  <si>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</si>
  <si>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</si>
  <si>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</si>
  <si>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</si>
  <si>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</si>
  <si>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</si>
  <si>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</si>
  <si>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</si>
  <si>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</si>
  <si>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</si>
  <si>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</si>
  <si>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</si>
  <si>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</si>
  <si>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</si>
  <si>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</si>
  <si>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</si>
  <si>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</si>
  <si>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</si>
  <si>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</si>
  <si>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</si>
  <si>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</si>
  <si>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</si>
  <si>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</si>
  <si>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</si>
  <si>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</si>
  <si>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</si>
  <si>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</si>
  <si>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</si>
  <si>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</si>
  <si>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</si>
  <si>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</si>
  <si>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</si>
  <si>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</si>
  <si>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</si>
  <si>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</si>
  <si>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</si>
  <si>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</si>
  <si>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</si>
  <si>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</si>
  <si>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</si>
  <si>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</si>
  <si>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</si>
  <si>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</si>
  <si>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</si>
  <si>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</si>
  <si>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</si>
  <si>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</si>
  <si>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</si>
  <si>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</si>
  <si>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</si>
  <si>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</si>
  <si>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</si>
  <si>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</si>
  <si>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</si>
  <si>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</si>
  <si>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</si>
  <si>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</si>
  <si>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</si>
  <si>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</si>
  <si>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</si>
  <si>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</si>
  <si>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</si>
  <si>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</si>
  <si>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</si>
  <si>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</si>
  <si>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</si>
  <si>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</si>
  <si>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</si>
  <si>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</si>
  <si>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</si>
  <si>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</si>
  <si>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</si>
  <si>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</si>
  <si>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</si>
  <si>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</si>
  <si>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</si>
  <si>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</si>
  <si>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</si>
  <si>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</si>
  <si>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</si>
  <si>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</si>
  <si>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</si>
  <si>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</si>
  <si>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</si>
  <si>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</si>
  <si>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</si>
  <si>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</si>
  <si>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</si>
  <si>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</si>
  <si>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</si>
  <si>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</si>
  <si>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</si>
  <si>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</si>
  <si>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</si>
  <si>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</si>
  <si>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</si>
  <si>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</si>
  <si>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</si>
  <si>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</si>
  <si>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</si>
  <si>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</si>
  <si>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</si>
  <si>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</si>
  <si>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</si>
  <si>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</si>
  <si>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</si>
  <si>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</si>
  <si>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</si>
  <si>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</si>
  <si>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</si>
  <si>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</si>
  <si>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</si>
  <si>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</si>
  <si>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</si>
  <si>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</si>
  <si>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</si>
  <si>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</si>
  <si>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</si>
  <si>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</si>
  <si>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</si>
  <si>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</si>
  <si>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</si>
  <si>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</si>
  <si>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</si>
  <si>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</si>
  <si>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</si>
  <si>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</si>
  <si>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</si>
  <si>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</si>
  <si>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</si>
  <si>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</si>
  <si>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</si>
  <si>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</si>
  <si>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</si>
  <si>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</si>
  <si>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</si>
  <si>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</si>
  <si>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</si>
  <si>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</si>
  <si>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</si>
  <si>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</si>
  <si>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</si>
  <si>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</si>
  <si>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</si>
  <si>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</si>
  <si>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</si>
  <si>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</si>
  <si>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</si>
  <si>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</si>
  <si>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</si>
  <si>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</si>
  <si>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</si>
  <si>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</si>
  <si>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</si>
  <si>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</si>
  <si>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</si>
  <si>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</si>
  <si>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</si>
  <si>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</si>
  <si>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</si>
  <si>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</si>
  <si>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</si>
  <si>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</si>
  <si>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</si>
  <si>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</si>
  <si>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</si>
  <si>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</si>
  <si>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</si>
  <si>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</si>
  <si>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</si>
  <si>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</si>
  <si>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</si>
  <si>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</si>
  <si>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</si>
  <si>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</si>
  <si>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</si>
  <si>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</si>
  <si>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</si>
  <si>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</si>
  <si>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</si>
  <si>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</si>
  <si>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</si>
  <si>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</si>
  <si>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</si>
  <si>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</si>
  <si>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</si>
  <si>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</si>
  <si>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</si>
  <si>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</si>
  <si>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</si>
  <si>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</si>
  <si>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</si>
  <si>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</si>
  <si>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</si>
  <si>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</si>
  <si>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</si>
  <si>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</si>
  <si>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</si>
  <si>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</si>
  <si>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</si>
  <si>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</si>
  <si>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</si>
  <si>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</si>
  <si>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</si>
  <si>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</si>
  <si>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</si>
  <si>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</si>
  <si>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</si>
  <si>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</si>
  <si>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</si>
  <si>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</si>
  <si>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</si>
  <si>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</si>
  <si>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</si>
  <si>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</si>
  <si>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</si>
  <si>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</si>
  <si>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</si>
  <si>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</si>
  <si>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</si>
  <si>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</si>
  <si>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</si>
  <si>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</si>
  <si>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</si>
  <si>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</si>
  <si>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</si>
  <si>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</si>
  <si>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</si>
  <si>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</si>
  <si>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</si>
  <si>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</si>
  <si>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</si>
  <si>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</si>
  <si>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</si>
  <si>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</si>
  <si>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</si>
  <si>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</si>
  <si>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</si>
  <si>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</si>
  <si>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</si>
  <si>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</si>
  <si>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</si>
  <si>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</si>
  <si>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</si>
  <si>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</si>
  <si>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</si>
  <si>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</si>
  <si>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</si>
  <si>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</si>
  <si>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</si>
  <si>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</si>
  <si>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</si>
  <si>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</si>
  <si>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</si>
  <si>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</si>
  <si>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</si>
  <si>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</si>
  <si>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</si>
  <si>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</si>
  <si>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</si>
  <si>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</si>
  <si>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</si>
  <si>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</si>
  <si>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</si>
  <si>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</si>
  <si>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</si>
  <si>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</si>
  <si>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</si>
  <si>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</si>
  <si>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</si>
  <si>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</si>
  <si>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</si>
  <si>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</si>
  <si>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</si>
  <si>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</si>
  <si>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</si>
  <si>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</si>
  <si>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</si>
  <si>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</si>
  <si>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</si>
  <si>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</si>
  <si>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</si>
  <si>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</si>
  <si>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</si>
  <si>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</si>
  <si>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</si>
  <si>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</si>
  <si>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</si>
  <si>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</si>
  <si>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</si>
  <si>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</si>
  <si>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</si>
  <si>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</si>
  <si>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</si>
  <si>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</si>
  <si>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</si>
  <si>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</si>
  <si>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</si>
  <si>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</si>
  <si>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</si>
  <si>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</si>
  <si>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</si>
  <si>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</si>
  <si>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</si>
  <si>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</si>
  <si>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</si>
  <si>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</si>
  <si>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</si>
  <si>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</si>
  <si>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</si>
  <si>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</si>
  <si>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</si>
  <si>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</si>
  <si>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</si>
  <si>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</si>
  <si>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</si>
  <si>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</si>
  <si>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</si>
  <si>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</si>
  <si>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</si>
  <si>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</si>
  <si>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</si>
  <si>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</si>
  <si>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</si>
  <si>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</si>
  <si>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</si>
  <si>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</si>
  <si>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</si>
  <si>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</si>
  <si>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</si>
  <si>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</si>
  <si>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</si>
  <si>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</si>
  <si>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</si>
  <si>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</si>
  <si>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</si>
  <si>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</si>
  <si>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</si>
  <si>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</si>
  <si>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</si>
  <si>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</si>
  <si>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</si>
  <si>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</si>
  <si>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</si>
  <si>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</si>
  <si>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</si>
  <si>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</si>
  <si>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</si>
  <si>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</si>
  <si>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</si>
  <si>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</si>
  <si>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</si>
  <si>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</si>
  <si>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</si>
  <si>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</si>
  <si>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</si>
  <si>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</si>
  <si>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</si>
  <si>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</si>
  <si>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</si>
  <si>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</si>
  <si>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</si>
  <si>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</si>
  <si>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</si>
  <si>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</si>
  <si>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</si>
  <si>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</si>
  <si>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</si>
  <si>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</si>
  <si>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</si>
  <si>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</si>
  <si>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</si>
  <si>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</si>
  <si>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</si>
  <si>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</si>
  <si>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</si>
  <si>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</si>
  <si>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</si>
  <si>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</si>
  <si>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</si>
  <si>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</si>
  <si>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</si>
  <si>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</si>
  <si>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</si>
  <si>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</si>
  <si>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</si>
  <si>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</si>
  <si>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</si>
  <si>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</si>
  <si>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</si>
  <si>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</si>
  <si>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</si>
  <si>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</si>
  <si>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</si>
  <si>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</si>
  <si>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</si>
  <si>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</si>
  <si>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</si>
  <si>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</si>
  <si>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</si>
  <si>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</si>
  <si>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</si>
  <si>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</si>
  <si>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</si>
  <si>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</si>
  <si>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</si>
  <si>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</si>
  <si>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</si>
  <si>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</si>
  <si>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</si>
  <si>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</si>
  <si>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</si>
  <si>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</si>
  <si>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</si>
  <si>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</si>
  <si>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</si>
  <si>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</si>
  <si>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</si>
  <si>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</si>
  <si>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</si>
  <si>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</si>
  <si>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</si>
  <si>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</si>
  <si>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</si>
  <si>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</si>
  <si>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</si>
  <si>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</si>
  <si>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</si>
  <si>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</si>
  <si>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</si>
  <si>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</si>
  <si>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</si>
  <si>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</si>
  <si>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</si>
  <si>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</si>
  <si>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</si>
  <si>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</si>
  <si>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</si>
  <si>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</si>
  <si>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</si>
  <si>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</si>
  <si>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</si>
  <si>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</si>
  <si>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</si>
  <si>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</si>
  <si>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</si>
  <si>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</si>
  <si>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</si>
  <si>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</si>
  <si>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</si>
  <si>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</si>
  <si>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</si>
  <si>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</si>
  <si>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</si>
  <si>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</si>
  <si>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</si>
  <si>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</si>
  <si>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</si>
  <si>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</si>
  <si>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</si>
  <si>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</si>
  <si>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</si>
  <si>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</si>
  <si>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</si>
  <si>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</si>
  <si>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</si>
  <si>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</si>
  <si>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</si>
  <si>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</si>
  <si>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</si>
  <si>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</si>
  <si>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</si>
  <si>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</si>
  <si>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</si>
  <si>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</si>
  <si>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</si>
  <si>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</si>
  <si>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</si>
  <si>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</si>
  <si>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</si>
  <si>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</si>
  <si>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</si>
  <si>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</si>
  <si>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</si>
  <si>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</si>
  <si>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</si>
  <si>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</si>
  <si>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</si>
  <si>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</si>
  <si>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</si>
  <si>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</si>
  <si>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</si>
  <si>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</si>
  <si>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</si>
  <si>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</si>
  <si>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</si>
  <si>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</si>
  <si>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</si>
  <si>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</si>
  <si>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</si>
  <si>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</si>
  <si>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</si>
  <si>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</si>
  <si>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</si>
  <si>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</si>
  <si>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</si>
  <si>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</si>
  <si>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</si>
  <si>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</si>
  <si>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</si>
  <si>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</si>
  <si>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</si>
  <si>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</si>
  <si>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</si>
  <si>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</si>
  <si>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</si>
  <si>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</si>
  <si>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</si>
  <si>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</si>
  <si>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</si>
  <si>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</si>
  <si>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</si>
  <si>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</si>
  <si>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</si>
  <si>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</si>
  <si>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</si>
  <si>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</si>
  <si>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</si>
  <si>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</si>
  <si>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</si>
  <si>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</si>
  <si>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</si>
  <si>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</si>
  <si>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</si>
  <si>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</si>
  <si>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</si>
  <si>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</si>
  <si>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</si>
  <si>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</si>
  <si>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</si>
  <si>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</si>
  <si>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</si>
  <si>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</si>
  <si>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</si>
  <si>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</si>
  <si>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</si>
  <si>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</si>
  <si>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</si>
  <si>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</si>
  <si>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</si>
  <si>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</si>
  <si>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</si>
  <si>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</si>
  <si>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</si>
  <si>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</si>
  <si>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</si>
  <si>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</si>
  <si>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</si>
  <si>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</si>
  <si>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</si>
  <si>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</si>
  <si>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</si>
  <si>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</si>
  <si>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</si>
  <si>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</si>
  <si>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</si>
  <si>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</si>
  <si>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</si>
  <si>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</si>
  <si>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</si>
  <si>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</si>
  <si>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</si>
  <si>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</si>
  <si>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</si>
  <si>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</si>
  <si>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</si>
  <si>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</si>
  <si>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</si>
  <si>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</si>
  <si>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</si>
  <si>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</si>
  <si>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</si>
  <si>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</si>
  <si>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</si>
  <si>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</si>
  <si>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</si>
  <si>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</si>
  <si>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</si>
  <si>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</si>
  <si>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</si>
  <si>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</si>
  <si>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</si>
  <si>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</si>
  <si>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</si>
  <si>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</si>
  <si>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</si>
  <si>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</si>
  <si>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</si>
  <si>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</si>
  <si>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</si>
  <si>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</si>
  <si>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</si>
  <si>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</si>
  <si>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</si>
  <si>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</si>
  <si>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</si>
  <si>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</si>
  <si>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</si>
  <si>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</si>
  <si>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</si>
  <si>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</si>
  <si>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</si>
  <si>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</si>
  <si>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</si>
  <si>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</si>
  <si>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</si>
  <si>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</si>
  <si>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</si>
  <si>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</si>
  <si>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</si>
  <si>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</si>
  <si>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</si>
  <si>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</si>
  <si>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</si>
  <si>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</si>
  <si>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</si>
  <si>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</si>
  <si>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</si>
  <si>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</si>
  <si>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</si>
  <si>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</si>
  <si>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</si>
  <si>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</si>
  <si>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</si>
  <si>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</si>
  <si>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</si>
  <si>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</si>
  <si>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</si>
  <si>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</si>
  <si>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</si>
  <si>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</si>
  <si>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</si>
  <si>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</si>
  <si>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</si>
  <si>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</si>
  <si>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</si>
  <si>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</si>
  <si>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</si>
  <si>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</si>
  <si>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</si>
  <si>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</si>
  <si>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</si>
  <si>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</si>
  <si>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</si>
  <si>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</si>
  <si>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</si>
  <si>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</si>
  <si>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</si>
  <si>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</si>
  <si>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</si>
  <si>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</si>
  <si>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</si>
  <si>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</si>
  <si>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</si>
  <si>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</si>
  <si>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</si>
  <si>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</si>
  <si>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</si>
  <si>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</si>
  <si>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</si>
  <si>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</si>
  <si>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</si>
  <si>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</si>
  <si>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</si>
  <si>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</si>
  <si>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</si>
  <si>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</si>
  <si>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</si>
  <si>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</si>
  <si>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</si>
  <si>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</si>
  <si>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</si>
  <si>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</si>
  <si>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</si>
  <si>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</si>
  <si>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</si>
  <si>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</si>
  <si>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</si>
  <si>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</si>
  <si>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</si>
  <si>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</si>
  <si>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</si>
  <si>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</si>
  <si>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</si>
  <si>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</si>
  <si>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</si>
  <si>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</si>
  <si>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</si>
  <si>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</si>
  <si>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</si>
  <si>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</si>
  <si>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</si>
  <si>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</si>
  <si>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</si>
  <si>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</si>
  <si>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</si>
  <si>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</si>
  <si>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</si>
  <si>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</si>
  <si>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</si>
  <si>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</si>
  <si>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</si>
  <si>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</si>
  <si>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</si>
  <si>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</si>
  <si>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</si>
  <si>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</si>
  <si>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</si>
  <si>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</si>
  <si>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</si>
  <si>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</si>
  <si>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</si>
  <si>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</si>
  <si>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</si>
  <si>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</si>
  <si>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</si>
  <si>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</si>
  <si>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</si>
  <si>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</si>
  <si>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</si>
  <si>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</si>
  <si>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</si>
  <si>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</si>
  <si>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</si>
  <si>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</si>
  <si>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</si>
  <si>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</si>
  <si>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</si>
  <si>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</si>
  <si>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</si>
  <si>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</si>
  <si>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</si>
  <si>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</si>
  <si>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</si>
  <si>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</si>
  <si>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</si>
  <si>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</si>
  <si>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</si>
  <si>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</si>
  <si>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</si>
  <si>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</si>
  <si>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</si>
  <si>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</si>
  <si>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</si>
  <si>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</si>
  <si>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</si>
  <si>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</si>
  <si>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</si>
  <si>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</si>
  <si>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</si>
  <si>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</si>
  <si>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</si>
  <si>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</si>
  <si>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</si>
  <si>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</si>
  <si>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</si>
  <si>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</si>
  <si>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</si>
  <si>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</si>
  <si>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</si>
  <si>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</si>
  <si>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</si>
  <si>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</si>
  <si>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</si>
  <si>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</si>
  <si>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</si>
  <si>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</si>
  <si>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</si>
  <si>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</si>
  <si>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</si>
  <si>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</si>
  <si>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</si>
  <si>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</si>
  <si>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</si>
  <si>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</si>
  <si>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</si>
  <si>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</si>
  <si>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</si>
  <si>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</si>
  <si>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</si>
  <si>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</si>
  <si>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</si>
  <si>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</si>
  <si>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</si>
  <si>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</si>
  <si>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</si>
  <si>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</si>
  <si>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</si>
  <si>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</si>
  <si>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</si>
  <si>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</si>
  <si>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</si>
  <si>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</si>
  <si>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</si>
  <si>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</si>
  <si>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</si>
  <si>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</si>
  <si>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</si>
  <si>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</si>
  <si>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</si>
  <si>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</si>
  <si>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</si>
  <si>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</si>
  <si>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</si>
  <si>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</si>
  <si>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</si>
  <si>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</si>
  <si>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</si>
  <si>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</si>
  <si>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</si>
  <si>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</si>
  <si>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</si>
  <si>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</si>
  <si>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</si>
  <si>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</si>
  <si>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</si>
  <si>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</si>
  <si>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</si>
  <si>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</si>
  <si>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</si>
  <si>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</si>
  <si>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</si>
  <si>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</si>
  <si>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</si>
  <si>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</si>
  <si>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</si>
  <si>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</si>
  <si>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</si>
  <si>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</si>
  <si>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</si>
  <si>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</si>
  <si>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</si>
  <si>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</si>
  <si>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</si>
  <si>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</si>
  <si>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</si>
  <si>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</si>
  <si>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</si>
  <si>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</si>
  <si>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</si>
  <si>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</si>
  <si>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</si>
  <si>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</si>
  <si>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</si>
  <si>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</si>
  <si>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</si>
  <si>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</si>
  <si>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</si>
  <si>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</si>
  <si>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</si>
  <si>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</si>
  <si>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</si>
  <si>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</si>
  <si>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</si>
  <si>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</si>
  <si>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</si>
  <si>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</si>
  <si>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</si>
  <si>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</si>
  <si>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</si>
  <si>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</si>
  <si>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</si>
  <si>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</si>
  <si>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</si>
  <si>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</si>
  <si>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</si>
  <si>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</si>
  <si>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</si>
  <si>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</si>
  <si>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</si>
  <si>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</si>
  <si>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</si>
  <si>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</si>
  <si>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</si>
  <si>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</si>
  <si>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</si>
  <si>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</si>
  <si>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</si>
  <si>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</si>
  <si>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</si>
  <si>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</si>
  <si>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</si>
  <si>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</si>
  <si>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</si>
  <si>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</si>
  <si>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</si>
  <si>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</si>
  <si>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</si>
  <si>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</si>
  <si>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</si>
  <si>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</si>
  <si>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</si>
  <si>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</si>
  <si>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</si>
  <si>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</si>
  <si>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</si>
  <si>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</si>
  <si>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</si>
  <si>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</si>
  <si>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</si>
  <si>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</si>
  <si>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</si>
  <si>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</si>
  <si>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</si>
  <si>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</si>
  <si>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</si>
  <si>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</si>
  <si>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</si>
  <si>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</si>
  <si>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</si>
  <si>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</si>
  <si>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</si>
  <si>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</si>
  <si>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</si>
  <si>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</si>
  <si>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</si>
  <si>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</si>
  <si>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</si>
  <si>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</si>
  <si>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</si>
  <si>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</si>
  <si>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</si>
  <si>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</si>
  <si>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</si>
  <si>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</si>
  <si>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</si>
  <si>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</si>
  <si>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</si>
  <si>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</si>
  <si>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</si>
  <si>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</si>
  <si>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</si>
  <si>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</si>
  <si>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</si>
  <si>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</si>
  <si>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</si>
  <si>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</si>
  <si>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</si>
  <si>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</si>
  <si>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</si>
  <si>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</si>
  <si>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</si>
  <si>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</si>
  <si>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</si>
  <si>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</si>
  <si>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</si>
  <si>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</si>
  <si>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</si>
  <si>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</si>
  <si>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</si>
  <si>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</si>
  <si>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</si>
  <si>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</si>
  <si>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</si>
  <si>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</si>
  <si>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</si>
  <si>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</si>
  <si>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</si>
  <si>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</si>
  <si>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</si>
  <si>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</si>
  <si>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</si>
  <si>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</si>
  <si>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</si>
  <si>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</si>
  <si>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</si>
  <si>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</si>
  <si>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</si>
  <si>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</si>
  <si>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</si>
  <si>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</si>
  <si>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</si>
  <si>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</si>
  <si>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</si>
  <si>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</si>
  <si>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</si>
  <si>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</si>
  <si>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</si>
  <si>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</si>
  <si>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</si>
  <si>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</si>
  <si>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</si>
  <si>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</si>
  <si>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</si>
  <si>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</si>
  <si>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</si>
  <si>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</si>
  <si>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</si>
  <si>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</si>
  <si>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</si>
  <si>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</si>
  <si>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</si>
  <si>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</si>
  <si>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</si>
  <si>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</si>
  <si>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</si>
  <si>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</si>
  <si>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</si>
  <si>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</si>
  <si>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</si>
  <si>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</si>
  <si>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</si>
  <si>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</si>
  <si>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</si>
  <si>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</si>
  <si>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</si>
  <si>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</si>
  <si>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</si>
  <si>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</si>
  <si>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</si>
  <si>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</si>
  <si>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</si>
  <si>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</si>
  <si>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</si>
  <si>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</si>
  <si>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</si>
  <si>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</si>
  <si>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</si>
  <si>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</si>
  <si>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</si>
  <si>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</si>
  <si>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</si>
  <si>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</si>
  <si>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</si>
  <si>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</si>
  <si>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</si>
  <si>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</si>
  <si>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</si>
  <si>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</si>
  <si>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</si>
  <si>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</si>
  <si>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</si>
  <si>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</si>
  <si>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</si>
  <si>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</si>
  <si>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</si>
  <si>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</si>
  <si>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</si>
  <si>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</si>
  <si>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</si>
  <si>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</si>
  <si>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</si>
  <si>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</si>
  <si>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</si>
  <si>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</si>
  <si>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</si>
  <si>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</si>
  <si>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</si>
  <si>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</si>
  <si>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</si>
  <si>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</si>
  <si>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</si>
  <si>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</si>
  <si>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</si>
  <si>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</si>
  <si>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</si>
  <si>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</si>
  <si>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</si>
  <si>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</si>
  <si>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</si>
  <si>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</si>
  <si>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</si>
  <si>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</si>
  <si>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</si>
  <si>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</si>
  <si>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</si>
  <si>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</si>
  <si>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</si>
  <si>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</si>
  <si>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</si>
  <si>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</si>
  <si>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</si>
  <si>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</si>
  <si>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</si>
  <si>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</si>
  <si>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</si>
  <si>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</si>
  <si>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</si>
  <si>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</si>
  <si>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</si>
  <si>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</si>
  <si>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</si>
  <si>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</si>
  <si>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</si>
  <si>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</si>
  <si>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</si>
  <si>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</si>
  <si>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</si>
  <si>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</si>
  <si>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</si>
  <si>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</si>
  <si>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</si>
  <si>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</si>
  <si>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</si>
  <si>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</si>
  <si>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</si>
  <si>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</si>
  <si>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</si>
  <si>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</si>
  <si>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</si>
  <si>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</si>
  <si>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</si>
  <si>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</si>
  <si>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</si>
  <si>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</si>
  <si>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</si>
  <si>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</si>
  <si>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</si>
  <si>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</si>
  <si>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</si>
  <si>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</si>
  <si>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</si>
  <si>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</si>
  <si>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</si>
  <si>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</si>
  <si>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</si>
  <si>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</si>
  <si>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</si>
  <si>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</si>
  <si>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</si>
  <si>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</si>
  <si>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</si>
  <si>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</si>
  <si>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</si>
  <si>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</si>
  <si>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</si>
  <si>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</si>
  <si>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</si>
  <si>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</si>
  <si>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</si>
  <si>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</si>
  <si>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</si>
  <si>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</si>
  <si>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</si>
  <si>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</si>
  <si>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</si>
  <si>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</si>
  <si>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</si>
  <si>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</si>
  <si>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</si>
  <si>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</si>
  <si>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</si>
  <si>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</si>
  <si>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</si>
  <si>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</si>
  <si>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</si>
  <si>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</si>
  <si>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</si>
  <si>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</si>
  <si>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</si>
  <si>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</si>
  <si>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</si>
  <si>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</si>
  <si>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</si>
  <si>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</si>
  <si>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</si>
  <si>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</si>
  <si>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</si>
  <si>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</si>
  <si>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</si>
  <si>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</si>
  <si>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</si>
  <si>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</si>
  <si>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</si>
  <si>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</si>
  <si>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</si>
  <si>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</si>
  <si>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</si>
  <si>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</si>
  <si>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</si>
  <si>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</si>
  <si>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</si>
  <si>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</si>
  <si>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</si>
  <si>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</si>
  <si>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</si>
  <si>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</si>
  <si>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</si>
  <si>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</si>
  <si>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</si>
  <si>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</si>
  <si>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</si>
  <si>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</si>
  <si>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</si>
  <si>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</si>
  <si>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</si>
  <si>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</si>
  <si>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</si>
  <si>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</si>
  <si>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</si>
  <si>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</si>
  <si>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</si>
  <si>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</si>
  <si>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</si>
  <si>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</si>
  <si>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</si>
  <si>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</si>
  <si>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</si>
  <si>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</si>
  <si>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</si>
  <si>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</si>
  <si>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</si>
  <si>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</si>
  <si>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</si>
  <si>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</si>
  <si>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</si>
  <si>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</si>
  <si>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</si>
  <si>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</si>
  <si>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</si>
  <si>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</si>
  <si>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</si>
  <si>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</si>
  <si>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</si>
  <si>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</si>
  <si>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</si>
  <si>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</si>
  <si>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</si>
  <si>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</si>
  <si>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</si>
  <si>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</si>
  <si>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</si>
  <si>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</si>
  <si>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</si>
  <si>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</si>
  <si>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</si>
  <si>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</si>
  <si>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</si>
  <si>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</si>
  <si>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</si>
  <si>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</si>
  <si>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</si>
  <si>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</si>
  <si>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</si>
  <si>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</si>
  <si>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</si>
  <si>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</si>
  <si>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</si>
  <si>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</si>
  <si>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</si>
  <si>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</si>
  <si>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</si>
  <si>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</si>
  <si>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</si>
  <si>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</si>
  <si>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</si>
  <si>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</si>
  <si>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</si>
  <si>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</si>
  <si>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</si>
  <si>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</si>
  <si>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</si>
  <si>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</si>
  <si>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</si>
  <si>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</si>
  <si>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</si>
  <si>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</si>
  <si>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</si>
  <si>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</si>
  <si>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</si>
  <si>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</si>
  <si>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</si>
  <si>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</si>
  <si>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</si>
  <si>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</si>
  <si>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</si>
  <si>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</si>
  <si>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</si>
  <si>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</si>
  <si>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</si>
  <si>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</si>
  <si>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</si>
  <si>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</si>
  <si>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</si>
  <si>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</si>
  <si>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</si>
  <si>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</si>
  <si>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</si>
  <si>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</si>
  <si>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</si>
  <si>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</si>
  <si>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</si>
  <si>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</si>
  <si>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</si>
  <si>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</si>
  <si>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</si>
  <si>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</si>
  <si>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</si>
  <si>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</si>
  <si>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</si>
  <si>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</si>
  <si>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</si>
  <si>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</si>
  <si>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</si>
  <si>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</si>
  <si>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</si>
  <si>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</si>
  <si>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</si>
  <si>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</si>
  <si>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</si>
  <si>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</si>
  <si>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</si>
  <si>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</si>
  <si>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</si>
  <si>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</si>
  <si>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</si>
  <si>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</si>
  <si>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</si>
  <si>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</si>
  <si>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</si>
  <si>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</si>
  <si>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</si>
  <si>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</si>
  <si>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</si>
  <si>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</si>
  <si>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</si>
  <si>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</si>
  <si>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</si>
  <si>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</si>
  <si>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</si>
  <si>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</si>
  <si>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</si>
  <si>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</si>
  <si>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</si>
  <si>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</si>
  <si>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</si>
  <si>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</si>
  <si>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</si>
  <si>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</si>
  <si>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</si>
  <si>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</si>
  <si>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</si>
  <si>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</si>
  <si>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</si>
  <si>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</si>
  <si>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</si>
  <si>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</si>
  <si>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</si>
  <si>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</si>
  <si>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</si>
  <si>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</si>
  <si>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</si>
  <si>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</si>
  <si>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</si>
  <si>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</si>
  <si>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</si>
  <si>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</si>
  <si>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</si>
  <si>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</si>
  <si>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</si>
  <si>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</si>
  <si>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</si>
  <si>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</si>
  <si>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</si>
  <si>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</si>
  <si>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</si>
  <si>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</si>
  <si>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</si>
  <si>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</si>
  <si>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</si>
  <si>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</si>
  <si>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</si>
  <si>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</si>
  <si>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</si>
  <si>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</si>
  <si>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</si>
  <si>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</si>
  <si>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</si>
  <si>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</si>
  <si>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</si>
  <si>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</si>
  <si>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</si>
  <si>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</si>
  <si>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</si>
  <si>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</si>
  <si>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</si>
  <si>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</si>
  <si>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</si>
  <si>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</si>
  <si>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</si>
  <si>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</si>
  <si>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</si>
  <si>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</si>
  <si>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</si>
  <si>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</si>
  <si>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</si>
  <si>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</si>
  <si>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</si>
  <si>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</si>
  <si>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</si>
  <si>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</si>
  <si>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</si>
  <si>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</si>
  <si>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</si>
  <si>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</si>
  <si>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</si>
  <si>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</si>
  <si>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</si>
  <si>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</si>
  <si>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</si>
  <si>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</si>
  <si>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</si>
  <si>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</si>
  <si>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</si>
  <si>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</si>
  <si>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</si>
  <si>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</si>
  <si>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</si>
  <si>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</si>
  <si>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</si>
  <si>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</si>
  <si>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</si>
  <si>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</si>
  <si>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</si>
  <si>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</si>
  <si>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</si>
  <si>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</si>
  <si>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</si>
  <si>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</si>
  <si>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</si>
  <si>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</si>
  <si>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</si>
  <si>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</si>
  <si>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</si>
  <si>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</si>
  <si>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</si>
  <si>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</si>
  <si>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</si>
  <si>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</si>
  <si>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</si>
  <si>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</si>
  <si>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</si>
  <si>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</si>
  <si>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</si>
  <si>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</si>
  <si>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</si>
  <si>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</si>
  <si>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</si>
  <si>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</si>
  <si>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</si>
  <si>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</si>
  <si>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</si>
  <si>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</si>
  <si>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</si>
  <si>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</si>
  <si>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</si>
  <si>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</si>
  <si>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</si>
  <si>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</si>
  <si>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</si>
  <si>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</si>
  <si>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</si>
  <si>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</si>
  <si>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</si>
  <si>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</si>
  <si>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</si>
  <si>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</si>
  <si>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</si>
  <si>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</si>
  <si>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</si>
  <si>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</si>
  <si>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</si>
  <si>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</si>
  <si>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</si>
  <si>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</si>
  <si>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</si>
  <si>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</si>
  <si>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</si>
  <si>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</si>
  <si>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</si>
  <si>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</si>
  <si>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</si>
  <si>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</si>
  <si>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</si>
  <si>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</si>
  <si>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</si>
  <si>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</si>
  <si>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</si>
  <si>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</si>
  <si>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</si>
  <si>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</si>
  <si>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</si>
  <si>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</si>
  <si>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</si>
  <si>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</si>
  <si>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</si>
  <si>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</si>
  <si>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</si>
  <si>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</si>
  <si>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</si>
  <si>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</si>
  <si>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</si>
  <si>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</si>
  <si>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</si>
  <si>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</si>
  <si>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</si>
  <si>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</si>
  <si>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</si>
  <si>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</si>
  <si>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</si>
  <si>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</si>
  <si>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</si>
  <si>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</si>
  <si>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</si>
  <si>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</si>
  <si>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</si>
  <si>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</si>
  <si>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</si>
  <si>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</si>
  <si>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</si>
  <si>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</si>
  <si>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</si>
  <si>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</si>
  <si>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</si>
  <si>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</si>
  <si>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</si>
  <si>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</si>
  <si>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</si>
  <si>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</si>
  <si>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</si>
  <si>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</si>
  <si>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</si>
  <si>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</si>
  <si>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</si>
  <si>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</si>
  <si>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</si>
  <si>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</si>
  <si>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</si>
  <si>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</si>
  <si>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</si>
  <si>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</si>
  <si>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</si>
  <si>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</si>
  <si>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</si>
  <si>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</si>
  <si>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</si>
  <si>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</si>
  <si>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</si>
  <si>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</si>
  <si>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</si>
  <si>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</si>
  <si>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</si>
  <si>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</si>
  <si>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</si>
  <si>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</si>
  <si>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</si>
  <si>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</si>
  <si>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</si>
  <si>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</si>
  <si>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</si>
  <si>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</si>
  <si>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</si>
  <si>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</si>
  <si>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</si>
  <si>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</si>
  <si>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</si>
  <si>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</si>
  <si>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</si>
  <si>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</si>
  <si>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</si>
  <si>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</si>
  <si>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</si>
  <si>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</si>
  <si>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</si>
  <si>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</si>
  <si>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</si>
  <si>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</si>
  <si>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</si>
  <si>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</si>
  <si>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</si>
  <si>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</si>
  <si>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</si>
  <si>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</si>
  <si>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</si>
  <si>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</si>
  <si>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</si>
  <si>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</si>
  <si>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</si>
  <si>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</si>
  <si>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</si>
  <si>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</si>
  <si>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</si>
  <si>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</si>
  <si>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</si>
  <si>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</si>
  <si>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</si>
  <si>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</si>
  <si>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</si>
  <si>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</si>
  <si>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</si>
  <si>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</si>
  <si>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</si>
  <si>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</si>
  <si>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</si>
  <si>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</si>
  <si>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</si>
  <si>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</si>
  <si>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</si>
  <si>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</si>
  <si>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</si>
  <si>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</si>
  <si>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</si>
  <si>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</si>
  <si>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</si>
  <si>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</si>
  <si>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</si>
  <si>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</si>
  <si>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</si>
  <si>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</si>
  <si>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</si>
  <si>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</si>
  <si>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</si>
  <si>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</si>
  <si>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</si>
  <si>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</si>
  <si>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</si>
  <si>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</si>
  <si>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</si>
  <si>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</si>
  <si>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</si>
  <si>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</si>
  <si>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</si>
  <si>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</si>
  <si>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</si>
  <si>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</si>
  <si>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</si>
  <si>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</si>
  <si>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</si>
  <si>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</si>
  <si>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</si>
  <si>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</si>
  <si>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</si>
  <si>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</si>
  <si>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</si>
  <si>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</si>
  <si>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</si>
  <si>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</si>
  <si>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</si>
  <si>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</si>
  <si>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</si>
  <si>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</si>
  <si>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</si>
  <si>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</si>
  <si>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</si>
  <si>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</si>
  <si>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</si>
  <si>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</si>
  <si>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</si>
  <si>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</si>
  <si>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</si>
  <si>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</si>
  <si>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</si>
  <si>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</si>
  <si>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</si>
  <si>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</si>
  <si>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</si>
  <si>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</si>
  <si>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</si>
  <si>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</si>
  <si>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</si>
  <si>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</si>
  <si>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</si>
  <si>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</si>
  <si>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</si>
  <si>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</si>
  <si>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</si>
  <si>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</si>
  <si>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</si>
  <si>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</si>
  <si>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</si>
  <si>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</si>
  <si>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</si>
  <si>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</si>
  <si>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</si>
  <si>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</si>
  <si>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</si>
  <si>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</si>
  <si>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</si>
  <si>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</si>
  <si>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</si>
  <si>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</si>
  <si>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</si>
  <si>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</si>
  <si>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</si>
  <si>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</si>
  <si>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</si>
  <si>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</si>
  <si>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</si>
  <si>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</si>
  <si>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</si>
  <si>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</si>
  <si>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</si>
  <si>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</si>
  <si>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</si>
  <si>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</si>
  <si>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</si>
  <si>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</si>
  <si>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</si>
  <si>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</si>
  <si>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</si>
  <si>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</si>
  <si>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</si>
  <si>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</si>
  <si>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</si>
  <si>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</si>
  <si>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</si>
  <si>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</si>
  <si>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</si>
  <si>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</si>
  <si>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</si>
  <si>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</si>
  <si>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</si>
  <si>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</si>
  <si>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</si>
  <si>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</si>
  <si>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</si>
  <si>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</si>
  <si>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</si>
  <si>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</si>
  <si>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</si>
  <si>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</si>
  <si>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</si>
  <si>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</si>
  <si>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</si>
  <si>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</si>
  <si>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</si>
  <si>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</si>
  <si>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</si>
  <si>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</si>
  <si>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</si>
  <si>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</si>
  <si>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</si>
  <si>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</si>
  <si>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</si>
  <si>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</si>
  <si>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</si>
  <si>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</si>
  <si>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</si>
  <si>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</si>
  <si>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</si>
  <si>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</si>
  <si>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</si>
  <si>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</si>
  <si>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</si>
  <si>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</si>
  <si>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</si>
  <si>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</si>
  <si>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</si>
  <si>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</si>
  <si>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</si>
  <si>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</si>
  <si>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</si>
  <si>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</si>
  <si>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</si>
  <si>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</si>
  <si>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</si>
  <si>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</si>
  <si>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</si>
  <si>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</si>
  <si>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</si>
  <si>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</si>
  <si>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</si>
  <si>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</si>
  <si>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</si>
  <si>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</si>
  <si>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</si>
  <si>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</si>
  <si>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</si>
  <si>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</si>
  <si>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</si>
  <si>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</si>
  <si>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</si>
  <si>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</si>
  <si>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</si>
  <si>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</si>
  <si>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</si>
  <si>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</si>
  <si>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</si>
  <si>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</si>
  <si>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</si>
  <si>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</si>
  <si>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</si>
  <si>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</si>
  <si>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</si>
  <si>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</si>
  <si>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</si>
  <si>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</si>
  <si>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</si>
  <si>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</si>
  <si>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</si>
  <si>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</si>
  <si>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</si>
  <si>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</si>
  <si>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</si>
  <si>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</si>
  <si>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</si>
  <si>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</si>
  <si>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</si>
  <si>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</si>
  <si>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</si>
  <si>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</si>
  <si>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</si>
  <si>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</si>
  <si>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</si>
  <si>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</si>
  <si>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</si>
  <si>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</si>
  <si>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</si>
  <si>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</si>
  <si>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</si>
  <si>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</si>
  <si>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</t>
  </si>
  <si>
    <t>Description</t>
  </si>
  <si>
    <t>Sample</t>
  </si>
  <si>
    <t>Datatype</t>
  </si>
  <si>
    <t>Analysis</t>
  </si>
  <si>
    <t>Unique Identifier for every Customer</t>
  </si>
  <si>
    <t>Text</t>
  </si>
  <si>
    <t>Segementation/Categorisation of the Customers</t>
  </si>
  <si>
    <t>Gender of the Customer</t>
  </si>
  <si>
    <t>Male,Female</t>
  </si>
  <si>
    <t>Categorical Analysis</t>
  </si>
  <si>
    <t>If the customer is SeniorCitizen</t>
  </si>
  <si>
    <t>0,1</t>
  </si>
  <si>
    <t>Numerical ---&gt; Text</t>
  </si>
  <si>
    <t>If the customer is having Partner</t>
  </si>
  <si>
    <t>Yes,No</t>
  </si>
  <si>
    <t>If the customer is having Dependents</t>
  </si>
  <si>
    <t>Duration of the Customer with company</t>
  </si>
  <si>
    <t>15,24 --&gt; Months</t>
  </si>
  <si>
    <t>Numerical</t>
  </si>
  <si>
    <t>New Customers, Loyal Customers</t>
  </si>
  <si>
    <t>Either Customers has Calling Services</t>
  </si>
  <si>
    <t>If customer has multiple connections</t>
  </si>
  <si>
    <t>Type of Internet Service</t>
  </si>
  <si>
    <t>Fiber,DSL</t>
  </si>
  <si>
    <t>Either Customer has Online Security feature</t>
  </si>
  <si>
    <t>Either Customer has Online Backup feature</t>
  </si>
  <si>
    <t>Either Customer has Device Protection feature</t>
  </si>
  <si>
    <t>Subscription of the Customer</t>
  </si>
  <si>
    <t>M2M,One Year, Two Years</t>
  </si>
  <si>
    <t>Method of Making the payment</t>
  </si>
  <si>
    <t>CC, Mailed, E-Transaction</t>
  </si>
  <si>
    <t>Charges for 1 months</t>
  </si>
  <si>
    <t>Total amount paid by customer in lifetime</t>
  </si>
  <si>
    <t>Administation Complaints</t>
  </si>
  <si>
    <t>Technical Complaints</t>
  </si>
  <si>
    <t>Either the Customer has left the company</t>
  </si>
  <si>
    <t>Text Functions</t>
  </si>
  <si>
    <t>Raw Data with extra Spaces</t>
  </si>
  <si>
    <t>Data after Trim Function</t>
  </si>
  <si>
    <t>TRIM(</t>
  </si>
  <si>
    <t>Used to remove extra whitespaces - Space,Tab,NewLine</t>
  </si>
  <si>
    <t xml:space="preserve">    Jobaaj    Learnings    </t>
  </si>
  <si>
    <t>PROPER(</t>
  </si>
  <si>
    <t>Proper formatting of words</t>
  </si>
  <si>
    <t>jobaaj learning</t>
  </si>
  <si>
    <t>capitalised first alphabet of every word</t>
  </si>
  <si>
    <t>LEN(</t>
  </si>
  <si>
    <t>length size of a text</t>
  </si>
  <si>
    <t>jobaaj</t>
  </si>
  <si>
    <t>6 characters in word Jobaaj</t>
  </si>
  <si>
    <t>LEFT(</t>
  </si>
  <si>
    <t>Extracting data from Left Side</t>
  </si>
  <si>
    <t>Extracted 4 characters from left side 7590</t>
  </si>
  <si>
    <t>RIGHT(</t>
  </si>
  <si>
    <t>Extracting data from Right Side</t>
  </si>
  <si>
    <t>Extracted 5 characters from right side VHVEG</t>
  </si>
  <si>
    <t>MID(</t>
  </si>
  <si>
    <t>Extracting data from Mid</t>
  </si>
  <si>
    <t>Donald John Trump</t>
  </si>
  <si>
    <t>CONCAT(</t>
  </si>
  <si>
    <t>Joining Multiple Text</t>
  </si>
  <si>
    <t>Mohandas Karamchand Gandhi</t>
  </si>
  <si>
    <t>UPPER(</t>
  </si>
  <si>
    <t>convert text into upper case</t>
  </si>
  <si>
    <t>LOWER(</t>
  </si>
  <si>
    <t>convert text into lower case</t>
  </si>
  <si>
    <t>First Name</t>
  </si>
  <si>
    <t>Last Name</t>
  </si>
  <si>
    <t>TEXT(</t>
  </si>
  <si>
    <t>Formatting in Text</t>
  </si>
  <si>
    <t>Shiva Vashishtha</t>
  </si>
  <si>
    <t>REPLACE(</t>
  </si>
  <si>
    <t>Sneha Tripathi</t>
  </si>
  <si>
    <t>Sanjay Kumar</t>
  </si>
  <si>
    <t>Syed Imtiaz</t>
  </si>
  <si>
    <t>Statistics Formulas</t>
  </si>
  <si>
    <t>Radhika Wankhede</t>
  </si>
  <si>
    <t>SUM</t>
  </si>
  <si>
    <t>MIN</t>
  </si>
  <si>
    <t>Full - Space Location</t>
  </si>
  <si>
    <t>MAX</t>
  </si>
  <si>
    <t>Length of Full</t>
  </si>
  <si>
    <t>Location of Space</t>
  </si>
  <si>
    <t>Length of Last Name</t>
  </si>
  <si>
    <t>AVERAGE</t>
  </si>
  <si>
    <t>LARGE</t>
  </si>
  <si>
    <t>Finding nth Largest Value</t>
  </si>
  <si>
    <t>SMALL</t>
  </si>
  <si>
    <t>Finding nth Smallest Value</t>
  </si>
  <si>
    <t>COUNT</t>
  </si>
  <si>
    <t>Counts only the numrical values</t>
  </si>
  <si>
    <t>COUNTA</t>
  </si>
  <si>
    <t>Counts all the values, excluding Null</t>
  </si>
  <si>
    <t>Total Sales</t>
  </si>
  <si>
    <t>COUNTIF</t>
  </si>
  <si>
    <t>Counting with Condition</t>
  </si>
  <si>
    <t>Avg Profit</t>
  </si>
  <si>
    <t>COUNTBLANK</t>
  </si>
  <si>
    <t>Count the blank cells</t>
  </si>
  <si>
    <t>Mahatma</t>
  </si>
  <si>
    <t>Gandhi</t>
  </si>
  <si>
    <t>Average Discount</t>
  </si>
  <si>
    <t>Min Discount</t>
  </si>
  <si>
    <t>Conditonal Function</t>
  </si>
  <si>
    <t>Max Profit</t>
  </si>
  <si>
    <t>IF</t>
  </si>
  <si>
    <t>mahatma</t>
  </si>
  <si>
    <t>Min Profit</t>
  </si>
  <si>
    <t>MAHATMA</t>
  </si>
  <si>
    <t>Total Profit</t>
  </si>
  <si>
    <t>Logical Function</t>
  </si>
  <si>
    <t>AND</t>
  </si>
  <si>
    <t>All the conditions to be TRUE</t>
  </si>
  <si>
    <t>dd</t>
  </si>
  <si>
    <t>OR</t>
  </si>
  <si>
    <t>One of the conditions to be TRUE</t>
  </si>
  <si>
    <t>mm</t>
  </si>
  <si>
    <t>mmm</t>
  </si>
  <si>
    <t>mmmm</t>
  </si>
  <si>
    <t>yy</t>
  </si>
  <si>
    <t>yyyy</t>
  </si>
  <si>
    <t>Salman Khan</t>
  </si>
  <si>
    <t>a</t>
  </si>
  <si>
    <t>b</t>
  </si>
  <si>
    <t>c</t>
  </si>
  <si>
    <t>Needs to pass in both exams</t>
  </si>
  <si>
    <t>Ex1</t>
  </si>
  <si>
    <t>Ex2</t>
  </si>
  <si>
    <t>Final</t>
  </si>
  <si>
    <t>Product</t>
  </si>
  <si>
    <t>Even if the candidate is pass in 1 exam</t>
  </si>
  <si>
    <t>Sum</t>
  </si>
  <si>
    <t>Order ID</t>
  </si>
  <si>
    <t>Order Date</t>
  </si>
  <si>
    <t>Sales</t>
  </si>
  <si>
    <t>Quantity</t>
  </si>
  <si>
    <t>Discount</t>
  </si>
  <si>
    <t>Profit</t>
  </si>
  <si>
    <t>Profit Margin</t>
  </si>
  <si>
    <t>Profit/Loss</t>
  </si>
  <si>
    <t>Billing Amount</t>
  </si>
  <si>
    <t>High Value Order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</si>
  <si>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</si>
  <si>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</si>
  <si>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</si>
  <si>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</si>
  <si>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</si>
  <si>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</si>
  <si>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</si>
  <si>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</si>
  <si>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</si>
  <si>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</si>
  <si>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</si>
  <si>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</si>
  <si>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</si>
  <si>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</si>
  <si>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</si>
  <si>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&gt;50</t>
  </si>
  <si>
    <t>Average Sales</t>
  </si>
  <si>
    <t>HVO</t>
  </si>
  <si>
    <t>Sales&gt;=Avg Sales</t>
  </si>
  <si>
    <t>LVO</t>
  </si>
  <si>
    <t>Else</t>
  </si>
  <si>
    <t>Sales&gt;100 and Discount &gt;=15%</t>
  </si>
  <si>
    <t>Sales&gt;Avg Sales</t>
  </si>
  <si>
    <t>Profit&gt;Avg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</si>
</sst>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d/mm/yy"/>
    <numFmt numFmtId="166" formatCode="d/m/yy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</font>
    <font>
      <color theme="1"/>
      <name val="Arial"/>
    </font>
    <font>
      <b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E4DFEC"/>
        <bgColor rgb="FFE4DFEC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 shrinkToFit="0" vertical="bottom" wrapText="0"/>
    </xf>
    <xf borderId="0" fillId="3" fontId="4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3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4" fontId="8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5" fontId="6" numFmtId="0" xfId="0" applyAlignment="1" applyFill="1" applyFont="1">
      <alignment vertical="bottom"/>
    </xf>
    <xf borderId="0" fillId="5" fontId="6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6" fontId="1" numFmtId="0" xfId="0" applyFill="1" applyFont="1"/>
    <xf borderId="0" fillId="3" fontId="6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0" numFmtId="10" xfId="0" applyAlignment="1" applyFont="1" applyNumberFormat="1">
      <alignment horizontal="right" vertical="bottom"/>
    </xf>
    <xf borderId="0" fillId="0" fontId="10" numFmtId="166" xfId="0" applyAlignment="1" applyFont="1" applyNumberFormat="1">
      <alignment horizontal="right" vertical="bottom"/>
    </xf>
    <xf borderId="0" fillId="7" fontId="10" numFmtId="0" xfId="0" applyAlignment="1" applyFill="1" applyFont="1">
      <alignment horizontal="right" vertical="bottom"/>
    </xf>
    <xf borderId="0" fillId="7" fontId="10" numFmtId="10" xfId="0" applyAlignment="1" applyFont="1" applyNumberFormat="1">
      <alignment horizontal="right" vertical="bottom"/>
    </xf>
    <xf borderId="0" fillId="7" fontId="1" numFmtId="0" xfId="0" applyFont="1"/>
    <xf borderId="0" fillId="3" fontId="8" numFmtId="0" xfId="0" applyFont="1"/>
    <xf borderId="0" fillId="0" fontId="8" numFmtId="0" xfId="0" applyFont="1"/>
    <xf borderId="0" fillId="8" fontId="8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8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7.71"/>
    <col customWidth="1" min="3" max="3" width="12.57"/>
    <col customWidth="1" min="4" max="4" width="7.71"/>
    <col customWidth="1" min="5" max="5" width="11.71"/>
    <col customWidth="1" min="6" max="6" width="7.0"/>
    <col customWidth="1" min="7" max="7" width="12.86"/>
    <col customWidth="1" min="8" max="8" width="16.71"/>
    <col customWidth="1" min="9" max="9" width="14.57"/>
    <col customWidth="1" min="10" max="15" width="18.43"/>
    <col customWidth="1" min="16" max="16" width="16.29"/>
    <col customWidth="1" min="17" max="17" width="14.86"/>
    <col customWidth="1" min="18" max="18" width="24.0"/>
    <col customWidth="1" min="19" max="19" width="15.57"/>
    <col customWidth="1" min="20" max="20" width="12.57"/>
    <col customWidth="1" min="21" max="21" width="17.0"/>
    <col customWidth="1" min="22" max="22" width="15.43"/>
    <col customWidth="1" min="23" max="23" width="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>
        <v>0.0</v>
      </c>
      <c r="D2" s="1" t="s">
        <v>25</v>
      </c>
      <c r="E2" s="1" t="s">
        <v>26</v>
      </c>
      <c r="F2" s="1">
        <v>1.0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1">
        <v>29.85</v>
      </c>
      <c r="T2" s="1">
        <v>29.85</v>
      </c>
      <c r="U2" s="1">
        <v>0.0</v>
      </c>
      <c r="V2" s="1">
        <v>0.0</v>
      </c>
      <c r="W2" s="1" t="s">
        <v>26</v>
      </c>
    </row>
    <row r="3">
      <c r="A3" s="1" t="s">
        <v>31</v>
      </c>
      <c r="B3" s="1" t="s">
        <v>32</v>
      </c>
      <c r="C3" s="1">
        <v>0.0</v>
      </c>
      <c r="D3" s="1" t="s">
        <v>26</v>
      </c>
      <c r="E3" s="1" t="s">
        <v>26</v>
      </c>
      <c r="F3" s="1">
        <v>34.0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1">
        <v>56.95</v>
      </c>
      <c r="T3" s="1">
        <v>1889.5</v>
      </c>
      <c r="U3" s="1">
        <v>0.0</v>
      </c>
      <c r="V3" s="1">
        <v>0.0</v>
      </c>
      <c r="W3" s="1" t="s">
        <v>26</v>
      </c>
    </row>
    <row r="4">
      <c r="A4" s="1" t="s">
        <v>35</v>
      </c>
      <c r="B4" s="1" t="s">
        <v>32</v>
      </c>
      <c r="C4" s="1">
        <v>0.0</v>
      </c>
      <c r="D4" s="1" t="s">
        <v>26</v>
      </c>
      <c r="E4" s="1" t="s">
        <v>26</v>
      </c>
      <c r="F4" s="1">
        <v>2.0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1">
        <v>53.85</v>
      </c>
      <c r="T4" s="1">
        <v>108.15</v>
      </c>
      <c r="U4" s="1">
        <v>0.0</v>
      </c>
      <c r="V4" s="1">
        <v>0.0</v>
      </c>
      <c r="W4" s="1" t="s">
        <v>25</v>
      </c>
    </row>
    <row r="5">
      <c r="A5" s="1" t="s">
        <v>36</v>
      </c>
      <c r="B5" s="1" t="s">
        <v>32</v>
      </c>
      <c r="C5" s="1">
        <v>0.0</v>
      </c>
      <c r="D5" s="1" t="s">
        <v>26</v>
      </c>
      <c r="E5" s="1" t="s">
        <v>26</v>
      </c>
      <c r="F5" s="1">
        <v>45.0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1">
        <v>42.3</v>
      </c>
      <c r="T5" s="1">
        <v>1840.75</v>
      </c>
      <c r="U5" s="1">
        <v>0.0</v>
      </c>
      <c r="V5" s="1">
        <v>3.0</v>
      </c>
      <c r="W5" s="1" t="s">
        <v>26</v>
      </c>
    </row>
    <row r="6">
      <c r="A6" s="1" t="s">
        <v>38</v>
      </c>
      <c r="B6" s="1" t="s">
        <v>24</v>
      </c>
      <c r="C6" s="1">
        <v>0.0</v>
      </c>
      <c r="D6" s="1" t="s">
        <v>26</v>
      </c>
      <c r="E6" s="1" t="s">
        <v>26</v>
      </c>
      <c r="F6" s="1">
        <v>2.0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1">
        <v>70.7</v>
      </c>
      <c r="T6" s="1">
        <v>151.65</v>
      </c>
      <c r="U6" s="1">
        <v>0.0</v>
      </c>
      <c r="V6" s="1">
        <v>0.0</v>
      </c>
      <c r="W6" s="1" t="s">
        <v>25</v>
      </c>
    </row>
    <row r="7">
      <c r="A7" s="1" t="s">
        <v>40</v>
      </c>
      <c r="B7" s="1" t="s">
        <v>24</v>
      </c>
      <c r="C7" s="1">
        <v>0.0</v>
      </c>
      <c r="D7" s="1" t="s">
        <v>26</v>
      </c>
      <c r="E7" s="1" t="s">
        <v>26</v>
      </c>
      <c r="F7" s="1">
        <v>8.0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1">
        <v>99.65</v>
      </c>
      <c r="T7" s="1">
        <v>820.5</v>
      </c>
      <c r="U7" s="1">
        <v>0.0</v>
      </c>
      <c r="V7" s="1">
        <v>0.0</v>
      </c>
      <c r="W7" s="1" t="s">
        <v>25</v>
      </c>
    </row>
    <row r="8">
      <c r="A8" s="1" t="s">
        <v>41</v>
      </c>
      <c r="B8" s="1" t="s">
        <v>32</v>
      </c>
      <c r="C8" s="1">
        <v>0.0</v>
      </c>
      <c r="D8" s="1" t="s">
        <v>26</v>
      </c>
      <c r="E8" s="1" t="s">
        <v>25</v>
      </c>
      <c r="F8" s="1">
        <v>22.0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1">
        <v>89.1</v>
      </c>
      <c r="T8" s="1">
        <v>1949.4</v>
      </c>
      <c r="U8" s="1">
        <v>0.0</v>
      </c>
      <c r="V8" s="1">
        <v>0.0</v>
      </c>
      <c r="W8" s="1" t="s">
        <v>26</v>
      </c>
    </row>
    <row r="9">
      <c r="A9" s="1" t="s">
        <v>43</v>
      </c>
      <c r="B9" s="1" t="s">
        <v>24</v>
      </c>
      <c r="C9" s="1">
        <v>0.0</v>
      </c>
      <c r="D9" s="1" t="s">
        <v>26</v>
      </c>
      <c r="E9" s="1" t="s">
        <v>26</v>
      </c>
      <c r="F9" s="1">
        <v>10.0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1">
        <v>29.75</v>
      </c>
      <c r="T9" s="1">
        <v>301.9</v>
      </c>
      <c r="U9" s="1">
        <v>0.0</v>
      </c>
      <c r="V9" s="1">
        <v>0.0</v>
      </c>
      <c r="W9" s="1" t="s">
        <v>26</v>
      </c>
    </row>
    <row r="10">
      <c r="A10" s="1" t="s">
        <v>44</v>
      </c>
      <c r="B10" s="1" t="s">
        <v>24</v>
      </c>
      <c r="C10" s="1">
        <v>0.0</v>
      </c>
      <c r="D10" s="1" t="s">
        <v>25</v>
      </c>
      <c r="E10" s="1" t="s">
        <v>26</v>
      </c>
      <c r="F10" s="1">
        <v>28.0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1">
        <v>104.8</v>
      </c>
      <c r="T10" s="1">
        <v>3046.05</v>
      </c>
      <c r="U10" s="1">
        <v>0.0</v>
      </c>
      <c r="V10" s="1">
        <v>2.0</v>
      </c>
      <c r="W10" s="1" t="s">
        <v>25</v>
      </c>
    </row>
    <row r="11">
      <c r="A11" s="1" t="s">
        <v>45</v>
      </c>
      <c r="B11" s="1" t="s">
        <v>32</v>
      </c>
      <c r="C11" s="1">
        <v>0.0</v>
      </c>
      <c r="D11" s="1" t="s">
        <v>26</v>
      </c>
      <c r="E11" s="1" t="s">
        <v>25</v>
      </c>
      <c r="F11" s="1">
        <v>62.0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1">
        <v>56.15</v>
      </c>
      <c r="T11" s="1">
        <v>3487.95</v>
      </c>
      <c r="U11" s="1">
        <v>0.0</v>
      </c>
      <c r="V11" s="1">
        <v>0.0</v>
      </c>
      <c r="W11" s="1" t="s">
        <v>26</v>
      </c>
    </row>
    <row r="12">
      <c r="A12" s="1" t="s">
        <v>46</v>
      </c>
      <c r="B12" s="1" t="s">
        <v>32</v>
      </c>
      <c r="C12" s="1">
        <v>0.0</v>
      </c>
      <c r="D12" s="1" t="s">
        <v>25</v>
      </c>
      <c r="E12" s="1" t="s">
        <v>25</v>
      </c>
      <c r="F12" s="1">
        <v>13.0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1">
        <v>49.95</v>
      </c>
      <c r="T12" s="1">
        <v>587.45</v>
      </c>
      <c r="U12" s="1">
        <v>1.0</v>
      </c>
      <c r="V12" s="1">
        <v>0.0</v>
      </c>
      <c r="W12" s="1" t="s">
        <v>26</v>
      </c>
    </row>
    <row r="13">
      <c r="A13" s="1" t="s">
        <v>47</v>
      </c>
      <c r="B13" s="1" t="s">
        <v>32</v>
      </c>
      <c r="C13" s="1">
        <v>0.0</v>
      </c>
      <c r="D13" s="1" t="s">
        <v>26</v>
      </c>
      <c r="E13" s="1" t="s">
        <v>26</v>
      </c>
      <c r="F13" s="1">
        <v>16.0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1">
        <v>18.95</v>
      </c>
      <c r="T13" s="1">
        <v>326.8</v>
      </c>
      <c r="U13" s="1">
        <v>0.0</v>
      </c>
      <c r="V13" s="1">
        <v>0.0</v>
      </c>
      <c r="W13" s="1" t="s">
        <v>26</v>
      </c>
    </row>
    <row r="14">
      <c r="A14" s="1" t="s">
        <v>50</v>
      </c>
      <c r="B14" s="1" t="s">
        <v>32</v>
      </c>
      <c r="C14" s="1">
        <v>0.0</v>
      </c>
      <c r="D14" s="1" t="s">
        <v>25</v>
      </c>
      <c r="E14" s="1" t="s">
        <v>26</v>
      </c>
      <c r="F14" s="1">
        <v>58.0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1">
        <v>100.35</v>
      </c>
      <c r="T14" s="1">
        <v>5681.1</v>
      </c>
      <c r="U14" s="1">
        <v>0.0</v>
      </c>
      <c r="V14" s="1">
        <v>0.0</v>
      </c>
      <c r="W14" s="1" t="s">
        <v>26</v>
      </c>
    </row>
    <row r="15">
      <c r="A15" s="1" t="s">
        <v>51</v>
      </c>
      <c r="B15" s="1" t="s">
        <v>32</v>
      </c>
      <c r="C15" s="1">
        <v>0.0</v>
      </c>
      <c r="D15" s="1" t="s">
        <v>26</v>
      </c>
      <c r="E15" s="1" t="s">
        <v>26</v>
      </c>
      <c r="F15" s="1">
        <v>49.0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1">
        <v>103.7</v>
      </c>
      <c r="T15" s="1">
        <v>5036.3</v>
      </c>
      <c r="U15" s="1">
        <v>5.0</v>
      </c>
      <c r="V15" s="1">
        <v>4.0</v>
      </c>
      <c r="W15" s="1" t="s">
        <v>25</v>
      </c>
    </row>
    <row r="16">
      <c r="A16" s="1" t="s">
        <v>52</v>
      </c>
      <c r="B16" s="1" t="s">
        <v>32</v>
      </c>
      <c r="C16" s="1">
        <v>0.0</v>
      </c>
      <c r="D16" s="1" t="s">
        <v>26</v>
      </c>
      <c r="E16" s="1" t="s">
        <v>26</v>
      </c>
      <c r="F16" s="1">
        <v>25.0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1">
        <v>105.5</v>
      </c>
      <c r="T16" s="1">
        <v>2686.05</v>
      </c>
      <c r="U16" s="1">
        <v>0.0</v>
      </c>
      <c r="V16" s="1">
        <v>0.0</v>
      </c>
      <c r="W16" s="1" t="s">
        <v>26</v>
      </c>
    </row>
    <row r="17">
      <c r="A17" s="1" t="s">
        <v>53</v>
      </c>
      <c r="B17" s="1" t="s">
        <v>24</v>
      </c>
      <c r="C17" s="1">
        <v>0.0</v>
      </c>
      <c r="D17" s="1" t="s">
        <v>25</v>
      </c>
      <c r="E17" s="1" t="s">
        <v>25</v>
      </c>
      <c r="F17" s="1">
        <v>69.0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1">
        <v>113.25</v>
      </c>
      <c r="T17" s="1">
        <v>7895.15</v>
      </c>
      <c r="U17" s="1">
        <v>0.0</v>
      </c>
      <c r="V17" s="1">
        <v>0.0</v>
      </c>
      <c r="W17" s="1" t="s">
        <v>26</v>
      </c>
    </row>
    <row r="18">
      <c r="A18" s="1" t="s">
        <v>54</v>
      </c>
      <c r="B18" s="1" t="s">
        <v>24</v>
      </c>
      <c r="C18" s="1">
        <v>0.0</v>
      </c>
      <c r="D18" s="1" t="s">
        <v>26</v>
      </c>
      <c r="E18" s="1" t="s">
        <v>26</v>
      </c>
      <c r="F18" s="1">
        <v>52.0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1">
        <v>20.65</v>
      </c>
      <c r="T18" s="1">
        <v>1022.95</v>
      </c>
      <c r="U18" s="1">
        <v>0.0</v>
      </c>
      <c r="V18" s="1">
        <v>0.0</v>
      </c>
      <c r="W18" s="1" t="s">
        <v>26</v>
      </c>
    </row>
    <row r="19">
      <c r="A19" s="1" t="s">
        <v>55</v>
      </c>
      <c r="B19" s="1" t="s">
        <v>32</v>
      </c>
      <c r="C19" s="1">
        <v>0.0</v>
      </c>
      <c r="D19" s="1" t="s">
        <v>26</v>
      </c>
      <c r="E19" s="1" t="s">
        <v>25</v>
      </c>
      <c r="F19" s="1">
        <v>71.0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1">
        <v>106.7</v>
      </c>
      <c r="T19" s="1">
        <v>7382.25</v>
      </c>
      <c r="U19" s="1">
        <v>0.0</v>
      </c>
      <c r="V19" s="1">
        <v>4.0</v>
      </c>
      <c r="W19" s="1" t="s">
        <v>26</v>
      </c>
    </row>
    <row r="20">
      <c r="A20" s="1" t="s">
        <v>56</v>
      </c>
      <c r="B20" s="1" t="s">
        <v>24</v>
      </c>
      <c r="C20" s="1">
        <v>0.0</v>
      </c>
      <c r="D20" s="1" t="s">
        <v>25</v>
      </c>
      <c r="E20" s="1" t="s">
        <v>25</v>
      </c>
      <c r="F20" s="1">
        <v>10.0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1">
        <v>55.2</v>
      </c>
      <c r="T20" s="1">
        <v>528.35</v>
      </c>
      <c r="U20" s="1">
        <v>0.0</v>
      </c>
      <c r="V20" s="1">
        <v>0.0</v>
      </c>
      <c r="W20" s="1" t="s">
        <v>25</v>
      </c>
    </row>
    <row r="21" ht="15.75" customHeight="1">
      <c r="A21" s="1" t="s">
        <v>57</v>
      </c>
      <c r="B21" s="1" t="s">
        <v>24</v>
      </c>
      <c r="C21" s="1">
        <v>0.0</v>
      </c>
      <c r="D21" s="1" t="s">
        <v>26</v>
      </c>
      <c r="E21" s="1" t="s">
        <v>26</v>
      </c>
      <c r="F21" s="1">
        <v>21.0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1">
        <v>90.05</v>
      </c>
      <c r="T21" s="1">
        <v>1862.9</v>
      </c>
      <c r="U21" s="1">
        <v>0.0</v>
      </c>
      <c r="V21" s="1">
        <v>0.0</v>
      </c>
      <c r="W21" s="1" t="s">
        <v>26</v>
      </c>
    </row>
    <row r="22" ht="15.75" customHeight="1">
      <c r="A22" s="1" t="s">
        <v>58</v>
      </c>
      <c r="B22" s="1" t="s">
        <v>32</v>
      </c>
      <c r="C22" s="1">
        <v>1.0</v>
      </c>
      <c r="D22" s="1" t="s">
        <v>26</v>
      </c>
      <c r="E22" s="1" t="s">
        <v>26</v>
      </c>
      <c r="F22" s="1">
        <v>1.0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1">
        <v>39.65</v>
      </c>
      <c r="T22" s="1">
        <v>39.65</v>
      </c>
      <c r="U22" s="1">
        <v>0.0</v>
      </c>
      <c r="V22" s="1">
        <v>0.0</v>
      </c>
      <c r="W22" s="1" t="s">
        <v>25</v>
      </c>
    </row>
    <row r="23" ht="15.75" customHeight="1">
      <c r="A23" s="1" t="s">
        <v>59</v>
      </c>
      <c r="B23" s="1" t="s">
        <v>32</v>
      </c>
      <c r="C23" s="1">
        <v>0.0</v>
      </c>
      <c r="D23" s="1" t="s">
        <v>25</v>
      </c>
      <c r="E23" s="1" t="s">
        <v>26</v>
      </c>
      <c r="F23" s="1">
        <v>12.0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1">
        <v>19.8</v>
      </c>
      <c r="T23" s="1">
        <v>202.25</v>
      </c>
      <c r="U23" s="1">
        <v>2.0</v>
      </c>
      <c r="V23" s="1">
        <v>0.0</v>
      </c>
      <c r="W23" s="1" t="s">
        <v>26</v>
      </c>
    </row>
    <row r="24" ht="15.75" customHeight="1">
      <c r="A24" s="1" t="s">
        <v>60</v>
      </c>
      <c r="B24" s="1" t="s">
        <v>32</v>
      </c>
      <c r="C24" s="1">
        <v>0.0</v>
      </c>
      <c r="D24" s="1" t="s">
        <v>26</v>
      </c>
      <c r="E24" s="1" t="s">
        <v>26</v>
      </c>
      <c r="F24" s="1">
        <v>1.0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1">
        <v>20.15</v>
      </c>
      <c r="T24" s="1">
        <v>20.15</v>
      </c>
      <c r="U24" s="1">
        <v>4.0</v>
      </c>
      <c r="V24" s="1">
        <v>0.0</v>
      </c>
      <c r="W24" s="1" t="s">
        <v>25</v>
      </c>
    </row>
    <row r="25" ht="15.75" customHeight="1">
      <c r="A25" s="1" t="s">
        <v>61</v>
      </c>
      <c r="B25" s="1" t="s">
        <v>24</v>
      </c>
      <c r="C25" s="1">
        <v>0.0</v>
      </c>
      <c r="D25" s="1" t="s">
        <v>25</v>
      </c>
      <c r="E25" s="1" t="s">
        <v>26</v>
      </c>
      <c r="F25" s="1">
        <v>58.0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1">
        <v>59.9</v>
      </c>
      <c r="T25" s="1">
        <v>3505.1</v>
      </c>
      <c r="U25" s="1">
        <v>1.0</v>
      </c>
      <c r="V25" s="1">
        <v>0.0</v>
      </c>
      <c r="W25" s="1" t="s">
        <v>26</v>
      </c>
    </row>
    <row r="26" ht="15.75" customHeight="1">
      <c r="A26" s="1" t="s">
        <v>62</v>
      </c>
      <c r="B26" s="1" t="s">
        <v>32</v>
      </c>
      <c r="C26" s="1">
        <v>0.0</v>
      </c>
      <c r="D26" s="1" t="s">
        <v>25</v>
      </c>
      <c r="E26" s="1" t="s">
        <v>25</v>
      </c>
      <c r="F26" s="1">
        <v>49.0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1">
        <v>59.6</v>
      </c>
      <c r="T26" s="1">
        <v>2970.3</v>
      </c>
      <c r="U26" s="1">
        <v>0.0</v>
      </c>
      <c r="V26" s="1">
        <v>3.0</v>
      </c>
      <c r="W26" s="1" t="s">
        <v>26</v>
      </c>
    </row>
    <row r="27" ht="15.75" customHeight="1">
      <c r="A27" s="1" t="s">
        <v>63</v>
      </c>
      <c r="B27" s="1" t="s">
        <v>24</v>
      </c>
      <c r="C27" s="1">
        <v>0.0</v>
      </c>
      <c r="D27" s="1" t="s">
        <v>26</v>
      </c>
      <c r="E27" s="1" t="s">
        <v>26</v>
      </c>
      <c r="F27" s="1">
        <v>30.0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1">
        <v>55.3</v>
      </c>
      <c r="T27" s="1">
        <v>1530.6</v>
      </c>
      <c r="U27" s="1">
        <v>0.0</v>
      </c>
      <c r="V27" s="1">
        <v>0.0</v>
      </c>
      <c r="W27" s="1" t="s">
        <v>26</v>
      </c>
    </row>
    <row r="28" ht="15.75" customHeight="1">
      <c r="A28" s="1" t="s">
        <v>64</v>
      </c>
      <c r="B28" s="1" t="s">
        <v>32</v>
      </c>
      <c r="C28" s="1">
        <v>0.0</v>
      </c>
      <c r="D28" s="1" t="s">
        <v>25</v>
      </c>
      <c r="E28" s="1" t="s">
        <v>25</v>
      </c>
      <c r="F28" s="1">
        <v>47.0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1">
        <v>99.35</v>
      </c>
      <c r="T28" s="1">
        <v>4749.15</v>
      </c>
      <c r="U28" s="1">
        <v>0.0</v>
      </c>
      <c r="V28" s="1">
        <v>4.0</v>
      </c>
      <c r="W28" s="1" t="s">
        <v>25</v>
      </c>
    </row>
    <row r="29" ht="15.75" customHeight="1">
      <c r="A29" s="1" t="s">
        <v>65</v>
      </c>
      <c r="B29" s="1" t="s">
        <v>32</v>
      </c>
      <c r="C29" s="1">
        <v>0.0</v>
      </c>
      <c r="D29" s="1" t="s">
        <v>25</v>
      </c>
      <c r="E29" s="1" t="s">
        <v>25</v>
      </c>
      <c r="F29" s="1">
        <v>1.0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1">
        <v>30.2</v>
      </c>
      <c r="T29" s="1">
        <v>30.2</v>
      </c>
      <c r="U29" s="1">
        <v>0.0</v>
      </c>
      <c r="V29" s="1">
        <v>0.0</v>
      </c>
      <c r="W29" s="1" t="s">
        <v>25</v>
      </c>
    </row>
    <row r="30" ht="15.75" customHeight="1">
      <c r="A30" s="1" t="s">
        <v>66</v>
      </c>
      <c r="B30" s="1" t="s">
        <v>32</v>
      </c>
      <c r="C30" s="1">
        <v>0.0</v>
      </c>
      <c r="D30" s="1" t="s">
        <v>25</v>
      </c>
      <c r="E30" s="1" t="s">
        <v>26</v>
      </c>
      <c r="F30" s="1">
        <v>72.0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1">
        <v>90.25</v>
      </c>
      <c r="T30" s="1">
        <v>6369.45</v>
      </c>
      <c r="U30" s="1">
        <v>1.0</v>
      </c>
      <c r="V30" s="1">
        <v>0.0</v>
      </c>
      <c r="W30" s="1" t="s">
        <v>26</v>
      </c>
    </row>
    <row r="31" ht="15.75" customHeight="1">
      <c r="A31" s="1" t="s">
        <v>67</v>
      </c>
      <c r="B31" s="1" t="s">
        <v>24</v>
      </c>
      <c r="C31" s="1">
        <v>0.0</v>
      </c>
      <c r="D31" s="1" t="s">
        <v>26</v>
      </c>
      <c r="E31" s="1" t="s">
        <v>25</v>
      </c>
      <c r="F31" s="1">
        <v>17.0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1">
        <v>64.7</v>
      </c>
      <c r="T31" s="1">
        <v>1093.1</v>
      </c>
      <c r="U31" s="1">
        <v>0.0</v>
      </c>
      <c r="V31" s="1">
        <v>0.0</v>
      </c>
      <c r="W31" s="1" t="s">
        <v>25</v>
      </c>
    </row>
    <row r="32" ht="15.75" customHeight="1">
      <c r="A32" s="1" t="s">
        <v>68</v>
      </c>
      <c r="B32" s="1" t="s">
        <v>24</v>
      </c>
      <c r="C32" s="1">
        <v>1.0</v>
      </c>
      <c r="D32" s="1" t="s">
        <v>25</v>
      </c>
      <c r="E32" s="1" t="s">
        <v>26</v>
      </c>
      <c r="F32" s="1">
        <v>71.0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1">
        <v>96.35</v>
      </c>
      <c r="T32" s="1">
        <v>6766.95</v>
      </c>
      <c r="U32" s="1">
        <v>0.0</v>
      </c>
      <c r="V32" s="1">
        <v>0.0</v>
      </c>
      <c r="W32" s="1" t="s">
        <v>26</v>
      </c>
    </row>
    <row r="33" ht="15.75" customHeight="1">
      <c r="A33" s="1" t="s">
        <v>69</v>
      </c>
      <c r="B33" s="1" t="s">
        <v>32</v>
      </c>
      <c r="C33" s="1">
        <v>1.0</v>
      </c>
      <c r="D33" s="1" t="s">
        <v>25</v>
      </c>
      <c r="E33" s="1" t="s">
        <v>26</v>
      </c>
      <c r="F33" s="1">
        <v>2.0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1">
        <v>95.5</v>
      </c>
      <c r="T33" s="1">
        <v>181.65</v>
      </c>
      <c r="U33" s="1">
        <v>0.0</v>
      </c>
      <c r="V33" s="1">
        <v>0.0</v>
      </c>
      <c r="W33" s="1" t="s">
        <v>26</v>
      </c>
    </row>
    <row r="34" ht="15.75" customHeight="1">
      <c r="A34" s="1" t="s">
        <v>70</v>
      </c>
      <c r="B34" s="1" t="s">
        <v>24</v>
      </c>
      <c r="C34" s="1">
        <v>0.0</v>
      </c>
      <c r="D34" s="1" t="s">
        <v>25</v>
      </c>
      <c r="E34" s="1" t="s">
        <v>25</v>
      </c>
      <c r="F34" s="1">
        <v>27.0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1">
        <v>66.15</v>
      </c>
      <c r="T34" s="1">
        <v>1874.45</v>
      </c>
      <c r="U34" s="1">
        <v>0.0</v>
      </c>
      <c r="V34" s="1">
        <v>0.0</v>
      </c>
      <c r="W34" s="1" t="s">
        <v>26</v>
      </c>
    </row>
    <row r="35" ht="15.75" customHeight="1">
      <c r="A35" s="1" t="s">
        <v>71</v>
      </c>
      <c r="B35" s="1" t="s">
        <v>32</v>
      </c>
      <c r="C35" s="1">
        <v>0.0</v>
      </c>
      <c r="D35" s="1" t="s">
        <v>26</v>
      </c>
      <c r="E35" s="1" t="s">
        <v>26</v>
      </c>
      <c r="F35" s="1">
        <v>1.0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1">
        <v>20.2</v>
      </c>
      <c r="T35" s="1">
        <v>20.2</v>
      </c>
      <c r="U35" s="1">
        <v>0.0</v>
      </c>
      <c r="V35" s="1">
        <v>0.0</v>
      </c>
      <c r="W35" s="1" t="s">
        <v>26</v>
      </c>
    </row>
    <row r="36" ht="15.75" customHeight="1">
      <c r="A36" s="1" t="s">
        <v>72</v>
      </c>
      <c r="B36" s="1" t="s">
        <v>32</v>
      </c>
      <c r="C36" s="1">
        <v>1.0</v>
      </c>
      <c r="D36" s="1" t="s">
        <v>26</v>
      </c>
      <c r="E36" s="1" t="s">
        <v>26</v>
      </c>
      <c r="F36" s="1">
        <v>1.0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1">
        <v>45.25</v>
      </c>
      <c r="T36" s="1">
        <v>45.25</v>
      </c>
      <c r="U36" s="1">
        <v>0.0</v>
      </c>
      <c r="V36" s="1">
        <v>0.0</v>
      </c>
      <c r="W36" s="1" t="s">
        <v>26</v>
      </c>
    </row>
    <row r="37" ht="15.75" customHeight="1">
      <c r="A37" s="1" t="s">
        <v>73</v>
      </c>
      <c r="B37" s="1" t="s">
        <v>24</v>
      </c>
      <c r="C37" s="1">
        <v>0.0</v>
      </c>
      <c r="D37" s="1" t="s">
        <v>25</v>
      </c>
      <c r="E37" s="1" t="s">
        <v>25</v>
      </c>
      <c r="F37" s="1">
        <v>72.0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1">
        <v>99.9</v>
      </c>
      <c r="T37" s="1">
        <v>7251.7</v>
      </c>
      <c r="U37" s="1">
        <v>0.0</v>
      </c>
      <c r="V37" s="1">
        <v>0.0</v>
      </c>
      <c r="W37" s="1" t="s">
        <v>26</v>
      </c>
    </row>
    <row r="38" ht="15.75" customHeight="1">
      <c r="A38" s="1" t="s">
        <v>74</v>
      </c>
      <c r="B38" s="1" t="s">
        <v>32</v>
      </c>
      <c r="C38" s="1">
        <v>0.0</v>
      </c>
      <c r="D38" s="1" t="s">
        <v>26</v>
      </c>
      <c r="E38" s="1" t="s">
        <v>26</v>
      </c>
      <c r="F38" s="1">
        <v>5.0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1">
        <v>69.7</v>
      </c>
      <c r="T38" s="1">
        <v>316.9</v>
      </c>
      <c r="U38" s="1">
        <v>0.0</v>
      </c>
      <c r="V38" s="1">
        <v>0.0</v>
      </c>
      <c r="W38" s="1" t="s">
        <v>25</v>
      </c>
    </row>
    <row r="39" ht="15.75" customHeight="1">
      <c r="A39" s="1" t="s">
        <v>75</v>
      </c>
      <c r="B39" s="1" t="s">
        <v>24</v>
      </c>
      <c r="C39" s="1">
        <v>0.0</v>
      </c>
      <c r="D39" s="1" t="s">
        <v>26</v>
      </c>
      <c r="E39" s="1" t="s">
        <v>26</v>
      </c>
      <c r="F39" s="1">
        <v>46.0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1">
        <v>74.8</v>
      </c>
      <c r="T39" s="1">
        <v>3548.3</v>
      </c>
      <c r="U39" s="1">
        <v>3.0</v>
      </c>
      <c r="V39" s="1">
        <v>0.0</v>
      </c>
      <c r="W39" s="1" t="s">
        <v>26</v>
      </c>
    </row>
    <row r="40" ht="15.75" customHeight="1">
      <c r="A40" s="1" t="s">
        <v>76</v>
      </c>
      <c r="B40" s="1" t="s">
        <v>32</v>
      </c>
      <c r="C40" s="1">
        <v>0.0</v>
      </c>
      <c r="D40" s="1" t="s">
        <v>26</v>
      </c>
      <c r="E40" s="1" t="s">
        <v>26</v>
      </c>
      <c r="F40" s="1">
        <v>34.0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1">
        <v>106.35</v>
      </c>
      <c r="T40" s="1">
        <v>3549.25</v>
      </c>
      <c r="U40" s="1">
        <v>0.0</v>
      </c>
      <c r="V40" s="1">
        <v>4.0</v>
      </c>
      <c r="W40" s="1" t="s">
        <v>25</v>
      </c>
    </row>
    <row r="41" ht="15.75" customHeight="1">
      <c r="A41" s="1" t="s">
        <v>77</v>
      </c>
      <c r="B41" s="1" t="s">
        <v>24</v>
      </c>
      <c r="C41" s="1">
        <v>0.0</v>
      </c>
      <c r="D41" s="1" t="s">
        <v>26</v>
      </c>
      <c r="E41" s="1" t="s">
        <v>26</v>
      </c>
      <c r="F41" s="1">
        <v>11.0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1">
        <v>97.85</v>
      </c>
      <c r="T41" s="1">
        <v>1105.4</v>
      </c>
      <c r="U41" s="1">
        <v>0.0</v>
      </c>
      <c r="V41" s="1">
        <v>2.0</v>
      </c>
      <c r="W41" s="1" t="s">
        <v>25</v>
      </c>
    </row>
    <row r="42" ht="15.75" customHeight="1">
      <c r="A42" s="1" t="s">
        <v>78</v>
      </c>
      <c r="B42" s="1" t="s">
        <v>32</v>
      </c>
      <c r="C42" s="1">
        <v>0.0</v>
      </c>
      <c r="D42" s="1" t="s">
        <v>25</v>
      </c>
      <c r="E42" s="1" t="s">
        <v>25</v>
      </c>
      <c r="F42" s="1">
        <v>10.0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1">
        <v>49.55</v>
      </c>
      <c r="T42" s="1">
        <v>475.7</v>
      </c>
      <c r="U42" s="1">
        <v>5.0</v>
      </c>
      <c r="V42" s="1">
        <v>0.0</v>
      </c>
      <c r="W42" s="1" t="s">
        <v>26</v>
      </c>
    </row>
    <row r="43" ht="15.75" customHeight="1">
      <c r="A43" s="1" t="s">
        <v>79</v>
      </c>
      <c r="B43" s="1" t="s">
        <v>24</v>
      </c>
      <c r="C43" s="1">
        <v>0.0</v>
      </c>
      <c r="D43" s="1" t="s">
        <v>25</v>
      </c>
      <c r="E43" s="1" t="s">
        <v>25</v>
      </c>
      <c r="F43" s="1">
        <v>70.0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1">
        <v>69.2</v>
      </c>
      <c r="T43" s="1">
        <v>4872.35</v>
      </c>
      <c r="U43" s="1">
        <v>0.0</v>
      </c>
      <c r="V43" s="1">
        <v>0.0</v>
      </c>
      <c r="W43" s="1" t="s">
        <v>26</v>
      </c>
    </row>
    <row r="44" ht="15.75" customHeight="1">
      <c r="A44" s="1" t="s">
        <v>80</v>
      </c>
      <c r="B44" s="1" t="s">
        <v>24</v>
      </c>
      <c r="C44" s="1">
        <v>0.0</v>
      </c>
      <c r="D44" s="1" t="s">
        <v>25</v>
      </c>
      <c r="E44" s="1" t="s">
        <v>25</v>
      </c>
      <c r="F44" s="1">
        <v>17.0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1">
        <v>20.75</v>
      </c>
      <c r="T44" s="1">
        <v>418.25</v>
      </c>
      <c r="U44" s="1">
        <v>0.0</v>
      </c>
      <c r="V44" s="1">
        <v>0.0</v>
      </c>
      <c r="W44" s="1" t="s">
        <v>26</v>
      </c>
    </row>
    <row r="45" ht="15.75" customHeight="1">
      <c r="A45" s="1" t="s">
        <v>81</v>
      </c>
      <c r="B45" s="1" t="s">
        <v>24</v>
      </c>
      <c r="C45" s="1">
        <v>0.0</v>
      </c>
      <c r="D45" s="1" t="s">
        <v>26</v>
      </c>
      <c r="E45" s="1" t="s">
        <v>26</v>
      </c>
      <c r="F45" s="1">
        <v>63.0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1">
        <v>79.85</v>
      </c>
      <c r="T45" s="1">
        <v>4861.45</v>
      </c>
      <c r="U45" s="1">
        <v>0.0</v>
      </c>
      <c r="V45" s="1">
        <v>0.0</v>
      </c>
      <c r="W45" s="1" t="s">
        <v>26</v>
      </c>
    </row>
    <row r="46" ht="15.75" customHeight="1">
      <c r="A46" s="1" t="s">
        <v>82</v>
      </c>
      <c r="B46" s="1" t="s">
        <v>24</v>
      </c>
      <c r="C46" s="1">
        <v>0.0</v>
      </c>
      <c r="D46" s="1" t="s">
        <v>25</v>
      </c>
      <c r="E46" s="1" t="s">
        <v>26</v>
      </c>
      <c r="F46" s="1">
        <v>13.0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1">
        <v>76.2</v>
      </c>
      <c r="T46" s="1">
        <v>981.45</v>
      </c>
      <c r="U46" s="1">
        <v>4.0</v>
      </c>
      <c r="V46" s="1">
        <v>0.0</v>
      </c>
      <c r="W46" s="1" t="s">
        <v>26</v>
      </c>
    </row>
    <row r="47" ht="15.75" customHeight="1">
      <c r="A47" s="1" t="s">
        <v>83</v>
      </c>
      <c r="B47" s="1" t="s">
        <v>24</v>
      </c>
      <c r="C47" s="1">
        <v>0.0</v>
      </c>
      <c r="D47" s="1" t="s">
        <v>26</v>
      </c>
      <c r="E47" s="1" t="s">
        <v>26</v>
      </c>
      <c r="F47" s="1">
        <v>49.0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1">
        <v>84.5</v>
      </c>
      <c r="T47" s="1">
        <v>3906.7</v>
      </c>
      <c r="U47" s="1">
        <v>0.0</v>
      </c>
      <c r="V47" s="1">
        <v>3.0</v>
      </c>
      <c r="W47" s="1" t="s">
        <v>26</v>
      </c>
    </row>
    <row r="48" ht="15.75" customHeight="1">
      <c r="A48" s="1" t="s">
        <v>84</v>
      </c>
      <c r="B48" s="1" t="s">
        <v>32</v>
      </c>
      <c r="C48" s="1">
        <v>0.0</v>
      </c>
      <c r="D48" s="1" t="s">
        <v>26</v>
      </c>
      <c r="E48" s="1" t="s">
        <v>26</v>
      </c>
      <c r="F48" s="1">
        <v>2.0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1">
        <v>49.25</v>
      </c>
      <c r="T48" s="1">
        <v>97.0</v>
      </c>
      <c r="U48" s="1">
        <v>0.0</v>
      </c>
      <c r="V48" s="1">
        <v>0.0</v>
      </c>
      <c r="W48" s="1" t="s">
        <v>26</v>
      </c>
    </row>
    <row r="49" ht="15.75" customHeight="1">
      <c r="A49" s="1" t="s">
        <v>85</v>
      </c>
      <c r="B49" s="1" t="s">
        <v>24</v>
      </c>
      <c r="C49" s="1">
        <v>0.0</v>
      </c>
      <c r="D49" s="1" t="s">
        <v>26</v>
      </c>
      <c r="E49" s="1" t="s">
        <v>26</v>
      </c>
      <c r="F49" s="1">
        <v>2.0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1">
        <v>80.65</v>
      </c>
      <c r="T49" s="1">
        <v>144.15</v>
      </c>
      <c r="U49" s="1">
        <v>0.0</v>
      </c>
      <c r="V49" s="1">
        <v>0.0</v>
      </c>
      <c r="W49" s="1" t="s">
        <v>25</v>
      </c>
    </row>
    <row r="50" ht="15.75" customHeight="1">
      <c r="A50" s="1" t="s">
        <v>86</v>
      </c>
      <c r="B50" s="1" t="s">
        <v>32</v>
      </c>
      <c r="C50" s="1">
        <v>0.0</v>
      </c>
      <c r="D50" s="1" t="s">
        <v>26</v>
      </c>
      <c r="E50" s="1" t="s">
        <v>26</v>
      </c>
      <c r="F50" s="1">
        <v>52.0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1">
        <v>79.75</v>
      </c>
      <c r="T50" s="1">
        <v>4217.8</v>
      </c>
      <c r="U50" s="1">
        <v>1.0</v>
      </c>
      <c r="V50" s="1">
        <v>0.0</v>
      </c>
      <c r="W50" s="1" t="s">
        <v>26</v>
      </c>
    </row>
    <row r="51" ht="15.75" customHeight="1">
      <c r="A51" s="1" t="s">
        <v>87</v>
      </c>
      <c r="B51" s="1" t="s">
        <v>24</v>
      </c>
      <c r="C51" s="1">
        <v>0.0</v>
      </c>
      <c r="D51" s="1" t="s">
        <v>25</v>
      </c>
      <c r="E51" s="1" t="s">
        <v>25</v>
      </c>
      <c r="F51" s="1">
        <v>69.0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1">
        <v>64.15</v>
      </c>
      <c r="T51" s="1">
        <v>4254.1</v>
      </c>
      <c r="U51" s="1">
        <v>0.0</v>
      </c>
      <c r="V51" s="1">
        <v>0.0</v>
      </c>
      <c r="W51" s="1" t="s">
        <v>26</v>
      </c>
    </row>
    <row r="52" ht="15.75" customHeight="1">
      <c r="A52" s="1" t="s">
        <v>88</v>
      </c>
      <c r="B52" s="1" t="s">
        <v>24</v>
      </c>
      <c r="C52" s="1">
        <v>1.0</v>
      </c>
      <c r="D52" s="1" t="s">
        <v>26</v>
      </c>
      <c r="E52" s="1" t="s">
        <v>26</v>
      </c>
      <c r="F52" s="1">
        <v>43.0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1">
        <v>90.25</v>
      </c>
      <c r="T52" s="1">
        <v>3838.75</v>
      </c>
      <c r="U52" s="1">
        <v>0.0</v>
      </c>
      <c r="V52" s="1">
        <v>0.0</v>
      </c>
      <c r="W52" s="1" t="s">
        <v>26</v>
      </c>
    </row>
    <row r="53" ht="15.75" customHeight="1">
      <c r="A53" s="1" t="s">
        <v>89</v>
      </c>
      <c r="B53" s="1" t="s">
        <v>24</v>
      </c>
      <c r="C53" s="1">
        <v>0.0</v>
      </c>
      <c r="D53" s="1" t="s">
        <v>26</v>
      </c>
      <c r="E53" s="1" t="s">
        <v>26</v>
      </c>
      <c r="F53" s="1">
        <v>15.0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1">
        <v>99.1</v>
      </c>
      <c r="T53" s="1">
        <v>1426.4</v>
      </c>
      <c r="U53" s="1">
        <v>0.0</v>
      </c>
      <c r="V53" s="1">
        <v>1.0</v>
      </c>
      <c r="W53" s="1" t="s">
        <v>25</v>
      </c>
    </row>
    <row r="54" ht="15.75" customHeight="1">
      <c r="A54" s="1" t="s">
        <v>90</v>
      </c>
      <c r="B54" s="1" t="s">
        <v>24</v>
      </c>
      <c r="C54" s="1">
        <v>1.0</v>
      </c>
      <c r="D54" s="1" t="s">
        <v>25</v>
      </c>
      <c r="E54" s="1" t="s">
        <v>26</v>
      </c>
      <c r="F54" s="1">
        <v>25.0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1">
        <v>69.5</v>
      </c>
      <c r="T54" s="1">
        <v>1752.65</v>
      </c>
      <c r="U54" s="1">
        <v>4.0</v>
      </c>
      <c r="V54" s="1">
        <v>0.0</v>
      </c>
      <c r="W54" s="1" t="s">
        <v>26</v>
      </c>
    </row>
    <row r="55" ht="15.75" customHeight="1">
      <c r="A55" s="1" t="s">
        <v>91</v>
      </c>
      <c r="B55" s="1" t="s">
        <v>24</v>
      </c>
      <c r="C55" s="1">
        <v>1.0</v>
      </c>
      <c r="D55" s="1" t="s">
        <v>25</v>
      </c>
      <c r="E55" s="1" t="s">
        <v>26</v>
      </c>
      <c r="F55" s="1">
        <v>8.0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1">
        <v>80.65</v>
      </c>
      <c r="T55" s="1">
        <v>633.3</v>
      </c>
      <c r="U55" s="1">
        <v>0.0</v>
      </c>
      <c r="V55" s="1">
        <v>0.0</v>
      </c>
      <c r="W55" s="1" t="s">
        <v>25</v>
      </c>
    </row>
    <row r="56" ht="15.75" customHeight="1">
      <c r="A56" s="1" t="s">
        <v>92</v>
      </c>
      <c r="B56" s="1" t="s">
        <v>24</v>
      </c>
      <c r="C56" s="1">
        <v>1.0</v>
      </c>
      <c r="D56" s="1" t="s">
        <v>25</v>
      </c>
      <c r="E56" s="1" t="s">
        <v>25</v>
      </c>
      <c r="F56" s="1">
        <v>60.0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1">
        <v>74.85</v>
      </c>
      <c r="T56" s="1">
        <v>4456.35</v>
      </c>
      <c r="U56" s="1">
        <v>0.0</v>
      </c>
      <c r="V56" s="1">
        <v>0.0</v>
      </c>
      <c r="W56" s="1" t="s">
        <v>26</v>
      </c>
    </row>
    <row r="57" ht="15.75" customHeight="1">
      <c r="A57" s="1" t="s">
        <v>93</v>
      </c>
      <c r="B57" s="1" t="s">
        <v>32</v>
      </c>
      <c r="C57" s="1">
        <v>1.0</v>
      </c>
      <c r="D57" s="1" t="s">
        <v>26</v>
      </c>
      <c r="E57" s="1" t="s">
        <v>26</v>
      </c>
      <c r="F57" s="1">
        <v>18.0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1">
        <v>95.45</v>
      </c>
      <c r="T57" s="1">
        <v>1752.55</v>
      </c>
      <c r="U57" s="1">
        <v>0.0</v>
      </c>
      <c r="V57" s="1">
        <v>1.0</v>
      </c>
      <c r="W57" s="1" t="s">
        <v>25</v>
      </c>
    </row>
    <row r="58" ht="15.75" customHeight="1">
      <c r="A58" s="1" t="s">
        <v>94</v>
      </c>
      <c r="B58" s="1" t="s">
        <v>24</v>
      </c>
      <c r="C58" s="1">
        <v>0.0</v>
      </c>
      <c r="D58" s="1" t="s">
        <v>25</v>
      </c>
      <c r="E58" s="1" t="s">
        <v>25</v>
      </c>
      <c r="F58" s="1">
        <v>63.0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1">
        <v>99.65</v>
      </c>
      <c r="T58" s="1">
        <v>6311.2</v>
      </c>
      <c r="U58" s="1">
        <v>0.0</v>
      </c>
      <c r="V58" s="1">
        <v>0.0</v>
      </c>
      <c r="W58" s="1" t="s">
        <v>26</v>
      </c>
    </row>
    <row r="59" ht="15.75" customHeight="1">
      <c r="A59" s="1" t="s">
        <v>95</v>
      </c>
      <c r="B59" s="1" t="s">
        <v>32</v>
      </c>
      <c r="C59" s="1">
        <v>1.0</v>
      </c>
      <c r="D59" s="1" t="s">
        <v>25</v>
      </c>
      <c r="E59" s="1" t="s">
        <v>25</v>
      </c>
      <c r="F59" s="1">
        <v>66.0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1">
        <v>108.45</v>
      </c>
      <c r="T59" s="1">
        <v>7076.35</v>
      </c>
      <c r="U59" s="1">
        <v>3.0</v>
      </c>
      <c r="V59" s="1">
        <v>0.0</v>
      </c>
      <c r="W59" s="1" t="s">
        <v>26</v>
      </c>
    </row>
    <row r="60" ht="15.75" customHeight="1">
      <c r="A60" s="1" t="s">
        <v>96</v>
      </c>
      <c r="B60" s="1" t="s">
        <v>24</v>
      </c>
      <c r="C60" s="1">
        <v>0.0</v>
      </c>
      <c r="D60" s="1" t="s">
        <v>25</v>
      </c>
      <c r="E60" s="1" t="s">
        <v>25</v>
      </c>
      <c r="F60" s="1">
        <v>34.0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1">
        <v>24.95</v>
      </c>
      <c r="T60" s="1">
        <v>894.3</v>
      </c>
      <c r="U60" s="1">
        <v>0.0</v>
      </c>
      <c r="V60" s="1">
        <v>0.0</v>
      </c>
      <c r="W60" s="1" t="s">
        <v>26</v>
      </c>
    </row>
    <row r="61" ht="15.75" customHeight="1">
      <c r="A61" s="1" t="s">
        <v>97</v>
      </c>
      <c r="B61" s="1" t="s">
        <v>24</v>
      </c>
      <c r="C61" s="1">
        <v>0.0</v>
      </c>
      <c r="D61" s="1" t="s">
        <v>26</v>
      </c>
      <c r="E61" s="1" t="s">
        <v>26</v>
      </c>
      <c r="F61" s="1">
        <v>72.0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1">
        <v>107.5</v>
      </c>
      <c r="T61" s="1">
        <v>7853.7</v>
      </c>
      <c r="U61" s="1">
        <v>0.0</v>
      </c>
      <c r="V61" s="1">
        <v>0.0</v>
      </c>
      <c r="W61" s="1" t="s">
        <v>26</v>
      </c>
    </row>
    <row r="62" ht="15.75" customHeight="1">
      <c r="A62" s="1" t="s">
        <v>98</v>
      </c>
      <c r="B62" s="1" t="s">
        <v>24</v>
      </c>
      <c r="C62" s="1">
        <v>0.0</v>
      </c>
      <c r="D62" s="1" t="s">
        <v>25</v>
      </c>
      <c r="E62" s="1" t="s">
        <v>26</v>
      </c>
      <c r="F62" s="1">
        <v>47.0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1">
        <v>100.5</v>
      </c>
      <c r="T62" s="1">
        <v>4707.1</v>
      </c>
      <c r="U62" s="1">
        <v>0.0</v>
      </c>
      <c r="V62" s="1">
        <v>0.0</v>
      </c>
      <c r="W62" s="1" t="s">
        <v>26</v>
      </c>
    </row>
    <row r="63" ht="15.75" customHeight="1">
      <c r="A63" s="1" t="s">
        <v>99</v>
      </c>
      <c r="B63" s="1" t="s">
        <v>32</v>
      </c>
      <c r="C63" s="1">
        <v>0.0</v>
      </c>
      <c r="D63" s="1" t="s">
        <v>26</v>
      </c>
      <c r="E63" s="1" t="s">
        <v>26</v>
      </c>
      <c r="F63" s="1">
        <v>60.0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1">
        <v>89.9</v>
      </c>
      <c r="T63" s="1">
        <v>5450.7</v>
      </c>
      <c r="U63" s="1">
        <v>0.0</v>
      </c>
      <c r="V63" s="1">
        <v>0.0</v>
      </c>
      <c r="W63" s="1" t="s">
        <v>26</v>
      </c>
    </row>
    <row r="64" ht="15.75" customHeight="1">
      <c r="A64" s="1" t="s">
        <v>100</v>
      </c>
      <c r="B64" s="1" t="s">
        <v>32</v>
      </c>
      <c r="C64" s="1">
        <v>0.0</v>
      </c>
      <c r="D64" s="1" t="s">
        <v>25</v>
      </c>
      <c r="E64" s="1" t="s">
        <v>26</v>
      </c>
      <c r="F64" s="1">
        <v>72.0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1">
        <v>42.1</v>
      </c>
      <c r="T64" s="1">
        <v>2962.0</v>
      </c>
      <c r="U64" s="1">
        <v>0.0</v>
      </c>
      <c r="V64" s="1">
        <v>0.0</v>
      </c>
      <c r="W64" s="1" t="s">
        <v>26</v>
      </c>
    </row>
    <row r="65" ht="15.75" customHeight="1">
      <c r="A65" s="1" t="s">
        <v>101</v>
      </c>
      <c r="B65" s="1" t="s">
        <v>24</v>
      </c>
      <c r="C65" s="1">
        <v>0.0</v>
      </c>
      <c r="D65" s="1" t="s">
        <v>25</v>
      </c>
      <c r="E65" s="1" t="s">
        <v>25</v>
      </c>
      <c r="F65" s="1">
        <v>18.0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1">
        <v>54.4</v>
      </c>
      <c r="T65" s="1">
        <v>957.1</v>
      </c>
      <c r="U65" s="1">
        <v>0.0</v>
      </c>
      <c r="V65" s="1">
        <v>0.0</v>
      </c>
      <c r="W65" s="1" t="s">
        <v>26</v>
      </c>
    </row>
    <row r="66" ht="15.75" customHeight="1">
      <c r="A66" s="1" t="s">
        <v>102</v>
      </c>
      <c r="B66" s="1" t="s">
        <v>24</v>
      </c>
      <c r="C66" s="1">
        <v>0.0</v>
      </c>
      <c r="D66" s="1" t="s">
        <v>26</v>
      </c>
      <c r="E66" s="1" t="s">
        <v>26</v>
      </c>
      <c r="F66" s="1">
        <v>9.0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1">
        <v>94.4</v>
      </c>
      <c r="T66" s="1">
        <v>857.25</v>
      </c>
      <c r="U66" s="1">
        <v>0.0</v>
      </c>
      <c r="V66" s="1">
        <v>0.0</v>
      </c>
      <c r="W66" s="1" t="s">
        <v>25</v>
      </c>
    </row>
    <row r="67" ht="15.75" customHeight="1">
      <c r="A67" s="1" t="s">
        <v>103</v>
      </c>
      <c r="B67" s="1" t="s">
        <v>24</v>
      </c>
      <c r="C67" s="1">
        <v>0.0</v>
      </c>
      <c r="D67" s="1" t="s">
        <v>26</v>
      </c>
      <c r="E67" s="1" t="s">
        <v>26</v>
      </c>
      <c r="F67" s="1">
        <v>3.0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1">
        <v>75.3</v>
      </c>
      <c r="T67" s="1">
        <v>244.1</v>
      </c>
      <c r="U67" s="1">
        <v>0.0</v>
      </c>
      <c r="V67" s="1">
        <v>0.0</v>
      </c>
      <c r="W67" s="1" t="s">
        <v>26</v>
      </c>
    </row>
    <row r="68" ht="15.75" customHeight="1">
      <c r="A68" s="1" t="s">
        <v>104</v>
      </c>
      <c r="B68" s="1" t="s">
        <v>32</v>
      </c>
      <c r="C68" s="1">
        <v>0.0</v>
      </c>
      <c r="D68" s="1" t="s">
        <v>25</v>
      </c>
      <c r="E68" s="1" t="s">
        <v>26</v>
      </c>
      <c r="F68" s="1">
        <v>47.0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1">
        <v>78.9</v>
      </c>
      <c r="T68" s="1">
        <v>3650.35</v>
      </c>
      <c r="U68" s="1">
        <v>0.0</v>
      </c>
      <c r="V68" s="1">
        <v>3.0</v>
      </c>
      <c r="W68" s="1" t="s">
        <v>26</v>
      </c>
    </row>
    <row r="69" ht="15.75" customHeight="1">
      <c r="A69" s="1" t="s">
        <v>105</v>
      </c>
      <c r="B69" s="1" t="s">
        <v>24</v>
      </c>
      <c r="C69" s="1">
        <v>0.0</v>
      </c>
      <c r="D69" s="1" t="s">
        <v>26</v>
      </c>
      <c r="E69" s="1" t="s">
        <v>26</v>
      </c>
      <c r="F69" s="1">
        <v>31.0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1">
        <v>79.2</v>
      </c>
      <c r="T69" s="1">
        <v>2497.2</v>
      </c>
      <c r="U69" s="1">
        <v>3.0</v>
      </c>
      <c r="V69" s="1">
        <v>0.0</v>
      </c>
      <c r="W69" s="1" t="s">
        <v>26</v>
      </c>
    </row>
    <row r="70" ht="15.75" customHeight="1">
      <c r="A70" s="1" t="s">
        <v>106</v>
      </c>
      <c r="B70" s="1" t="s">
        <v>24</v>
      </c>
      <c r="C70" s="1">
        <v>0.0</v>
      </c>
      <c r="D70" s="1" t="s">
        <v>25</v>
      </c>
      <c r="E70" s="1" t="s">
        <v>25</v>
      </c>
      <c r="F70" s="1">
        <v>50.0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1">
        <v>20.15</v>
      </c>
      <c r="T70" s="1">
        <v>930.9</v>
      </c>
      <c r="U70" s="1">
        <v>0.0</v>
      </c>
      <c r="V70" s="1">
        <v>0.0</v>
      </c>
      <c r="W70" s="1" t="s">
        <v>26</v>
      </c>
    </row>
    <row r="71" ht="15.75" customHeight="1">
      <c r="A71" s="1" t="s">
        <v>107</v>
      </c>
      <c r="B71" s="1" t="s">
        <v>32</v>
      </c>
      <c r="C71" s="1">
        <v>0.0</v>
      </c>
      <c r="D71" s="1" t="s">
        <v>26</v>
      </c>
      <c r="E71" s="1" t="s">
        <v>26</v>
      </c>
      <c r="F71" s="1">
        <v>10.0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1">
        <v>79.85</v>
      </c>
      <c r="T71" s="1">
        <v>887.35</v>
      </c>
      <c r="U71" s="1">
        <v>0.0</v>
      </c>
      <c r="V71" s="1">
        <v>0.0</v>
      </c>
      <c r="W71" s="1" t="s">
        <v>26</v>
      </c>
    </row>
    <row r="72" ht="15.75" customHeight="1">
      <c r="A72" s="1" t="s">
        <v>108</v>
      </c>
      <c r="B72" s="1" t="s">
        <v>32</v>
      </c>
      <c r="C72" s="1">
        <v>0.0</v>
      </c>
      <c r="D72" s="1" t="s">
        <v>26</v>
      </c>
      <c r="E72" s="1" t="s">
        <v>26</v>
      </c>
      <c r="F72" s="1">
        <v>1.0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1">
        <v>49.05</v>
      </c>
      <c r="T72" s="1">
        <v>49.05</v>
      </c>
      <c r="U72" s="1">
        <v>0.0</v>
      </c>
      <c r="V72" s="1">
        <v>0.0</v>
      </c>
      <c r="W72" s="1" t="s">
        <v>26</v>
      </c>
    </row>
    <row r="73" ht="15.75" customHeight="1">
      <c r="A73" s="1" t="s">
        <v>109</v>
      </c>
      <c r="B73" s="1" t="s">
        <v>24</v>
      </c>
      <c r="C73" s="1">
        <v>0.0</v>
      </c>
      <c r="D73" s="1" t="s">
        <v>25</v>
      </c>
      <c r="E73" s="1" t="s">
        <v>25</v>
      </c>
      <c r="F73" s="1">
        <v>52.0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1">
        <v>20.4</v>
      </c>
      <c r="T73" s="1">
        <v>1090.65</v>
      </c>
      <c r="U73" s="1">
        <v>0.0</v>
      </c>
      <c r="V73" s="1">
        <v>0.0</v>
      </c>
      <c r="W73" s="1" t="s">
        <v>26</v>
      </c>
    </row>
    <row r="74" ht="15.75" customHeight="1">
      <c r="A74" s="1" t="s">
        <v>110</v>
      </c>
      <c r="B74" s="1" t="s">
        <v>32</v>
      </c>
      <c r="C74" s="1">
        <v>1.0</v>
      </c>
      <c r="D74" s="1" t="s">
        <v>25</v>
      </c>
      <c r="E74" s="1" t="s">
        <v>25</v>
      </c>
      <c r="F74" s="1">
        <v>64.0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1">
        <v>111.6</v>
      </c>
      <c r="T74" s="1">
        <v>7099.0</v>
      </c>
      <c r="U74" s="1">
        <v>0.0</v>
      </c>
      <c r="V74" s="1">
        <v>0.0</v>
      </c>
      <c r="W74" s="1" t="s">
        <v>26</v>
      </c>
    </row>
    <row r="75" ht="15.75" customHeight="1">
      <c r="A75" s="1" t="s">
        <v>111</v>
      </c>
      <c r="B75" s="1" t="s">
        <v>32</v>
      </c>
      <c r="C75" s="1">
        <v>0.0</v>
      </c>
      <c r="D75" s="1" t="s">
        <v>25</v>
      </c>
      <c r="E75" s="1" t="s">
        <v>25</v>
      </c>
      <c r="F75" s="1">
        <v>62.0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1">
        <v>24.25</v>
      </c>
      <c r="T75" s="1">
        <v>1424.6</v>
      </c>
      <c r="U75" s="1">
        <v>0.0</v>
      </c>
      <c r="V75" s="1">
        <v>0.0</v>
      </c>
      <c r="W75" s="1" t="s">
        <v>26</v>
      </c>
    </row>
    <row r="76" ht="15.75" customHeight="1">
      <c r="A76" s="1" t="s">
        <v>112</v>
      </c>
      <c r="B76" s="1" t="s">
        <v>24</v>
      </c>
      <c r="C76" s="1">
        <v>0.0</v>
      </c>
      <c r="D76" s="1" t="s">
        <v>26</v>
      </c>
      <c r="E76" s="1" t="s">
        <v>25</v>
      </c>
      <c r="F76" s="1">
        <v>3.0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1">
        <v>64.5</v>
      </c>
      <c r="T76" s="1">
        <v>177.4</v>
      </c>
      <c r="U76" s="1">
        <v>0.0</v>
      </c>
      <c r="V76" s="1">
        <v>0.0</v>
      </c>
      <c r="W76" s="1" t="s">
        <v>26</v>
      </c>
    </row>
    <row r="77" ht="15.75" customHeight="1">
      <c r="A77" s="1" t="s">
        <v>113</v>
      </c>
      <c r="B77" s="1" t="s">
        <v>24</v>
      </c>
      <c r="C77" s="1">
        <v>1.0</v>
      </c>
      <c r="D77" s="1" t="s">
        <v>26</v>
      </c>
      <c r="E77" s="1" t="s">
        <v>26</v>
      </c>
      <c r="F77" s="1">
        <v>56.0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1">
        <v>110.5</v>
      </c>
      <c r="T77" s="1">
        <v>6139.5</v>
      </c>
      <c r="U77" s="1">
        <v>0.0</v>
      </c>
      <c r="V77" s="1">
        <v>0.0</v>
      </c>
      <c r="W77" s="1" t="s">
        <v>26</v>
      </c>
    </row>
    <row r="78" ht="15.75" customHeight="1">
      <c r="A78" s="1" t="s">
        <v>114</v>
      </c>
      <c r="B78" s="1" t="s">
        <v>24</v>
      </c>
      <c r="C78" s="1">
        <v>0.0</v>
      </c>
      <c r="D78" s="1" t="s">
        <v>26</v>
      </c>
      <c r="E78" s="1" t="s">
        <v>26</v>
      </c>
      <c r="F78" s="1">
        <v>46.0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1">
        <v>55.65</v>
      </c>
      <c r="T78" s="1">
        <v>2688.85</v>
      </c>
      <c r="U78" s="1">
        <v>1.0</v>
      </c>
      <c r="V78" s="1">
        <v>0.0</v>
      </c>
      <c r="W78" s="1" t="s">
        <v>26</v>
      </c>
    </row>
    <row r="79" ht="15.75" customHeight="1">
      <c r="A79" s="1" t="s">
        <v>115</v>
      </c>
      <c r="B79" s="1" t="s">
        <v>24</v>
      </c>
      <c r="C79" s="1">
        <v>0.0</v>
      </c>
      <c r="D79" s="1" t="s">
        <v>25</v>
      </c>
      <c r="E79" s="1" t="s">
        <v>25</v>
      </c>
      <c r="F79" s="1">
        <v>8.0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1">
        <v>54.65</v>
      </c>
      <c r="T79" s="1">
        <v>482.25</v>
      </c>
      <c r="U79" s="1">
        <v>0.0</v>
      </c>
      <c r="V79" s="1">
        <v>0.0</v>
      </c>
      <c r="W79" s="1" t="s">
        <v>26</v>
      </c>
    </row>
    <row r="80" ht="15.75" customHeight="1">
      <c r="A80" s="1" t="s">
        <v>116</v>
      </c>
      <c r="B80" s="1" t="s">
        <v>32</v>
      </c>
      <c r="C80" s="1">
        <v>1.0</v>
      </c>
      <c r="D80" s="1" t="s">
        <v>26</v>
      </c>
      <c r="E80" s="1" t="s">
        <v>26</v>
      </c>
      <c r="F80" s="1">
        <v>30.0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1">
        <v>74.75</v>
      </c>
      <c r="T80" s="1">
        <v>2111.3</v>
      </c>
      <c r="U80" s="1">
        <v>0.0</v>
      </c>
      <c r="V80" s="1">
        <v>0.0</v>
      </c>
      <c r="W80" s="1" t="s">
        <v>26</v>
      </c>
    </row>
    <row r="81" ht="15.75" customHeight="1">
      <c r="A81" s="1" t="s">
        <v>117</v>
      </c>
      <c r="B81" s="1" t="s">
        <v>24</v>
      </c>
      <c r="C81" s="1">
        <v>0.0</v>
      </c>
      <c r="D81" s="1" t="s">
        <v>25</v>
      </c>
      <c r="E81" s="1" t="s">
        <v>25</v>
      </c>
      <c r="F81" s="1">
        <v>45.0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1">
        <v>25.9</v>
      </c>
      <c r="T81" s="1">
        <v>1216.6</v>
      </c>
      <c r="U81" s="1">
        <v>0.0</v>
      </c>
      <c r="V81" s="1">
        <v>0.0</v>
      </c>
      <c r="W81" s="1" t="s">
        <v>26</v>
      </c>
    </row>
    <row r="82" ht="15.75" customHeight="1">
      <c r="A82" s="1" t="s">
        <v>118</v>
      </c>
      <c r="B82" s="1" t="s">
        <v>24</v>
      </c>
      <c r="C82" s="1">
        <v>0.0</v>
      </c>
      <c r="D82" s="1" t="s">
        <v>26</v>
      </c>
      <c r="E82" s="1" t="s">
        <v>25</v>
      </c>
      <c r="F82" s="1">
        <v>1.0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1">
        <v>79.35</v>
      </c>
      <c r="T82" s="1">
        <v>79.35</v>
      </c>
      <c r="U82" s="1">
        <v>2.0</v>
      </c>
      <c r="V82" s="1">
        <v>0.0</v>
      </c>
      <c r="W82" s="1" t="s">
        <v>25</v>
      </c>
    </row>
    <row r="83" ht="15.75" customHeight="1">
      <c r="A83" s="1" t="s">
        <v>119</v>
      </c>
      <c r="B83" s="1" t="s">
        <v>24</v>
      </c>
      <c r="C83" s="1">
        <v>0.0</v>
      </c>
      <c r="D83" s="1" t="s">
        <v>25</v>
      </c>
      <c r="E83" s="1" t="s">
        <v>25</v>
      </c>
      <c r="F83" s="1">
        <v>11.0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1">
        <v>50.55</v>
      </c>
      <c r="T83" s="1">
        <v>565.35</v>
      </c>
      <c r="U83" s="1">
        <v>0.0</v>
      </c>
      <c r="V83" s="1">
        <v>0.0</v>
      </c>
      <c r="W83" s="1" t="s">
        <v>26</v>
      </c>
    </row>
    <row r="84" ht="15.75" customHeight="1">
      <c r="A84" s="1" t="s">
        <v>120</v>
      </c>
      <c r="B84" s="1" t="s">
        <v>24</v>
      </c>
      <c r="C84" s="1">
        <v>0.0</v>
      </c>
      <c r="D84" s="1" t="s">
        <v>25</v>
      </c>
      <c r="E84" s="1" t="s">
        <v>26</v>
      </c>
      <c r="F84" s="1">
        <v>7.0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1">
        <v>75.15</v>
      </c>
      <c r="T84" s="1">
        <v>496.9</v>
      </c>
      <c r="U84" s="1">
        <v>5.0</v>
      </c>
      <c r="V84" s="1">
        <v>0.0</v>
      </c>
      <c r="W84" s="1" t="s">
        <v>25</v>
      </c>
    </row>
    <row r="85" ht="15.75" customHeight="1">
      <c r="A85" s="1" t="s">
        <v>121</v>
      </c>
      <c r="B85" s="1" t="s">
        <v>24</v>
      </c>
      <c r="C85" s="1">
        <v>0.0</v>
      </c>
      <c r="D85" s="1" t="s">
        <v>26</v>
      </c>
      <c r="E85" s="1" t="s">
        <v>26</v>
      </c>
      <c r="F85" s="1">
        <v>42.0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1">
        <v>103.8</v>
      </c>
      <c r="T85" s="1">
        <v>4327.5</v>
      </c>
      <c r="U85" s="1">
        <v>0.0</v>
      </c>
      <c r="V85" s="1">
        <v>0.0</v>
      </c>
      <c r="W85" s="1" t="s">
        <v>26</v>
      </c>
    </row>
    <row r="86" ht="15.75" customHeight="1">
      <c r="A86" s="1" t="s">
        <v>122</v>
      </c>
      <c r="B86" s="1" t="s">
        <v>24</v>
      </c>
      <c r="C86" s="1">
        <v>0.0</v>
      </c>
      <c r="D86" s="1" t="s">
        <v>25</v>
      </c>
      <c r="E86" s="1" t="s">
        <v>26</v>
      </c>
      <c r="F86" s="1">
        <v>49.0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1">
        <v>20.15</v>
      </c>
      <c r="T86" s="1">
        <v>973.35</v>
      </c>
      <c r="U86" s="1">
        <v>0.0</v>
      </c>
      <c r="V86" s="1">
        <v>0.0</v>
      </c>
      <c r="W86" s="1" t="s">
        <v>26</v>
      </c>
    </row>
    <row r="87" ht="15.75" customHeight="1">
      <c r="A87" s="1" t="s">
        <v>123</v>
      </c>
      <c r="B87" s="1" t="s">
        <v>32</v>
      </c>
      <c r="C87" s="1">
        <v>0.0</v>
      </c>
      <c r="D87" s="1" t="s">
        <v>26</v>
      </c>
      <c r="E87" s="1" t="s">
        <v>26</v>
      </c>
      <c r="F87" s="1">
        <v>9.0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1">
        <v>99.3</v>
      </c>
      <c r="T87" s="1">
        <v>918.75</v>
      </c>
      <c r="U87" s="1">
        <v>0.0</v>
      </c>
      <c r="V87" s="1">
        <v>0.0</v>
      </c>
      <c r="W87" s="1" t="s">
        <v>26</v>
      </c>
    </row>
    <row r="88" ht="15.75" customHeight="1">
      <c r="A88" s="1" t="s">
        <v>124</v>
      </c>
      <c r="B88" s="1" t="s">
        <v>24</v>
      </c>
      <c r="C88" s="1">
        <v>0.0</v>
      </c>
      <c r="D88" s="1" t="s">
        <v>25</v>
      </c>
      <c r="E88" s="1" t="s">
        <v>26</v>
      </c>
      <c r="F88" s="1">
        <v>35.0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1">
        <v>62.15</v>
      </c>
      <c r="T88" s="1">
        <v>2215.45</v>
      </c>
      <c r="U88" s="1">
        <v>0.0</v>
      </c>
      <c r="V88" s="1">
        <v>0.0</v>
      </c>
      <c r="W88" s="1" t="s">
        <v>26</v>
      </c>
    </row>
    <row r="89" ht="15.75" customHeight="1">
      <c r="A89" s="1" t="s">
        <v>125</v>
      </c>
      <c r="B89" s="1" t="s">
        <v>24</v>
      </c>
      <c r="C89" s="1">
        <v>0.0</v>
      </c>
      <c r="D89" s="1" t="s">
        <v>25</v>
      </c>
      <c r="E89" s="1" t="s">
        <v>25</v>
      </c>
      <c r="F89" s="1">
        <v>48.0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1">
        <v>20.65</v>
      </c>
      <c r="T89" s="1">
        <v>1057.0</v>
      </c>
      <c r="U89" s="1">
        <v>0.0</v>
      </c>
      <c r="V89" s="1">
        <v>0.0</v>
      </c>
      <c r="W89" s="1" t="s">
        <v>26</v>
      </c>
    </row>
    <row r="90" ht="15.75" customHeight="1">
      <c r="A90" s="1" t="s">
        <v>126</v>
      </c>
      <c r="B90" s="1" t="s">
        <v>24</v>
      </c>
      <c r="C90" s="1">
        <v>0.0</v>
      </c>
      <c r="D90" s="1" t="s">
        <v>25</v>
      </c>
      <c r="E90" s="1" t="s">
        <v>25</v>
      </c>
      <c r="F90" s="1">
        <v>46.0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1">
        <v>19.95</v>
      </c>
      <c r="T90" s="1">
        <v>927.1</v>
      </c>
      <c r="U90" s="1">
        <v>0.0</v>
      </c>
      <c r="V90" s="1">
        <v>0.0</v>
      </c>
      <c r="W90" s="1" t="s">
        <v>26</v>
      </c>
    </row>
    <row r="91" ht="15.75" customHeight="1">
      <c r="A91" s="1" t="s">
        <v>127</v>
      </c>
      <c r="B91" s="1" t="s">
        <v>32</v>
      </c>
      <c r="C91" s="1">
        <v>0.0</v>
      </c>
      <c r="D91" s="1" t="s">
        <v>25</v>
      </c>
      <c r="E91" s="1" t="s">
        <v>26</v>
      </c>
      <c r="F91" s="1">
        <v>29.0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1">
        <v>33.75</v>
      </c>
      <c r="T91" s="1">
        <v>1009.25</v>
      </c>
      <c r="U91" s="1">
        <v>0.0</v>
      </c>
      <c r="V91" s="1">
        <v>0.0</v>
      </c>
      <c r="W91" s="1" t="s">
        <v>26</v>
      </c>
    </row>
    <row r="92" ht="15.75" customHeight="1">
      <c r="A92" s="1" t="s">
        <v>128</v>
      </c>
      <c r="B92" s="1" t="s">
        <v>32</v>
      </c>
      <c r="C92" s="1">
        <v>0.0</v>
      </c>
      <c r="D92" s="1" t="s">
        <v>25</v>
      </c>
      <c r="E92" s="1" t="s">
        <v>25</v>
      </c>
      <c r="F92" s="1">
        <v>30.0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1">
        <v>82.05</v>
      </c>
      <c r="T92" s="1">
        <v>2570.2</v>
      </c>
      <c r="U92" s="1">
        <v>0.0</v>
      </c>
      <c r="V92" s="1">
        <v>0.0</v>
      </c>
      <c r="W92" s="1" t="s">
        <v>26</v>
      </c>
    </row>
    <row r="93" ht="15.75" customHeight="1">
      <c r="A93" s="1" t="s">
        <v>129</v>
      </c>
      <c r="B93" s="1" t="s">
        <v>32</v>
      </c>
      <c r="C93" s="1">
        <v>1.0</v>
      </c>
      <c r="D93" s="1" t="s">
        <v>26</v>
      </c>
      <c r="E93" s="1" t="s">
        <v>26</v>
      </c>
      <c r="F93" s="1">
        <v>1.0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1">
        <v>74.7</v>
      </c>
      <c r="T93" s="1">
        <v>74.7</v>
      </c>
      <c r="U93" s="1">
        <v>0.0</v>
      </c>
      <c r="V93" s="1">
        <v>0.0</v>
      </c>
      <c r="W93" s="1" t="s">
        <v>26</v>
      </c>
    </row>
    <row r="94" ht="15.75" customHeight="1">
      <c r="A94" s="1" t="s">
        <v>130</v>
      </c>
      <c r="B94" s="1" t="s">
        <v>32</v>
      </c>
      <c r="C94" s="1">
        <v>0.0</v>
      </c>
      <c r="D94" s="1" t="s">
        <v>25</v>
      </c>
      <c r="E94" s="1" t="s">
        <v>25</v>
      </c>
      <c r="F94" s="1">
        <v>66.0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1">
        <v>84.0</v>
      </c>
      <c r="T94" s="1">
        <v>5714.25</v>
      </c>
      <c r="U94" s="1">
        <v>0.0</v>
      </c>
      <c r="V94" s="1">
        <v>0.0</v>
      </c>
      <c r="W94" s="1" t="s">
        <v>26</v>
      </c>
    </row>
    <row r="95" ht="15.75" customHeight="1">
      <c r="A95" s="1" t="s">
        <v>131</v>
      </c>
      <c r="B95" s="1" t="s">
        <v>24</v>
      </c>
      <c r="C95" s="1">
        <v>0.0</v>
      </c>
      <c r="D95" s="1" t="s">
        <v>26</v>
      </c>
      <c r="E95" s="1" t="s">
        <v>26</v>
      </c>
      <c r="F95" s="1">
        <v>65.0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1">
        <v>111.05</v>
      </c>
      <c r="T95" s="1">
        <v>7107.0</v>
      </c>
      <c r="U95" s="1">
        <v>0.0</v>
      </c>
      <c r="V95" s="1">
        <v>0.0</v>
      </c>
      <c r="W95" s="1" t="s">
        <v>26</v>
      </c>
    </row>
    <row r="96" ht="15.75" customHeight="1">
      <c r="A96" s="1" t="s">
        <v>132</v>
      </c>
      <c r="B96" s="1" t="s">
        <v>32</v>
      </c>
      <c r="C96" s="1">
        <v>0.0</v>
      </c>
      <c r="D96" s="1" t="s">
        <v>26</v>
      </c>
      <c r="E96" s="1" t="s">
        <v>26</v>
      </c>
      <c r="F96" s="1">
        <v>72.0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1">
        <v>100.9</v>
      </c>
      <c r="T96" s="1">
        <v>7459.05</v>
      </c>
      <c r="U96" s="1">
        <v>0.0</v>
      </c>
      <c r="V96" s="1">
        <v>0.0</v>
      </c>
      <c r="W96" s="1" t="s">
        <v>26</v>
      </c>
    </row>
    <row r="97" ht="15.75" customHeight="1">
      <c r="A97" s="1" t="s">
        <v>133</v>
      </c>
      <c r="B97" s="1" t="s">
        <v>24</v>
      </c>
      <c r="C97" s="1">
        <v>0.0</v>
      </c>
      <c r="D97" s="1" t="s">
        <v>26</v>
      </c>
      <c r="E97" s="1" t="s">
        <v>26</v>
      </c>
      <c r="F97" s="1">
        <v>12.0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1">
        <v>78.95</v>
      </c>
      <c r="T97" s="1">
        <v>927.35</v>
      </c>
      <c r="U97" s="1">
        <v>0.0</v>
      </c>
      <c r="V97" s="1">
        <v>0.0</v>
      </c>
      <c r="W97" s="1" t="s">
        <v>25</v>
      </c>
    </row>
    <row r="98" ht="15.75" customHeight="1">
      <c r="A98" s="1" t="s">
        <v>134</v>
      </c>
      <c r="B98" s="1" t="s">
        <v>32</v>
      </c>
      <c r="C98" s="1">
        <v>0.0</v>
      </c>
      <c r="D98" s="1" t="s">
        <v>25</v>
      </c>
      <c r="E98" s="1" t="s">
        <v>25</v>
      </c>
      <c r="F98" s="1">
        <v>71.0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1">
        <v>66.85</v>
      </c>
      <c r="T98" s="1">
        <v>4748.7</v>
      </c>
      <c r="U98" s="1">
        <v>0.0</v>
      </c>
      <c r="V98" s="1">
        <v>0.0</v>
      </c>
      <c r="W98" s="1" t="s">
        <v>26</v>
      </c>
    </row>
    <row r="99" ht="15.75" customHeight="1">
      <c r="A99" s="1" t="s">
        <v>135</v>
      </c>
      <c r="B99" s="1" t="s">
        <v>32</v>
      </c>
      <c r="C99" s="1">
        <v>0.0</v>
      </c>
      <c r="D99" s="1" t="s">
        <v>26</v>
      </c>
      <c r="E99" s="1" t="s">
        <v>26</v>
      </c>
      <c r="F99" s="1">
        <v>5.0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1">
        <v>21.05</v>
      </c>
      <c r="T99" s="1">
        <v>113.85</v>
      </c>
      <c r="U99" s="1">
        <v>5.0</v>
      </c>
      <c r="V99" s="1">
        <v>0.0</v>
      </c>
      <c r="W99" s="1" t="s">
        <v>25</v>
      </c>
    </row>
    <row r="100" ht="15.75" customHeight="1">
      <c r="A100" s="1" t="s">
        <v>136</v>
      </c>
      <c r="B100" s="1" t="s">
        <v>32</v>
      </c>
      <c r="C100" s="1">
        <v>0.0</v>
      </c>
      <c r="D100" s="1" t="s">
        <v>26</v>
      </c>
      <c r="E100" s="1" t="s">
        <v>26</v>
      </c>
      <c r="F100" s="1">
        <v>52.0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1">
        <v>21.0</v>
      </c>
      <c r="T100" s="1">
        <v>1107.2</v>
      </c>
      <c r="U100" s="1">
        <v>0.0</v>
      </c>
      <c r="V100" s="1">
        <v>0.0</v>
      </c>
      <c r="W100" s="1" t="s">
        <v>26</v>
      </c>
    </row>
    <row r="101" ht="15.75" customHeight="1">
      <c r="A101" s="1" t="s">
        <v>137</v>
      </c>
      <c r="B101" s="1" t="s">
        <v>24</v>
      </c>
      <c r="C101" s="1">
        <v>1.0</v>
      </c>
      <c r="D101" s="1" t="s">
        <v>25</v>
      </c>
      <c r="E101" s="1" t="s">
        <v>26</v>
      </c>
      <c r="F101" s="1">
        <v>25.0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1">
        <v>98.5</v>
      </c>
      <c r="T101" s="1">
        <v>2514.5</v>
      </c>
      <c r="U101" s="1">
        <v>0.0</v>
      </c>
      <c r="V101" s="1">
        <v>1.0</v>
      </c>
      <c r="W101" s="1" t="s">
        <v>25</v>
      </c>
    </row>
    <row r="102" ht="15.75" customHeight="1">
      <c r="A102" s="1" t="s">
        <v>138</v>
      </c>
      <c r="B102" s="1" t="s">
        <v>32</v>
      </c>
      <c r="C102" s="1">
        <v>0.0</v>
      </c>
      <c r="D102" s="1" t="s">
        <v>26</v>
      </c>
      <c r="E102" s="1" t="s">
        <v>26</v>
      </c>
      <c r="F102" s="1">
        <v>1.0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1">
        <v>20.2</v>
      </c>
      <c r="T102" s="1">
        <v>20.2</v>
      </c>
      <c r="U102" s="1">
        <v>0.0</v>
      </c>
      <c r="V102" s="1">
        <v>0.0</v>
      </c>
      <c r="W102" s="1" t="s">
        <v>26</v>
      </c>
    </row>
    <row r="103" ht="15.75" customHeight="1">
      <c r="A103" s="1" t="s">
        <v>139</v>
      </c>
      <c r="B103" s="1" t="s">
        <v>24</v>
      </c>
      <c r="C103" s="1">
        <v>0.0</v>
      </c>
      <c r="D103" s="1" t="s">
        <v>25</v>
      </c>
      <c r="E103" s="1" t="s">
        <v>25</v>
      </c>
      <c r="F103" s="1">
        <v>1.0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1">
        <v>19.45</v>
      </c>
      <c r="T103" s="1">
        <v>19.45</v>
      </c>
      <c r="U103" s="1">
        <v>0.0</v>
      </c>
      <c r="V103" s="1">
        <v>0.0</v>
      </c>
      <c r="W103" s="1" t="s">
        <v>26</v>
      </c>
    </row>
    <row r="104" ht="15.75" customHeight="1">
      <c r="A104" s="1" t="s">
        <v>140</v>
      </c>
      <c r="B104" s="1" t="s">
        <v>32</v>
      </c>
      <c r="C104" s="1">
        <v>0.0</v>
      </c>
      <c r="D104" s="1" t="s">
        <v>26</v>
      </c>
      <c r="E104" s="1" t="s">
        <v>26</v>
      </c>
      <c r="F104" s="1">
        <v>38.0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1">
        <v>95.0</v>
      </c>
      <c r="T104" s="1">
        <v>3605.6</v>
      </c>
      <c r="U104" s="1">
        <v>0.0</v>
      </c>
      <c r="V104" s="1">
        <v>0.0</v>
      </c>
      <c r="W104" s="1" t="s">
        <v>26</v>
      </c>
    </row>
    <row r="105" ht="15.75" customHeight="1">
      <c r="A105" s="1" t="s">
        <v>141</v>
      </c>
      <c r="B105" s="1" t="s">
        <v>24</v>
      </c>
      <c r="C105" s="1">
        <v>1.0</v>
      </c>
      <c r="D105" s="1" t="s">
        <v>25</v>
      </c>
      <c r="E105" s="1" t="s">
        <v>26</v>
      </c>
      <c r="F105" s="1">
        <v>66.0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1">
        <v>45.55</v>
      </c>
      <c r="T105" s="1">
        <v>3027.25</v>
      </c>
      <c r="U105" s="1">
        <v>0.0</v>
      </c>
      <c r="V105" s="1">
        <v>0.0</v>
      </c>
      <c r="W105" s="1" t="s">
        <v>26</v>
      </c>
    </row>
    <row r="106" ht="15.75" customHeight="1">
      <c r="A106" s="1" t="s">
        <v>142</v>
      </c>
      <c r="B106" s="1" t="s">
        <v>32</v>
      </c>
      <c r="C106" s="1">
        <v>0.0</v>
      </c>
      <c r="D106" s="1" t="s">
        <v>25</v>
      </c>
      <c r="E106" s="1" t="s">
        <v>26</v>
      </c>
      <c r="F106" s="1">
        <v>68.0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1">
        <v>110.0</v>
      </c>
      <c r="T106" s="1">
        <v>7611.85</v>
      </c>
      <c r="U106" s="1">
        <v>0.0</v>
      </c>
      <c r="V106" s="1">
        <v>6.0</v>
      </c>
      <c r="W106" s="1" t="s">
        <v>25</v>
      </c>
    </row>
    <row r="107" ht="15.75" customHeight="1">
      <c r="A107" s="1" t="s">
        <v>143</v>
      </c>
      <c r="B107" s="1" t="s">
        <v>32</v>
      </c>
      <c r="C107" s="1">
        <v>0.0</v>
      </c>
      <c r="D107" s="1" t="s">
        <v>26</v>
      </c>
      <c r="E107" s="1" t="s">
        <v>26</v>
      </c>
      <c r="F107" s="1">
        <v>5.0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1">
        <v>24.3</v>
      </c>
      <c r="T107" s="1">
        <v>100.2</v>
      </c>
      <c r="U107" s="1">
        <v>0.0</v>
      </c>
      <c r="V107" s="1">
        <v>0.0</v>
      </c>
      <c r="W107" s="1" t="s">
        <v>26</v>
      </c>
    </row>
    <row r="108" ht="15.75" customHeight="1">
      <c r="A108" s="1" t="s">
        <v>144</v>
      </c>
      <c r="B108" s="1" t="s">
        <v>24</v>
      </c>
      <c r="C108" s="1">
        <v>0.0</v>
      </c>
      <c r="D108" s="1" t="s">
        <v>25</v>
      </c>
      <c r="E108" s="1" t="s">
        <v>25</v>
      </c>
      <c r="F108" s="1">
        <v>72.0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1">
        <v>104.15</v>
      </c>
      <c r="T108" s="1">
        <v>7303.05</v>
      </c>
      <c r="U108" s="1">
        <v>0.0</v>
      </c>
      <c r="V108" s="1">
        <v>0.0</v>
      </c>
      <c r="W108" s="1" t="s">
        <v>26</v>
      </c>
    </row>
    <row r="109" ht="15.75" customHeight="1">
      <c r="A109" s="1" t="s">
        <v>145</v>
      </c>
      <c r="B109" s="1" t="s">
        <v>24</v>
      </c>
      <c r="C109" s="1">
        <v>0.0</v>
      </c>
      <c r="D109" s="1" t="s">
        <v>26</v>
      </c>
      <c r="E109" s="1" t="s">
        <v>26</v>
      </c>
      <c r="F109" s="1">
        <v>32.0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1">
        <v>30.15</v>
      </c>
      <c r="T109" s="1">
        <v>927.65</v>
      </c>
      <c r="U109" s="1">
        <v>0.0</v>
      </c>
      <c r="V109" s="1">
        <v>0.0</v>
      </c>
      <c r="W109" s="1" t="s">
        <v>26</v>
      </c>
    </row>
    <row r="110" ht="15.75" customHeight="1">
      <c r="A110" s="1" t="s">
        <v>146</v>
      </c>
      <c r="B110" s="1" t="s">
        <v>32</v>
      </c>
      <c r="C110" s="1">
        <v>0.0</v>
      </c>
      <c r="D110" s="1" t="s">
        <v>26</v>
      </c>
      <c r="E110" s="1" t="s">
        <v>26</v>
      </c>
      <c r="F110" s="1">
        <v>43.0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1">
        <v>94.35</v>
      </c>
      <c r="T110" s="1">
        <v>3921.3</v>
      </c>
      <c r="U110" s="1">
        <v>0.0</v>
      </c>
      <c r="V110" s="1">
        <v>0.0</v>
      </c>
      <c r="W110" s="1" t="s">
        <v>26</v>
      </c>
    </row>
    <row r="111" ht="15.75" customHeight="1">
      <c r="A111" s="1" t="s">
        <v>147</v>
      </c>
      <c r="B111" s="1" t="s">
        <v>32</v>
      </c>
      <c r="C111" s="1">
        <v>0.0</v>
      </c>
      <c r="D111" s="1" t="s">
        <v>25</v>
      </c>
      <c r="E111" s="1" t="s">
        <v>25</v>
      </c>
      <c r="F111" s="1">
        <v>72.0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1">
        <v>19.4</v>
      </c>
      <c r="T111" s="1">
        <v>1363.25</v>
      </c>
      <c r="U111" s="1">
        <v>0.0</v>
      </c>
      <c r="V111" s="1">
        <v>0.0</v>
      </c>
      <c r="W111" s="1" t="s">
        <v>26</v>
      </c>
    </row>
    <row r="112" ht="15.75" customHeight="1">
      <c r="A112" s="1" t="s">
        <v>148</v>
      </c>
      <c r="B112" s="1" t="s">
        <v>32</v>
      </c>
      <c r="C112" s="1">
        <v>0.0</v>
      </c>
      <c r="D112" s="1" t="s">
        <v>25</v>
      </c>
      <c r="E112" s="1" t="s">
        <v>26</v>
      </c>
      <c r="F112" s="1">
        <v>55.0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1">
        <v>96.75</v>
      </c>
      <c r="T112" s="1">
        <v>5238.9</v>
      </c>
      <c r="U112" s="1">
        <v>0.0</v>
      </c>
      <c r="V112" s="1">
        <v>5.0</v>
      </c>
      <c r="W112" s="1" t="s">
        <v>25</v>
      </c>
    </row>
    <row r="113" ht="15.75" customHeight="1">
      <c r="A113" s="1" t="s">
        <v>149</v>
      </c>
      <c r="B113" s="1" t="s">
        <v>24</v>
      </c>
      <c r="C113" s="1">
        <v>0.0</v>
      </c>
      <c r="D113" s="1" t="s">
        <v>26</v>
      </c>
      <c r="E113" s="1" t="s">
        <v>26</v>
      </c>
      <c r="F113" s="1">
        <v>52.0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1">
        <v>57.95</v>
      </c>
      <c r="T113" s="1">
        <v>3042.25</v>
      </c>
      <c r="U113" s="1">
        <v>5.0</v>
      </c>
      <c r="V113" s="1">
        <v>0.0</v>
      </c>
      <c r="W113" s="1" t="s">
        <v>26</v>
      </c>
    </row>
    <row r="114" ht="15.75" customHeight="1">
      <c r="A114" s="1" t="s">
        <v>150</v>
      </c>
      <c r="B114" s="1" t="s">
        <v>24</v>
      </c>
      <c r="C114" s="1">
        <v>0.0</v>
      </c>
      <c r="D114" s="1" t="s">
        <v>26</v>
      </c>
      <c r="E114" s="1" t="s">
        <v>26</v>
      </c>
      <c r="F114" s="1">
        <v>43.0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1">
        <v>91.65</v>
      </c>
      <c r="T114" s="1">
        <v>3954.1</v>
      </c>
      <c r="U114" s="1">
        <v>0.0</v>
      </c>
      <c r="V114" s="1">
        <v>0.0</v>
      </c>
      <c r="W114" s="1" t="s">
        <v>26</v>
      </c>
    </row>
    <row r="115" ht="15.75" customHeight="1">
      <c r="A115" s="1" t="s">
        <v>151</v>
      </c>
      <c r="B115" s="1" t="s">
        <v>24</v>
      </c>
      <c r="C115" s="1">
        <v>1.0</v>
      </c>
      <c r="D115" s="1" t="s">
        <v>25</v>
      </c>
      <c r="E115" s="1" t="s">
        <v>26</v>
      </c>
      <c r="F115" s="1">
        <v>37.0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1">
        <v>76.5</v>
      </c>
      <c r="T115" s="1">
        <v>2868.15</v>
      </c>
      <c r="U115" s="1">
        <v>0.0</v>
      </c>
      <c r="V115" s="1">
        <v>0.0</v>
      </c>
      <c r="W115" s="1" t="s">
        <v>25</v>
      </c>
    </row>
    <row r="116" ht="15.75" customHeight="1">
      <c r="A116" s="1" t="s">
        <v>152</v>
      </c>
      <c r="B116" s="1" t="s">
        <v>24</v>
      </c>
      <c r="C116" s="1">
        <v>0.0</v>
      </c>
      <c r="D116" s="1" t="s">
        <v>25</v>
      </c>
      <c r="E116" s="1" t="s">
        <v>25</v>
      </c>
      <c r="F116" s="1">
        <v>64.0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1">
        <v>54.6</v>
      </c>
      <c r="T116" s="1">
        <v>3423.5</v>
      </c>
      <c r="U116" s="1">
        <v>0.0</v>
      </c>
      <c r="V116" s="1">
        <v>0.0</v>
      </c>
      <c r="W116" s="1" t="s">
        <v>26</v>
      </c>
    </row>
    <row r="117" ht="15.75" customHeight="1">
      <c r="A117" s="1" t="s">
        <v>153</v>
      </c>
      <c r="B117" s="1" t="s">
        <v>32</v>
      </c>
      <c r="C117" s="1">
        <v>0.0</v>
      </c>
      <c r="D117" s="1" t="s">
        <v>25</v>
      </c>
      <c r="E117" s="1" t="s">
        <v>25</v>
      </c>
      <c r="F117" s="1">
        <v>3.0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1">
        <v>89.85</v>
      </c>
      <c r="T117" s="1">
        <v>248.4</v>
      </c>
      <c r="U117" s="1">
        <v>0.0</v>
      </c>
      <c r="V117" s="1">
        <v>0.0</v>
      </c>
      <c r="W117" s="1" t="s">
        <v>26</v>
      </c>
    </row>
    <row r="118" ht="15.75" customHeight="1">
      <c r="A118" s="1" t="s">
        <v>154</v>
      </c>
      <c r="B118" s="1" t="s">
        <v>24</v>
      </c>
      <c r="C118" s="1">
        <v>0.0</v>
      </c>
      <c r="D118" s="1" t="s">
        <v>26</v>
      </c>
      <c r="E118" s="1" t="s">
        <v>26</v>
      </c>
      <c r="F118" s="1">
        <v>36.0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1">
        <v>31.05</v>
      </c>
      <c r="T118" s="1">
        <v>1126.35</v>
      </c>
      <c r="U118" s="1">
        <v>0.0</v>
      </c>
      <c r="V118" s="1">
        <v>0.0</v>
      </c>
      <c r="W118" s="1" t="s">
        <v>26</v>
      </c>
    </row>
    <row r="119" ht="15.75" customHeight="1">
      <c r="A119" s="1" t="s">
        <v>155</v>
      </c>
      <c r="B119" s="1" t="s">
        <v>24</v>
      </c>
      <c r="C119" s="1">
        <v>0.0</v>
      </c>
      <c r="D119" s="1" t="s">
        <v>25</v>
      </c>
      <c r="E119" s="1" t="s">
        <v>25</v>
      </c>
      <c r="F119" s="1">
        <v>10.0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1">
        <v>100.25</v>
      </c>
      <c r="T119" s="1">
        <v>1064.65</v>
      </c>
      <c r="U119" s="1">
        <v>0.0</v>
      </c>
      <c r="V119" s="1">
        <v>1.0</v>
      </c>
      <c r="W119" s="1" t="s">
        <v>25</v>
      </c>
    </row>
    <row r="120" ht="15.75" customHeight="1">
      <c r="A120" s="1" t="s">
        <v>156</v>
      </c>
      <c r="B120" s="1" t="s">
        <v>24</v>
      </c>
      <c r="C120" s="1">
        <v>0.0</v>
      </c>
      <c r="D120" s="1" t="s">
        <v>26</v>
      </c>
      <c r="E120" s="1" t="s">
        <v>26</v>
      </c>
      <c r="F120" s="1">
        <v>41.0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1">
        <v>20.65</v>
      </c>
      <c r="T120" s="1">
        <v>835.15</v>
      </c>
      <c r="U120" s="1">
        <v>0.0</v>
      </c>
      <c r="V120" s="1">
        <v>0.0</v>
      </c>
      <c r="W120" s="1" t="s">
        <v>26</v>
      </c>
    </row>
    <row r="121" ht="15.75" customHeight="1">
      <c r="A121" s="1" t="s">
        <v>157</v>
      </c>
      <c r="B121" s="1" t="s">
        <v>32</v>
      </c>
      <c r="C121" s="1">
        <v>0.0</v>
      </c>
      <c r="D121" s="1" t="s">
        <v>25</v>
      </c>
      <c r="E121" s="1" t="s">
        <v>25</v>
      </c>
      <c r="F121" s="1">
        <v>27.0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1">
        <v>85.2</v>
      </c>
      <c r="T121" s="1">
        <v>2151.6</v>
      </c>
      <c r="U121" s="1">
        <v>0.0</v>
      </c>
      <c r="V121" s="1">
        <v>2.0</v>
      </c>
      <c r="W121" s="1" t="s">
        <v>26</v>
      </c>
    </row>
    <row r="122" ht="15.75" customHeight="1">
      <c r="A122" s="1" t="s">
        <v>158</v>
      </c>
      <c r="B122" s="1" t="s">
        <v>24</v>
      </c>
      <c r="C122" s="1">
        <v>0.0</v>
      </c>
      <c r="D122" s="1" t="s">
        <v>25</v>
      </c>
      <c r="E122" s="1" t="s">
        <v>25</v>
      </c>
      <c r="F122" s="1">
        <v>56.0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1">
        <v>99.8</v>
      </c>
      <c r="T122" s="1">
        <v>5515.45</v>
      </c>
      <c r="U122" s="1">
        <v>0.0</v>
      </c>
      <c r="V122" s="1">
        <v>0.0</v>
      </c>
      <c r="W122" s="1" t="s">
        <v>26</v>
      </c>
    </row>
    <row r="123" ht="15.75" customHeight="1">
      <c r="A123" s="1" t="s">
        <v>159</v>
      </c>
      <c r="B123" s="1" t="s">
        <v>24</v>
      </c>
      <c r="C123" s="1">
        <v>0.0</v>
      </c>
      <c r="D123" s="1" t="s">
        <v>26</v>
      </c>
      <c r="E123" s="1" t="s">
        <v>26</v>
      </c>
      <c r="F123" s="1">
        <v>6.0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1">
        <v>20.7</v>
      </c>
      <c r="T123" s="1">
        <v>112.75</v>
      </c>
      <c r="U123" s="1">
        <v>0.0</v>
      </c>
      <c r="V123" s="1">
        <v>0.0</v>
      </c>
      <c r="W123" s="1" t="s">
        <v>26</v>
      </c>
    </row>
    <row r="124" ht="15.75" customHeight="1">
      <c r="A124" s="1" t="s">
        <v>160</v>
      </c>
      <c r="B124" s="1" t="s">
        <v>32</v>
      </c>
      <c r="C124" s="1">
        <v>0.0</v>
      </c>
      <c r="D124" s="1" t="s">
        <v>26</v>
      </c>
      <c r="E124" s="1" t="s">
        <v>26</v>
      </c>
      <c r="F124" s="1">
        <v>3.0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1">
        <v>74.4</v>
      </c>
      <c r="T124" s="1">
        <v>229.55</v>
      </c>
      <c r="U124" s="1">
        <v>0.0</v>
      </c>
      <c r="V124" s="1">
        <v>0.0</v>
      </c>
      <c r="W124" s="1" t="s">
        <v>25</v>
      </c>
    </row>
    <row r="125" ht="15.75" customHeight="1">
      <c r="A125" s="1" t="s">
        <v>161</v>
      </c>
      <c r="B125" s="1" t="s">
        <v>24</v>
      </c>
      <c r="C125" s="1">
        <v>0.0</v>
      </c>
      <c r="D125" s="1" t="s">
        <v>25</v>
      </c>
      <c r="E125" s="1" t="s">
        <v>25</v>
      </c>
      <c r="F125" s="1">
        <v>7.0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1">
        <v>50.7</v>
      </c>
      <c r="T125" s="1">
        <v>350.35</v>
      </c>
      <c r="U125" s="1">
        <v>0.0</v>
      </c>
      <c r="V125" s="1">
        <v>0.0</v>
      </c>
      <c r="W125" s="1" t="s">
        <v>26</v>
      </c>
    </row>
    <row r="126" ht="15.75" customHeight="1">
      <c r="A126" s="1" t="s">
        <v>162</v>
      </c>
      <c r="B126" s="1" t="s">
        <v>24</v>
      </c>
      <c r="C126" s="1">
        <v>0.0</v>
      </c>
      <c r="D126" s="1" t="s">
        <v>25</v>
      </c>
      <c r="E126" s="1" t="s">
        <v>25</v>
      </c>
      <c r="F126" s="1">
        <v>4.0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1">
        <v>20.85</v>
      </c>
      <c r="T126" s="1">
        <v>62.9</v>
      </c>
      <c r="U126" s="1">
        <v>0.0</v>
      </c>
      <c r="V126" s="1">
        <v>0.0</v>
      </c>
      <c r="W126" s="1" t="s">
        <v>26</v>
      </c>
    </row>
    <row r="127" ht="15.75" customHeight="1">
      <c r="A127" s="1" t="s">
        <v>163</v>
      </c>
      <c r="B127" s="1" t="s">
        <v>32</v>
      </c>
      <c r="C127" s="1">
        <v>0.0</v>
      </c>
      <c r="D127" s="1" t="s">
        <v>26</v>
      </c>
      <c r="E127" s="1" t="s">
        <v>26</v>
      </c>
      <c r="F127" s="1">
        <v>33.0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1">
        <v>88.95</v>
      </c>
      <c r="T127" s="1">
        <v>3027.65</v>
      </c>
      <c r="U127" s="1">
        <v>0.0</v>
      </c>
      <c r="V127" s="1">
        <v>0.0</v>
      </c>
      <c r="W127" s="1" t="s">
        <v>26</v>
      </c>
    </row>
    <row r="128" ht="15.75" customHeight="1">
      <c r="A128" s="1" t="s">
        <v>164</v>
      </c>
      <c r="B128" s="1" t="s">
        <v>24</v>
      </c>
      <c r="C128" s="1">
        <v>1.0</v>
      </c>
      <c r="D128" s="1" t="s">
        <v>26</v>
      </c>
      <c r="E128" s="1" t="s">
        <v>26</v>
      </c>
      <c r="F128" s="1">
        <v>27.0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1">
        <v>78.05</v>
      </c>
      <c r="T128" s="1">
        <v>2135.5</v>
      </c>
      <c r="U128" s="1">
        <v>0.0</v>
      </c>
      <c r="V128" s="1">
        <v>0.0</v>
      </c>
      <c r="W128" s="1" t="s">
        <v>25</v>
      </c>
    </row>
    <row r="129" ht="15.75" customHeight="1">
      <c r="A129" s="1" t="s">
        <v>165</v>
      </c>
      <c r="B129" s="1" t="s">
        <v>32</v>
      </c>
      <c r="C129" s="1">
        <v>0.0</v>
      </c>
      <c r="D129" s="1" t="s">
        <v>25</v>
      </c>
      <c r="E129" s="1" t="s">
        <v>26</v>
      </c>
      <c r="F129" s="1">
        <v>72.0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1">
        <v>23.55</v>
      </c>
      <c r="T129" s="1">
        <v>1723.95</v>
      </c>
      <c r="U129" s="1">
        <v>0.0</v>
      </c>
      <c r="V129" s="1">
        <v>0.0</v>
      </c>
      <c r="W129" s="1" t="s">
        <v>26</v>
      </c>
    </row>
    <row r="130" ht="15.75" customHeight="1">
      <c r="A130" s="1" t="s">
        <v>166</v>
      </c>
      <c r="B130" s="1" t="s">
        <v>32</v>
      </c>
      <c r="C130" s="1">
        <v>0.0</v>
      </c>
      <c r="D130" s="1" t="s">
        <v>26</v>
      </c>
      <c r="E130" s="1" t="s">
        <v>26</v>
      </c>
      <c r="F130" s="1">
        <v>1.0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1">
        <v>19.75</v>
      </c>
      <c r="T130" s="1">
        <v>19.75</v>
      </c>
      <c r="U130" s="1">
        <v>0.0</v>
      </c>
      <c r="V130" s="1">
        <v>0.0</v>
      </c>
      <c r="W130" s="1" t="s">
        <v>26</v>
      </c>
    </row>
    <row r="131" ht="15.75" customHeight="1">
      <c r="A131" s="1" t="s">
        <v>167</v>
      </c>
      <c r="B131" s="1" t="s">
        <v>32</v>
      </c>
      <c r="C131" s="1">
        <v>1.0</v>
      </c>
      <c r="D131" s="1" t="s">
        <v>26</v>
      </c>
      <c r="E131" s="1" t="s">
        <v>26</v>
      </c>
      <c r="F131" s="1">
        <v>71.0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1">
        <v>56.45</v>
      </c>
      <c r="T131" s="1">
        <v>3985.35</v>
      </c>
      <c r="U131" s="1">
        <v>0.0</v>
      </c>
      <c r="V131" s="1">
        <v>0.0</v>
      </c>
      <c r="W131" s="1" t="s">
        <v>26</v>
      </c>
    </row>
    <row r="132" ht="15.75" customHeight="1">
      <c r="A132" s="1" t="s">
        <v>168</v>
      </c>
      <c r="B132" s="1" t="s">
        <v>24</v>
      </c>
      <c r="C132" s="1">
        <v>0.0</v>
      </c>
      <c r="D132" s="1" t="s">
        <v>26</v>
      </c>
      <c r="E132" s="1" t="s">
        <v>26</v>
      </c>
      <c r="F132" s="1">
        <v>13.0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1">
        <v>85.95</v>
      </c>
      <c r="T132" s="1">
        <v>1215.65</v>
      </c>
      <c r="U132" s="1">
        <v>0.0</v>
      </c>
      <c r="V132" s="1">
        <v>0.0</v>
      </c>
      <c r="W132" s="1" t="s">
        <v>26</v>
      </c>
    </row>
    <row r="133" ht="15.75" customHeight="1">
      <c r="A133" s="1" t="s">
        <v>169</v>
      </c>
      <c r="B133" s="1" t="s">
        <v>24</v>
      </c>
      <c r="C133" s="1">
        <v>0.0</v>
      </c>
      <c r="D133" s="1" t="s">
        <v>25</v>
      </c>
      <c r="E133" s="1" t="s">
        <v>25</v>
      </c>
      <c r="F133" s="1">
        <v>25.0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1">
        <v>58.6</v>
      </c>
      <c r="T133" s="1">
        <v>1502.65</v>
      </c>
      <c r="U133" s="1">
        <v>0.0</v>
      </c>
      <c r="V133" s="1">
        <v>1.0</v>
      </c>
      <c r="W133" s="1" t="s">
        <v>25</v>
      </c>
    </row>
    <row r="134" ht="15.75" customHeight="1">
      <c r="A134" s="1" t="s">
        <v>170</v>
      </c>
      <c r="B134" s="1" t="s">
        <v>32</v>
      </c>
      <c r="C134" s="1">
        <v>0.0</v>
      </c>
      <c r="D134" s="1" t="s">
        <v>26</v>
      </c>
      <c r="E134" s="1" t="s">
        <v>26</v>
      </c>
      <c r="F134" s="1">
        <v>67.0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1">
        <v>50.55</v>
      </c>
      <c r="T134" s="1">
        <v>3260.1</v>
      </c>
      <c r="U134" s="1">
        <v>0.0</v>
      </c>
      <c r="V134" s="1">
        <v>0.0</v>
      </c>
      <c r="W134" s="1" t="s">
        <v>26</v>
      </c>
    </row>
    <row r="135" ht="15.75" customHeight="1">
      <c r="A135" s="1" t="s">
        <v>171</v>
      </c>
      <c r="B135" s="1" t="s">
        <v>32</v>
      </c>
      <c r="C135" s="1">
        <v>0.0</v>
      </c>
      <c r="D135" s="1" t="s">
        <v>26</v>
      </c>
      <c r="E135" s="1" t="s">
        <v>26</v>
      </c>
      <c r="F135" s="1">
        <v>1.0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1">
        <v>35.45</v>
      </c>
      <c r="T135" s="1">
        <v>35.45</v>
      </c>
      <c r="U135" s="1">
        <v>0.0</v>
      </c>
      <c r="V135" s="1">
        <v>0.0</v>
      </c>
      <c r="W135" s="1" t="s">
        <v>25</v>
      </c>
    </row>
    <row r="136" ht="15.75" customHeight="1">
      <c r="A136" s="1" t="s">
        <v>172</v>
      </c>
      <c r="B136" s="1" t="s">
        <v>32</v>
      </c>
      <c r="C136" s="1">
        <v>0.0</v>
      </c>
      <c r="D136" s="1" t="s">
        <v>26</v>
      </c>
      <c r="E136" s="1" t="s">
        <v>26</v>
      </c>
      <c r="F136" s="1">
        <v>2.0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1">
        <v>44.35</v>
      </c>
      <c r="T136" s="1">
        <v>81.25</v>
      </c>
      <c r="U136" s="1">
        <v>0.0</v>
      </c>
      <c r="V136" s="1">
        <v>0.0</v>
      </c>
      <c r="W136" s="1" t="s">
        <v>25</v>
      </c>
    </row>
    <row r="137" ht="15.75" customHeight="1">
      <c r="A137" s="1" t="s">
        <v>173</v>
      </c>
      <c r="B137" s="1" t="s">
        <v>24</v>
      </c>
      <c r="C137" s="1">
        <v>0.0</v>
      </c>
      <c r="D137" s="1" t="s">
        <v>26</v>
      </c>
      <c r="E137" s="1" t="s">
        <v>26</v>
      </c>
      <c r="F137" s="1">
        <v>43.0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1">
        <v>25.7</v>
      </c>
      <c r="T137" s="1">
        <v>1188.2</v>
      </c>
      <c r="U137" s="1">
        <v>0.0</v>
      </c>
      <c r="V137" s="1">
        <v>0.0</v>
      </c>
      <c r="W137" s="1" t="s">
        <v>26</v>
      </c>
    </row>
    <row r="138" ht="15.75" customHeight="1">
      <c r="A138" s="1" t="s">
        <v>174</v>
      </c>
      <c r="B138" s="1" t="s">
        <v>24</v>
      </c>
      <c r="C138" s="1">
        <v>0.0</v>
      </c>
      <c r="D138" s="1" t="s">
        <v>26</v>
      </c>
      <c r="E138" s="1" t="s">
        <v>26</v>
      </c>
      <c r="F138" s="1">
        <v>23.0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1">
        <v>75.0</v>
      </c>
      <c r="T138" s="1">
        <v>1778.5</v>
      </c>
      <c r="U138" s="1">
        <v>4.0</v>
      </c>
      <c r="V138" s="1">
        <v>0.0</v>
      </c>
      <c r="W138" s="1" t="s">
        <v>26</v>
      </c>
    </row>
    <row r="139" ht="15.75" customHeight="1">
      <c r="A139" s="1" t="s">
        <v>175</v>
      </c>
      <c r="B139" s="1" t="s">
        <v>24</v>
      </c>
      <c r="C139" s="1">
        <v>0.0</v>
      </c>
      <c r="D139" s="1" t="s">
        <v>25</v>
      </c>
      <c r="E139" s="1" t="s">
        <v>25</v>
      </c>
      <c r="F139" s="1">
        <v>64.0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1">
        <v>20.2</v>
      </c>
      <c r="T139" s="1">
        <v>1277.75</v>
      </c>
      <c r="U139" s="1">
        <v>0.0</v>
      </c>
      <c r="V139" s="1">
        <v>0.0</v>
      </c>
      <c r="W139" s="1" t="s">
        <v>26</v>
      </c>
    </row>
    <row r="140" ht="15.75" customHeight="1">
      <c r="A140" s="1" t="s">
        <v>176</v>
      </c>
      <c r="B140" s="1" t="s">
        <v>32</v>
      </c>
      <c r="C140" s="1">
        <v>0.0</v>
      </c>
      <c r="D140" s="1" t="s">
        <v>26</v>
      </c>
      <c r="E140" s="1" t="s">
        <v>25</v>
      </c>
      <c r="F140" s="1">
        <v>57.0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1">
        <v>19.6</v>
      </c>
      <c r="T140" s="1">
        <v>1170.55</v>
      </c>
      <c r="U140" s="1">
        <v>0.0</v>
      </c>
      <c r="V140" s="1">
        <v>0.0</v>
      </c>
      <c r="W140" s="1" t="s">
        <v>26</v>
      </c>
    </row>
    <row r="141" ht="15.75" customHeight="1">
      <c r="A141" s="1" t="s">
        <v>177</v>
      </c>
      <c r="B141" s="1" t="s">
        <v>24</v>
      </c>
      <c r="C141" s="1">
        <v>1.0</v>
      </c>
      <c r="D141" s="1" t="s">
        <v>25</v>
      </c>
      <c r="E141" s="1" t="s">
        <v>26</v>
      </c>
      <c r="F141" s="1">
        <v>1.0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1">
        <v>70.45</v>
      </c>
      <c r="T141" s="1">
        <v>70.45</v>
      </c>
      <c r="U141" s="1">
        <v>0.0</v>
      </c>
      <c r="V141" s="1">
        <v>0.0</v>
      </c>
      <c r="W141" s="1" t="s">
        <v>25</v>
      </c>
    </row>
    <row r="142" ht="15.75" customHeight="1">
      <c r="A142" s="1" t="s">
        <v>178</v>
      </c>
      <c r="B142" s="1" t="s">
        <v>24</v>
      </c>
      <c r="C142" s="1">
        <v>1.0</v>
      </c>
      <c r="D142" s="1" t="s">
        <v>25</v>
      </c>
      <c r="E142" s="1" t="s">
        <v>25</v>
      </c>
      <c r="F142" s="1">
        <v>72.0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1">
        <v>88.05</v>
      </c>
      <c r="T142" s="1">
        <v>6425.65</v>
      </c>
      <c r="U142" s="1">
        <v>0.0</v>
      </c>
      <c r="V142" s="1">
        <v>0.0</v>
      </c>
      <c r="W142" s="1" t="s">
        <v>26</v>
      </c>
    </row>
    <row r="143" ht="15.75" customHeight="1">
      <c r="A143" s="1" t="s">
        <v>179</v>
      </c>
      <c r="B143" s="1" t="s">
        <v>24</v>
      </c>
      <c r="C143" s="1">
        <v>0.0</v>
      </c>
      <c r="D143" s="1" t="s">
        <v>26</v>
      </c>
      <c r="E143" s="1" t="s">
        <v>26</v>
      </c>
      <c r="F143" s="1">
        <v>8.0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1">
        <v>71.15</v>
      </c>
      <c r="T143" s="1">
        <v>563.65</v>
      </c>
      <c r="U143" s="1">
        <v>0.0</v>
      </c>
      <c r="V143" s="1">
        <v>0.0</v>
      </c>
      <c r="W143" s="1" t="s">
        <v>25</v>
      </c>
    </row>
    <row r="144" ht="15.75" customHeight="1">
      <c r="A144" s="1" t="s">
        <v>180</v>
      </c>
      <c r="B144" s="1" t="s">
        <v>24</v>
      </c>
      <c r="C144" s="1">
        <v>0.0</v>
      </c>
      <c r="D144" s="1" t="s">
        <v>25</v>
      </c>
      <c r="E144" s="1" t="s">
        <v>26</v>
      </c>
      <c r="F144" s="1">
        <v>61.0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1">
        <v>101.05</v>
      </c>
      <c r="T144" s="1">
        <v>5971.25</v>
      </c>
      <c r="U144" s="1">
        <v>0.0</v>
      </c>
      <c r="V144" s="1">
        <v>0.0</v>
      </c>
      <c r="W144" s="1" t="s">
        <v>26</v>
      </c>
    </row>
    <row r="145" ht="15.75" customHeight="1">
      <c r="A145" s="1" t="s">
        <v>181</v>
      </c>
      <c r="B145" s="1" t="s">
        <v>32</v>
      </c>
      <c r="C145" s="1">
        <v>0.0</v>
      </c>
      <c r="D145" s="1" t="s">
        <v>26</v>
      </c>
      <c r="E145" s="1" t="s">
        <v>26</v>
      </c>
      <c r="F145" s="1">
        <v>64.0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1">
        <v>84.3</v>
      </c>
      <c r="T145" s="1">
        <v>5289.05</v>
      </c>
      <c r="U145" s="1">
        <v>0.0</v>
      </c>
      <c r="V145" s="1">
        <v>0.0</v>
      </c>
      <c r="W145" s="1" t="s">
        <v>26</v>
      </c>
    </row>
    <row r="146" ht="15.75" customHeight="1">
      <c r="A146" s="1" t="s">
        <v>182</v>
      </c>
      <c r="B146" s="1" t="s">
        <v>32</v>
      </c>
      <c r="C146" s="1">
        <v>1.0</v>
      </c>
      <c r="D146" s="1" t="s">
        <v>25</v>
      </c>
      <c r="E146" s="1" t="s">
        <v>26</v>
      </c>
      <c r="F146" s="1">
        <v>71.0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1">
        <v>23.95</v>
      </c>
      <c r="T146" s="1">
        <v>1756.2</v>
      </c>
      <c r="U146" s="1">
        <v>0.0</v>
      </c>
      <c r="V146" s="1">
        <v>0.0</v>
      </c>
      <c r="W146" s="1" t="s">
        <v>26</v>
      </c>
    </row>
    <row r="147" ht="15.75" customHeight="1">
      <c r="A147" s="1" t="s">
        <v>183</v>
      </c>
      <c r="B147" s="1" t="s">
        <v>24</v>
      </c>
      <c r="C147" s="1">
        <v>0.0</v>
      </c>
      <c r="D147" s="1" t="s">
        <v>25</v>
      </c>
      <c r="E147" s="1" t="s">
        <v>25</v>
      </c>
      <c r="F147" s="1">
        <v>65.0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1">
        <v>99.05</v>
      </c>
      <c r="T147" s="1">
        <v>6416.7</v>
      </c>
      <c r="U147" s="1">
        <v>0.0</v>
      </c>
      <c r="V147" s="1">
        <v>0.0</v>
      </c>
      <c r="W147" s="1" t="s">
        <v>26</v>
      </c>
    </row>
    <row r="148" ht="15.75" customHeight="1">
      <c r="A148" s="1" t="s">
        <v>184</v>
      </c>
      <c r="B148" s="1" t="s">
        <v>32</v>
      </c>
      <c r="C148" s="1">
        <v>0.0</v>
      </c>
      <c r="D148" s="1" t="s">
        <v>26</v>
      </c>
      <c r="E148" s="1" t="s">
        <v>26</v>
      </c>
      <c r="F148" s="1">
        <v>3.0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1">
        <v>19.6</v>
      </c>
      <c r="T148" s="1">
        <v>61.35</v>
      </c>
      <c r="U148" s="1">
        <v>0.0</v>
      </c>
      <c r="V148" s="1">
        <v>0.0</v>
      </c>
      <c r="W148" s="1" t="s">
        <v>26</v>
      </c>
    </row>
    <row r="149" ht="15.75" customHeight="1">
      <c r="A149" s="1" t="s">
        <v>185</v>
      </c>
      <c r="B149" s="1" t="s">
        <v>32</v>
      </c>
      <c r="C149" s="1">
        <v>0.0</v>
      </c>
      <c r="D149" s="1" t="s">
        <v>26</v>
      </c>
      <c r="E149" s="1" t="s">
        <v>26</v>
      </c>
      <c r="F149" s="1">
        <v>1.0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1">
        <v>45.65</v>
      </c>
      <c r="T149" s="1">
        <v>45.65</v>
      </c>
      <c r="U149" s="1">
        <v>0.0</v>
      </c>
      <c r="V149" s="1">
        <v>0.0</v>
      </c>
      <c r="W149" s="1" t="s">
        <v>25</v>
      </c>
    </row>
    <row r="150" ht="15.75" customHeight="1">
      <c r="A150" s="1" t="s">
        <v>186</v>
      </c>
      <c r="B150" s="1" t="s">
        <v>32</v>
      </c>
      <c r="C150" s="1">
        <v>0.0</v>
      </c>
      <c r="D150" s="1" t="s">
        <v>26</v>
      </c>
      <c r="E150" s="1" t="s">
        <v>25</v>
      </c>
      <c r="F150" s="1">
        <v>30.0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1">
        <v>64.5</v>
      </c>
      <c r="T150" s="1">
        <v>1929.95</v>
      </c>
      <c r="U150" s="1">
        <v>0.0</v>
      </c>
      <c r="V150" s="1">
        <v>0.0</v>
      </c>
      <c r="W150" s="1" t="s">
        <v>26</v>
      </c>
    </row>
    <row r="151" ht="15.75" customHeight="1">
      <c r="A151" s="1" t="s">
        <v>187</v>
      </c>
      <c r="B151" s="1" t="s">
        <v>32</v>
      </c>
      <c r="C151" s="1">
        <v>0.0</v>
      </c>
      <c r="D151" s="1" t="s">
        <v>25</v>
      </c>
      <c r="E151" s="1" t="s">
        <v>25</v>
      </c>
      <c r="F151" s="1">
        <v>15.0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1">
        <v>69.5</v>
      </c>
      <c r="T151" s="1">
        <v>1071.4</v>
      </c>
      <c r="U151" s="1">
        <v>0.0</v>
      </c>
      <c r="V151" s="1">
        <v>0.0</v>
      </c>
      <c r="W151" s="1" t="s">
        <v>26</v>
      </c>
    </row>
    <row r="152" ht="15.75" customHeight="1">
      <c r="A152" s="1" t="s">
        <v>188</v>
      </c>
      <c r="B152" s="1" t="s">
        <v>24</v>
      </c>
      <c r="C152" s="1">
        <v>0.0</v>
      </c>
      <c r="D152" s="1" t="s">
        <v>25</v>
      </c>
      <c r="E152" s="1" t="s">
        <v>25</v>
      </c>
      <c r="F152" s="1">
        <v>8.0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1">
        <v>68.55</v>
      </c>
      <c r="T152" s="1">
        <v>564.35</v>
      </c>
      <c r="U152" s="1">
        <v>4.0</v>
      </c>
      <c r="V152" s="1">
        <v>0.0</v>
      </c>
      <c r="W152" s="1" t="s">
        <v>26</v>
      </c>
    </row>
    <row r="153" ht="15.75" customHeight="1">
      <c r="A153" s="1" t="s">
        <v>189</v>
      </c>
      <c r="B153" s="1" t="s">
        <v>32</v>
      </c>
      <c r="C153" s="1">
        <v>0.0</v>
      </c>
      <c r="D153" s="1" t="s">
        <v>26</v>
      </c>
      <c r="E153" s="1" t="s">
        <v>26</v>
      </c>
      <c r="F153" s="1">
        <v>7.0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1">
        <v>95.0</v>
      </c>
      <c r="T153" s="1">
        <v>655.5</v>
      </c>
      <c r="U153" s="1">
        <v>2.0</v>
      </c>
      <c r="V153" s="1">
        <v>0.0</v>
      </c>
      <c r="W153" s="1" t="s">
        <v>25</v>
      </c>
    </row>
    <row r="154" ht="15.75" customHeight="1">
      <c r="A154" s="1" t="s">
        <v>190</v>
      </c>
      <c r="B154" s="1" t="s">
        <v>24</v>
      </c>
      <c r="C154" s="1">
        <v>0.0</v>
      </c>
      <c r="D154" s="1" t="s">
        <v>25</v>
      </c>
      <c r="E154" s="1" t="s">
        <v>25</v>
      </c>
      <c r="F154" s="1">
        <v>70.0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1">
        <v>108.15</v>
      </c>
      <c r="T154" s="1">
        <v>7930.55</v>
      </c>
      <c r="U154" s="1">
        <v>0.0</v>
      </c>
      <c r="V154" s="1">
        <v>0.0</v>
      </c>
      <c r="W154" s="1" t="s">
        <v>26</v>
      </c>
    </row>
    <row r="155" ht="15.75" customHeight="1">
      <c r="A155" s="1" t="s">
        <v>191</v>
      </c>
      <c r="B155" s="1" t="s">
        <v>32</v>
      </c>
      <c r="C155" s="1">
        <v>0.0</v>
      </c>
      <c r="D155" s="1" t="s">
        <v>25</v>
      </c>
      <c r="E155" s="1" t="s">
        <v>25</v>
      </c>
      <c r="F155" s="1">
        <v>62.0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1">
        <v>86.1</v>
      </c>
      <c r="T155" s="1">
        <v>5215.25</v>
      </c>
      <c r="U155" s="1">
        <v>1.0</v>
      </c>
      <c r="V155" s="1">
        <v>0.0</v>
      </c>
      <c r="W155" s="1" t="s">
        <v>26</v>
      </c>
    </row>
    <row r="156" ht="15.75" customHeight="1">
      <c r="A156" s="1" t="s">
        <v>192</v>
      </c>
      <c r="B156" s="1" t="s">
        <v>24</v>
      </c>
      <c r="C156" s="1">
        <v>0.0</v>
      </c>
      <c r="D156" s="1" t="s">
        <v>25</v>
      </c>
      <c r="E156" s="1" t="s">
        <v>25</v>
      </c>
      <c r="F156" s="1">
        <v>6.0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1">
        <v>19.7</v>
      </c>
      <c r="T156" s="1">
        <v>113.5</v>
      </c>
      <c r="U156" s="1">
        <v>0.0</v>
      </c>
      <c r="V156" s="1">
        <v>0.0</v>
      </c>
      <c r="W156" s="1" t="s">
        <v>26</v>
      </c>
    </row>
    <row r="157" ht="15.75" customHeight="1">
      <c r="A157" s="1" t="s">
        <v>193</v>
      </c>
      <c r="B157" s="1" t="s">
        <v>24</v>
      </c>
      <c r="C157" s="1">
        <v>0.0</v>
      </c>
      <c r="D157" s="1" t="s">
        <v>25</v>
      </c>
      <c r="E157" s="1" t="s">
        <v>25</v>
      </c>
      <c r="F157" s="1">
        <v>14.0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1">
        <v>80.9</v>
      </c>
      <c r="T157" s="1">
        <v>1152.8</v>
      </c>
      <c r="U157" s="1">
        <v>0.0</v>
      </c>
      <c r="V157" s="1">
        <v>0.0</v>
      </c>
      <c r="W157" s="1" t="s">
        <v>26</v>
      </c>
    </row>
    <row r="158" ht="15.75" customHeight="1">
      <c r="A158" s="1" t="s">
        <v>194</v>
      </c>
      <c r="B158" s="1" t="s">
        <v>24</v>
      </c>
      <c r="C158" s="1">
        <v>0.0</v>
      </c>
      <c r="D158" s="1" t="s">
        <v>26</v>
      </c>
      <c r="E158" s="1" t="s">
        <v>26</v>
      </c>
      <c r="F158" s="1">
        <v>22.0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1">
        <v>84.15</v>
      </c>
      <c r="T158" s="1">
        <v>1821.95</v>
      </c>
      <c r="U158" s="1">
        <v>0.0</v>
      </c>
      <c r="V158" s="1">
        <v>0.0</v>
      </c>
      <c r="W158" s="1" t="s">
        <v>26</v>
      </c>
    </row>
    <row r="159" ht="15.75" customHeight="1">
      <c r="A159" s="1" t="s">
        <v>195</v>
      </c>
      <c r="B159" s="1" t="s">
        <v>32</v>
      </c>
      <c r="C159" s="1">
        <v>0.0</v>
      </c>
      <c r="D159" s="1" t="s">
        <v>25</v>
      </c>
      <c r="E159" s="1" t="s">
        <v>25</v>
      </c>
      <c r="F159" s="1">
        <v>22.0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1">
        <v>20.15</v>
      </c>
      <c r="T159" s="1">
        <v>419.9</v>
      </c>
      <c r="U159" s="1">
        <v>0.0</v>
      </c>
      <c r="V159" s="1">
        <v>0.0</v>
      </c>
      <c r="W159" s="1" t="s">
        <v>26</v>
      </c>
    </row>
    <row r="160" ht="15.75" customHeight="1">
      <c r="A160" s="1" t="s">
        <v>196</v>
      </c>
      <c r="B160" s="1" t="s">
        <v>32</v>
      </c>
      <c r="C160" s="1">
        <v>0.0</v>
      </c>
      <c r="D160" s="1" t="s">
        <v>25</v>
      </c>
      <c r="E160" s="1" t="s">
        <v>25</v>
      </c>
      <c r="F160" s="1">
        <v>16.0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1">
        <v>64.25</v>
      </c>
      <c r="T160" s="1">
        <v>1024.0</v>
      </c>
      <c r="U160" s="1">
        <v>0.0</v>
      </c>
      <c r="V160" s="1">
        <v>0.0</v>
      </c>
      <c r="W160" s="1" t="s">
        <v>26</v>
      </c>
    </row>
    <row r="161" ht="15.75" customHeight="1">
      <c r="A161" s="1" t="s">
        <v>197</v>
      </c>
      <c r="B161" s="1" t="s">
        <v>32</v>
      </c>
      <c r="C161" s="1">
        <v>0.0</v>
      </c>
      <c r="D161" s="1" t="s">
        <v>26</v>
      </c>
      <c r="E161" s="1" t="s">
        <v>26</v>
      </c>
      <c r="F161" s="1">
        <v>10.0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1">
        <v>25.7</v>
      </c>
      <c r="T161" s="1">
        <v>251.6</v>
      </c>
      <c r="U161" s="1">
        <v>0.0</v>
      </c>
      <c r="V161" s="1">
        <v>0.0</v>
      </c>
      <c r="W161" s="1" t="s">
        <v>26</v>
      </c>
    </row>
    <row r="162" ht="15.75" customHeight="1">
      <c r="A162" s="1" t="s">
        <v>198</v>
      </c>
      <c r="B162" s="1" t="s">
        <v>24</v>
      </c>
      <c r="C162" s="1">
        <v>0.0</v>
      </c>
      <c r="D162" s="1" t="s">
        <v>26</v>
      </c>
      <c r="E162" s="1" t="s">
        <v>25</v>
      </c>
      <c r="F162" s="1">
        <v>13.0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1">
        <v>56.0</v>
      </c>
      <c r="T162" s="1">
        <v>764.55</v>
      </c>
      <c r="U162" s="1">
        <v>0.0</v>
      </c>
      <c r="V162" s="1">
        <v>0.0</v>
      </c>
      <c r="W162" s="1" t="s">
        <v>26</v>
      </c>
    </row>
    <row r="163" ht="15.75" customHeight="1">
      <c r="A163" s="1" t="s">
        <v>199</v>
      </c>
      <c r="B163" s="1" t="s">
        <v>24</v>
      </c>
      <c r="C163" s="1">
        <v>0.0</v>
      </c>
      <c r="D163" s="1" t="s">
        <v>25</v>
      </c>
      <c r="E163" s="1" t="s">
        <v>26</v>
      </c>
      <c r="F163" s="1">
        <v>20.0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1">
        <v>82.4</v>
      </c>
      <c r="T163" s="1">
        <v>1592.35</v>
      </c>
      <c r="U163" s="1">
        <v>0.0</v>
      </c>
      <c r="V163" s="1">
        <v>0.0</v>
      </c>
      <c r="W163" s="1" t="s">
        <v>25</v>
      </c>
    </row>
    <row r="164" ht="15.75" customHeight="1">
      <c r="A164" s="1" t="s">
        <v>200</v>
      </c>
      <c r="B164" s="1" t="s">
        <v>24</v>
      </c>
      <c r="C164" s="1">
        <v>0.0</v>
      </c>
      <c r="D164" s="1" t="s">
        <v>26</v>
      </c>
      <c r="E164" s="1" t="s">
        <v>26</v>
      </c>
      <c r="F164" s="1">
        <v>2.0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1">
        <v>69.7</v>
      </c>
      <c r="T164" s="1">
        <v>135.2</v>
      </c>
      <c r="U164" s="1">
        <v>0.0</v>
      </c>
      <c r="V164" s="1">
        <v>0.0</v>
      </c>
      <c r="W164" s="1" t="s">
        <v>26</v>
      </c>
    </row>
    <row r="165" ht="15.75" customHeight="1">
      <c r="A165" s="1" t="s">
        <v>201</v>
      </c>
      <c r="B165" s="1" t="s">
        <v>32</v>
      </c>
      <c r="C165" s="1">
        <v>0.0</v>
      </c>
      <c r="D165" s="1" t="s">
        <v>26</v>
      </c>
      <c r="E165" s="1" t="s">
        <v>26</v>
      </c>
      <c r="F165" s="1">
        <v>53.0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1">
        <v>73.9</v>
      </c>
      <c r="T165" s="1">
        <v>3958.25</v>
      </c>
      <c r="U165" s="1">
        <v>0.0</v>
      </c>
      <c r="V165" s="1">
        <v>1.0</v>
      </c>
      <c r="W165" s="1" t="s">
        <v>26</v>
      </c>
    </row>
    <row r="166" ht="15.75" customHeight="1">
      <c r="A166" s="1" t="s">
        <v>202</v>
      </c>
      <c r="B166" s="1" t="s">
        <v>24</v>
      </c>
      <c r="C166" s="1">
        <v>0.0</v>
      </c>
      <c r="D166" s="1" t="s">
        <v>25</v>
      </c>
      <c r="E166" s="1" t="s">
        <v>25</v>
      </c>
      <c r="F166" s="1">
        <v>11.0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1">
        <v>20.6</v>
      </c>
      <c r="T166" s="1">
        <v>233.9</v>
      </c>
      <c r="U166" s="1">
        <v>2.0</v>
      </c>
      <c r="V166" s="1">
        <v>0.0</v>
      </c>
      <c r="W166" s="1" t="s">
        <v>26</v>
      </c>
    </row>
    <row r="167" ht="15.75" customHeight="1">
      <c r="A167" s="1" t="s">
        <v>203</v>
      </c>
      <c r="B167" s="1" t="s">
        <v>32</v>
      </c>
      <c r="C167" s="1">
        <v>0.0</v>
      </c>
      <c r="D167" s="1" t="s">
        <v>25</v>
      </c>
      <c r="E167" s="1" t="s">
        <v>26</v>
      </c>
      <c r="F167" s="1">
        <v>69.0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1">
        <v>19.9</v>
      </c>
      <c r="T167" s="1">
        <v>1363.45</v>
      </c>
      <c r="U167" s="1">
        <v>0.0</v>
      </c>
      <c r="V167" s="1">
        <v>0.0</v>
      </c>
      <c r="W167" s="1" t="s">
        <v>26</v>
      </c>
    </row>
    <row r="168" ht="15.75" customHeight="1">
      <c r="A168" s="1" t="s">
        <v>204</v>
      </c>
      <c r="B168" s="1" t="s">
        <v>24</v>
      </c>
      <c r="C168" s="1">
        <v>0.0</v>
      </c>
      <c r="D168" s="1" t="s">
        <v>26</v>
      </c>
      <c r="E168" s="1" t="s">
        <v>26</v>
      </c>
      <c r="F168" s="1">
        <v>4.0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1">
        <v>70.9</v>
      </c>
      <c r="T168" s="1">
        <v>273.0</v>
      </c>
      <c r="U168" s="1">
        <v>2.0</v>
      </c>
      <c r="V168" s="1">
        <v>0.0</v>
      </c>
      <c r="W168" s="1" t="s">
        <v>25</v>
      </c>
    </row>
    <row r="169" ht="15.75" customHeight="1">
      <c r="A169" s="1" t="s">
        <v>205</v>
      </c>
      <c r="B169" s="1" t="s">
        <v>32</v>
      </c>
      <c r="C169" s="1">
        <v>0.0</v>
      </c>
      <c r="D169" s="1" t="s">
        <v>25</v>
      </c>
      <c r="E169" s="1" t="s">
        <v>26</v>
      </c>
      <c r="F169" s="1">
        <v>72.0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1">
        <v>89.05</v>
      </c>
      <c r="T169" s="1">
        <v>6254.45</v>
      </c>
      <c r="U169" s="1">
        <v>4.0</v>
      </c>
      <c r="V169" s="1">
        <v>0.0</v>
      </c>
      <c r="W169" s="1" t="s">
        <v>26</v>
      </c>
    </row>
    <row r="170" ht="15.75" customHeight="1">
      <c r="A170" s="1" t="s">
        <v>206</v>
      </c>
      <c r="B170" s="1" t="s">
        <v>32</v>
      </c>
      <c r="C170" s="1">
        <v>1.0</v>
      </c>
      <c r="D170" s="1" t="s">
        <v>25</v>
      </c>
      <c r="E170" s="1" t="s">
        <v>26</v>
      </c>
      <c r="F170" s="1">
        <v>58.0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1">
        <v>45.3</v>
      </c>
      <c r="T170" s="1">
        <v>2651.2</v>
      </c>
      <c r="U170" s="1">
        <v>0.0</v>
      </c>
      <c r="V170" s="1">
        <v>5.0</v>
      </c>
      <c r="W170" s="1" t="s">
        <v>25</v>
      </c>
    </row>
    <row r="171" ht="15.75" customHeight="1">
      <c r="A171" s="1" t="s">
        <v>207</v>
      </c>
      <c r="B171" s="1" t="s">
        <v>24</v>
      </c>
      <c r="C171" s="1">
        <v>0.0</v>
      </c>
      <c r="D171" s="1" t="s">
        <v>25</v>
      </c>
      <c r="E171" s="1" t="s">
        <v>25</v>
      </c>
      <c r="F171" s="1">
        <v>16.0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1">
        <v>20.4</v>
      </c>
      <c r="T171" s="1">
        <v>321.4</v>
      </c>
      <c r="U171" s="1">
        <v>0.0</v>
      </c>
      <c r="V171" s="1">
        <v>0.0</v>
      </c>
      <c r="W171" s="1" t="s">
        <v>26</v>
      </c>
    </row>
    <row r="172" ht="15.75" customHeight="1">
      <c r="A172" s="1" t="s">
        <v>208</v>
      </c>
      <c r="B172" s="1" t="s">
        <v>32</v>
      </c>
      <c r="C172" s="1">
        <v>0.0</v>
      </c>
      <c r="D172" s="1" t="s">
        <v>25</v>
      </c>
      <c r="E172" s="1" t="s">
        <v>26</v>
      </c>
      <c r="F172" s="1">
        <v>43.0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1">
        <v>84.25</v>
      </c>
      <c r="T172" s="1">
        <v>3539.25</v>
      </c>
      <c r="U172" s="1">
        <v>0.0</v>
      </c>
      <c r="V172" s="1">
        <v>0.0</v>
      </c>
      <c r="W172" s="1" t="s">
        <v>26</v>
      </c>
    </row>
    <row r="173" ht="15.75" customHeight="1">
      <c r="A173" s="1" t="s">
        <v>209</v>
      </c>
      <c r="B173" s="1" t="s">
        <v>24</v>
      </c>
      <c r="C173" s="1">
        <v>0.0</v>
      </c>
      <c r="D173" s="1" t="s">
        <v>25</v>
      </c>
      <c r="E173" s="1" t="s">
        <v>26</v>
      </c>
      <c r="F173" s="1">
        <v>2.0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1">
        <v>104.4</v>
      </c>
      <c r="T173" s="1">
        <v>242.8</v>
      </c>
      <c r="U173" s="1">
        <v>2.0</v>
      </c>
      <c r="V173" s="1">
        <v>0.0</v>
      </c>
      <c r="W173" s="1" t="s">
        <v>25</v>
      </c>
    </row>
    <row r="174" ht="15.75" customHeight="1">
      <c r="A174" s="1" t="s">
        <v>210</v>
      </c>
      <c r="B174" s="1" t="s">
        <v>32</v>
      </c>
      <c r="C174" s="1">
        <v>0.0</v>
      </c>
      <c r="D174" s="1" t="s">
        <v>25</v>
      </c>
      <c r="E174" s="1" t="s">
        <v>26</v>
      </c>
      <c r="F174" s="1">
        <v>14.0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1">
        <v>81.95</v>
      </c>
      <c r="T174" s="1">
        <v>1181.75</v>
      </c>
      <c r="U174" s="1">
        <v>0.0</v>
      </c>
      <c r="V174" s="1">
        <v>0.0</v>
      </c>
      <c r="W174" s="1" t="s">
        <v>26</v>
      </c>
    </row>
    <row r="175" ht="15.75" customHeight="1">
      <c r="A175" s="1" t="s">
        <v>211</v>
      </c>
      <c r="B175" s="1" t="s">
        <v>24</v>
      </c>
      <c r="C175" s="1">
        <v>0.0</v>
      </c>
      <c r="D175" s="1" t="s">
        <v>25</v>
      </c>
      <c r="E175" s="1" t="s">
        <v>26</v>
      </c>
      <c r="F175" s="1">
        <v>53.0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1">
        <v>94.85</v>
      </c>
      <c r="T175" s="1">
        <v>5000.2</v>
      </c>
      <c r="U175" s="1">
        <v>0.0</v>
      </c>
      <c r="V175" s="1">
        <v>5.0</v>
      </c>
      <c r="W175" s="1" t="s">
        <v>25</v>
      </c>
    </row>
    <row r="176" ht="15.75" customHeight="1">
      <c r="A176" s="1" t="s">
        <v>212</v>
      </c>
      <c r="B176" s="1" t="s">
        <v>24</v>
      </c>
      <c r="C176" s="1">
        <v>0.0</v>
      </c>
      <c r="D176" s="1" t="s">
        <v>26</v>
      </c>
      <c r="E176" s="1" t="s">
        <v>26</v>
      </c>
      <c r="F176" s="1">
        <v>32.0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1">
        <v>20.55</v>
      </c>
      <c r="T176" s="1">
        <v>654.55</v>
      </c>
      <c r="U176" s="1">
        <v>0.0</v>
      </c>
      <c r="V176" s="1">
        <v>0.0</v>
      </c>
      <c r="W176" s="1" t="s">
        <v>26</v>
      </c>
    </row>
    <row r="177" ht="15.75" customHeight="1">
      <c r="A177" s="1" t="s">
        <v>213</v>
      </c>
      <c r="B177" s="1" t="s">
        <v>24</v>
      </c>
      <c r="C177" s="1">
        <v>0.0</v>
      </c>
      <c r="D177" s="1" t="s">
        <v>25</v>
      </c>
      <c r="E177" s="1" t="s">
        <v>26</v>
      </c>
      <c r="F177" s="1">
        <v>34.0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1">
        <v>24.7</v>
      </c>
      <c r="T177" s="1">
        <v>780.2</v>
      </c>
      <c r="U177" s="1">
        <v>0.0</v>
      </c>
      <c r="V177" s="1">
        <v>0.0</v>
      </c>
      <c r="W177" s="1" t="s">
        <v>26</v>
      </c>
    </row>
    <row r="178" ht="15.75" customHeight="1">
      <c r="A178" s="1" t="s">
        <v>214</v>
      </c>
      <c r="B178" s="1" t="s">
        <v>24</v>
      </c>
      <c r="C178" s="1">
        <v>1.0</v>
      </c>
      <c r="D178" s="1" t="s">
        <v>26</v>
      </c>
      <c r="E178" s="1" t="s">
        <v>26</v>
      </c>
      <c r="F178" s="1">
        <v>15.0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1">
        <v>74.45</v>
      </c>
      <c r="T178" s="1">
        <v>1145.7</v>
      </c>
      <c r="U178" s="1">
        <v>3.0</v>
      </c>
      <c r="V178" s="1">
        <v>0.0</v>
      </c>
      <c r="W178" s="1" t="s">
        <v>25</v>
      </c>
    </row>
    <row r="179" ht="15.75" customHeight="1">
      <c r="A179" s="1" t="s">
        <v>215</v>
      </c>
      <c r="B179" s="1" t="s">
        <v>24</v>
      </c>
      <c r="C179" s="1">
        <v>1.0</v>
      </c>
      <c r="D179" s="1" t="s">
        <v>26</v>
      </c>
      <c r="E179" s="1" t="s">
        <v>26</v>
      </c>
      <c r="F179" s="1">
        <v>7.0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1">
        <v>76.45</v>
      </c>
      <c r="T179" s="1">
        <v>503.6</v>
      </c>
      <c r="U179" s="1">
        <v>0.0</v>
      </c>
      <c r="V179" s="1">
        <v>0.0</v>
      </c>
      <c r="W179" s="1" t="s">
        <v>25</v>
      </c>
    </row>
    <row r="180" ht="15.75" customHeight="1">
      <c r="A180" s="1" t="s">
        <v>216</v>
      </c>
      <c r="B180" s="1" t="s">
        <v>24</v>
      </c>
      <c r="C180" s="1">
        <v>0.0</v>
      </c>
      <c r="D180" s="1" t="s">
        <v>25</v>
      </c>
      <c r="E180" s="1" t="s">
        <v>25</v>
      </c>
      <c r="F180" s="1">
        <v>15.0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1">
        <v>105.35</v>
      </c>
      <c r="T180" s="1">
        <v>1559.25</v>
      </c>
      <c r="U180" s="1">
        <v>0.0</v>
      </c>
      <c r="V180" s="1">
        <v>0.0</v>
      </c>
      <c r="W180" s="1" t="s">
        <v>26</v>
      </c>
    </row>
    <row r="181" ht="15.75" customHeight="1">
      <c r="A181" s="1" t="s">
        <v>217</v>
      </c>
      <c r="B181" s="1" t="s">
        <v>32</v>
      </c>
      <c r="C181" s="1">
        <v>0.0</v>
      </c>
      <c r="D181" s="1" t="s">
        <v>25</v>
      </c>
      <c r="E181" s="1" t="s">
        <v>26</v>
      </c>
      <c r="F181" s="1">
        <v>61.0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1">
        <v>20.55</v>
      </c>
      <c r="T181" s="1">
        <v>1252.0</v>
      </c>
      <c r="U181" s="1">
        <v>0.0</v>
      </c>
      <c r="V181" s="1">
        <v>0.0</v>
      </c>
      <c r="W181" s="1" t="s">
        <v>26</v>
      </c>
    </row>
    <row r="182" ht="15.75" customHeight="1">
      <c r="A182" s="1" t="s">
        <v>218</v>
      </c>
      <c r="B182" s="1" t="s">
        <v>24</v>
      </c>
      <c r="C182" s="1">
        <v>0.0</v>
      </c>
      <c r="D182" s="1" t="s">
        <v>26</v>
      </c>
      <c r="E182" s="1" t="s">
        <v>26</v>
      </c>
      <c r="F182" s="1">
        <v>1.0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1">
        <v>29.95</v>
      </c>
      <c r="T182" s="1">
        <v>29.95</v>
      </c>
      <c r="U182" s="1">
        <v>0.0</v>
      </c>
      <c r="V182" s="1">
        <v>0.0</v>
      </c>
      <c r="W182" s="1" t="s">
        <v>25</v>
      </c>
    </row>
    <row r="183" ht="15.75" customHeight="1">
      <c r="A183" s="1" t="s">
        <v>219</v>
      </c>
      <c r="B183" s="1" t="s">
        <v>24</v>
      </c>
      <c r="C183" s="1">
        <v>0.0</v>
      </c>
      <c r="D183" s="1" t="s">
        <v>26</v>
      </c>
      <c r="E183" s="1" t="s">
        <v>26</v>
      </c>
      <c r="F183" s="1">
        <v>1.0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1">
        <v>45.3</v>
      </c>
      <c r="T183" s="1">
        <v>45.3</v>
      </c>
      <c r="U183" s="1">
        <v>0.0</v>
      </c>
      <c r="V183" s="1">
        <v>0.0</v>
      </c>
      <c r="W183" s="1" t="s">
        <v>26</v>
      </c>
    </row>
    <row r="184" ht="15.75" customHeight="1">
      <c r="A184" s="1" t="s">
        <v>220</v>
      </c>
      <c r="B184" s="1" t="s">
        <v>32</v>
      </c>
      <c r="C184" s="1">
        <v>0.0</v>
      </c>
      <c r="D184" s="1" t="s">
        <v>26</v>
      </c>
      <c r="E184" s="1" t="s">
        <v>26</v>
      </c>
      <c r="F184" s="1">
        <v>8.0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1">
        <v>84.5</v>
      </c>
      <c r="T184" s="1">
        <v>662.65</v>
      </c>
      <c r="U184" s="1">
        <v>0.0</v>
      </c>
      <c r="V184" s="1">
        <v>0.0</v>
      </c>
      <c r="W184" s="1" t="s">
        <v>25</v>
      </c>
    </row>
    <row r="185" ht="15.75" customHeight="1">
      <c r="A185" s="1" t="s">
        <v>221</v>
      </c>
      <c r="B185" s="1" t="s">
        <v>32</v>
      </c>
      <c r="C185" s="1">
        <v>0.0</v>
      </c>
      <c r="D185" s="1" t="s">
        <v>25</v>
      </c>
      <c r="E185" s="1" t="s">
        <v>25</v>
      </c>
      <c r="F185" s="1">
        <v>33.0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1">
        <v>74.75</v>
      </c>
      <c r="T185" s="1">
        <v>2453.3</v>
      </c>
      <c r="U185" s="1">
        <v>0.0</v>
      </c>
      <c r="V185" s="1">
        <v>0.0</v>
      </c>
      <c r="W185" s="1" t="s">
        <v>26</v>
      </c>
    </row>
    <row r="186" ht="15.75" customHeight="1">
      <c r="A186" s="1" t="s">
        <v>222</v>
      </c>
      <c r="B186" s="1" t="s">
        <v>24</v>
      </c>
      <c r="C186" s="1">
        <v>0.0</v>
      </c>
      <c r="D186" s="1" t="s">
        <v>26</v>
      </c>
      <c r="E186" s="1" t="s">
        <v>26</v>
      </c>
      <c r="F186" s="1">
        <v>13.0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1">
        <v>79.25</v>
      </c>
      <c r="T186" s="1">
        <v>1111.65</v>
      </c>
      <c r="U186" s="1">
        <v>2.0</v>
      </c>
      <c r="V186" s="1">
        <v>1.0</v>
      </c>
      <c r="W186" s="1" t="s">
        <v>25</v>
      </c>
    </row>
    <row r="187" ht="15.75" customHeight="1">
      <c r="A187" s="1" t="s">
        <v>223</v>
      </c>
      <c r="B187" s="1" t="s">
        <v>24</v>
      </c>
      <c r="C187" s="1">
        <v>0.0</v>
      </c>
      <c r="D187" s="1" t="s">
        <v>25</v>
      </c>
      <c r="E187" s="1" t="s">
        <v>26</v>
      </c>
      <c r="F187" s="1">
        <v>1.0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1">
        <v>24.8</v>
      </c>
      <c r="T187" s="1">
        <v>24.8</v>
      </c>
      <c r="U187" s="1">
        <v>4.0</v>
      </c>
      <c r="V187" s="1">
        <v>0.0</v>
      </c>
      <c r="W187" s="1" t="s">
        <v>25</v>
      </c>
    </row>
    <row r="188" ht="15.75" customHeight="1">
      <c r="A188" s="1" t="s">
        <v>224</v>
      </c>
      <c r="B188" s="1" t="s">
        <v>32</v>
      </c>
      <c r="C188" s="1">
        <v>0.0</v>
      </c>
      <c r="D188" s="1" t="s">
        <v>26</v>
      </c>
      <c r="E188" s="1" t="s">
        <v>26</v>
      </c>
      <c r="F188" s="1">
        <v>20.0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1">
        <v>51.8</v>
      </c>
      <c r="T188" s="1">
        <v>1023.85</v>
      </c>
      <c r="U188" s="1">
        <v>0.0</v>
      </c>
      <c r="V188" s="1">
        <v>0.0</v>
      </c>
      <c r="W188" s="1" t="s">
        <v>26</v>
      </c>
    </row>
    <row r="189" ht="15.75" customHeight="1">
      <c r="A189" s="1" t="s">
        <v>225</v>
      </c>
      <c r="B189" s="1" t="s">
        <v>32</v>
      </c>
      <c r="C189" s="1">
        <v>0.0</v>
      </c>
      <c r="D189" s="1" t="s">
        <v>26</v>
      </c>
      <c r="E189" s="1" t="s">
        <v>26</v>
      </c>
      <c r="F189" s="1">
        <v>3.0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1">
        <v>30.4</v>
      </c>
      <c r="T189" s="1">
        <v>82.15</v>
      </c>
      <c r="U189" s="1">
        <v>0.0</v>
      </c>
      <c r="V189" s="1">
        <v>0.0</v>
      </c>
      <c r="W189" s="1" t="s">
        <v>26</v>
      </c>
    </row>
    <row r="190" ht="15.75" customHeight="1">
      <c r="A190" s="1" t="s">
        <v>226</v>
      </c>
      <c r="B190" s="1" t="s">
        <v>24</v>
      </c>
      <c r="C190" s="1">
        <v>0.0</v>
      </c>
      <c r="D190" s="1" t="s">
        <v>26</v>
      </c>
      <c r="E190" s="1" t="s">
        <v>26</v>
      </c>
      <c r="F190" s="1">
        <v>13.0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1">
        <v>19.65</v>
      </c>
      <c r="T190" s="1">
        <v>244.8</v>
      </c>
      <c r="U190" s="1">
        <v>0.0</v>
      </c>
      <c r="V190" s="1">
        <v>0.0</v>
      </c>
      <c r="W190" s="1" t="s">
        <v>26</v>
      </c>
    </row>
    <row r="191" ht="15.75" customHeight="1">
      <c r="A191" s="1" t="s">
        <v>227</v>
      </c>
      <c r="B191" s="1" t="s">
        <v>24</v>
      </c>
      <c r="C191" s="1">
        <v>0.0</v>
      </c>
      <c r="D191" s="1" t="s">
        <v>25</v>
      </c>
      <c r="E191" s="1" t="s">
        <v>26</v>
      </c>
      <c r="F191" s="1">
        <v>40.0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1">
        <v>56.6</v>
      </c>
      <c r="T191" s="1">
        <v>2379.1</v>
      </c>
      <c r="U191" s="1">
        <v>0.0</v>
      </c>
      <c r="V191" s="1">
        <v>0.0</v>
      </c>
      <c r="W191" s="1" t="s">
        <v>26</v>
      </c>
    </row>
    <row r="192" ht="15.75" customHeight="1">
      <c r="A192" s="1" t="s">
        <v>228</v>
      </c>
      <c r="B192" s="1" t="s">
        <v>32</v>
      </c>
      <c r="C192" s="1">
        <v>0.0</v>
      </c>
      <c r="D192" s="1" t="s">
        <v>25</v>
      </c>
      <c r="E192" s="1" t="s">
        <v>25</v>
      </c>
      <c r="F192" s="1">
        <v>43.0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1">
        <v>71.9</v>
      </c>
      <c r="T192" s="1">
        <v>3173.35</v>
      </c>
      <c r="U192" s="1">
        <v>0.0</v>
      </c>
      <c r="V192" s="1">
        <v>0.0</v>
      </c>
      <c r="W192" s="1" t="s">
        <v>26</v>
      </c>
    </row>
    <row r="193" ht="15.75" customHeight="1">
      <c r="A193" s="1" t="s">
        <v>229</v>
      </c>
      <c r="B193" s="1" t="s">
        <v>32</v>
      </c>
      <c r="C193" s="1">
        <v>0.0</v>
      </c>
      <c r="D193" s="1" t="s">
        <v>25</v>
      </c>
      <c r="E193" s="1" t="s">
        <v>26</v>
      </c>
      <c r="F193" s="1">
        <v>6.0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1">
        <v>91.0</v>
      </c>
      <c r="T193" s="1">
        <v>531.0</v>
      </c>
      <c r="U193" s="1">
        <v>0.0</v>
      </c>
      <c r="V193" s="1">
        <v>0.0</v>
      </c>
      <c r="W193" s="1" t="s">
        <v>25</v>
      </c>
    </row>
    <row r="194" ht="15.75" customHeight="1">
      <c r="A194" s="1" t="s">
        <v>230</v>
      </c>
      <c r="B194" s="1" t="s">
        <v>24</v>
      </c>
      <c r="C194" s="1">
        <v>0.0</v>
      </c>
      <c r="D194" s="1" t="s">
        <v>25</v>
      </c>
      <c r="E194" s="1" t="s">
        <v>25</v>
      </c>
      <c r="F194" s="1">
        <v>69.0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1">
        <v>19.75</v>
      </c>
      <c r="T194" s="1">
        <v>1375.4</v>
      </c>
      <c r="U194" s="1">
        <v>0.0</v>
      </c>
      <c r="V194" s="1">
        <v>0.0</v>
      </c>
      <c r="W194" s="1" t="s">
        <v>26</v>
      </c>
    </row>
    <row r="195" ht="15.75" customHeight="1">
      <c r="A195" s="1" t="s">
        <v>231</v>
      </c>
      <c r="B195" s="1" t="s">
        <v>24</v>
      </c>
      <c r="C195" s="1">
        <v>0.0</v>
      </c>
      <c r="D195" s="1" t="s">
        <v>25</v>
      </c>
      <c r="E195" s="1" t="s">
        <v>25</v>
      </c>
      <c r="F195" s="1">
        <v>72.0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1">
        <v>109.7</v>
      </c>
      <c r="T195" s="1">
        <v>8129.3</v>
      </c>
      <c r="U195" s="1">
        <v>0.0</v>
      </c>
      <c r="V195" s="1">
        <v>0.0</v>
      </c>
      <c r="W195" s="1" t="s">
        <v>26</v>
      </c>
    </row>
    <row r="196" ht="15.75" customHeight="1">
      <c r="A196" s="1" t="s">
        <v>232</v>
      </c>
      <c r="B196" s="1" t="s">
        <v>32</v>
      </c>
      <c r="C196" s="1">
        <v>0.0</v>
      </c>
      <c r="D196" s="1" t="s">
        <v>25</v>
      </c>
      <c r="E196" s="1" t="s">
        <v>25</v>
      </c>
      <c r="F196" s="1">
        <v>59.0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1">
        <v>19.3</v>
      </c>
      <c r="T196" s="1">
        <v>1192.7</v>
      </c>
      <c r="U196" s="1">
        <v>0.0</v>
      </c>
      <c r="V196" s="1">
        <v>0.0</v>
      </c>
      <c r="W196" s="1" t="s">
        <v>26</v>
      </c>
    </row>
    <row r="197" ht="15.75" customHeight="1">
      <c r="A197" s="1" t="s">
        <v>233</v>
      </c>
      <c r="B197" s="1" t="s">
        <v>24</v>
      </c>
      <c r="C197" s="1">
        <v>0.0</v>
      </c>
      <c r="D197" s="1" t="s">
        <v>25</v>
      </c>
      <c r="E197" s="1" t="s">
        <v>26</v>
      </c>
      <c r="F197" s="1">
        <v>20.0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1">
        <v>96.55</v>
      </c>
      <c r="T197" s="1">
        <v>1901.65</v>
      </c>
      <c r="U197" s="1">
        <v>0.0</v>
      </c>
      <c r="V197" s="1">
        <v>0.0</v>
      </c>
      <c r="W197" s="1" t="s">
        <v>26</v>
      </c>
    </row>
    <row r="198" ht="15.75" customHeight="1">
      <c r="A198" s="1" t="s">
        <v>234</v>
      </c>
      <c r="B198" s="1" t="s">
        <v>32</v>
      </c>
      <c r="C198" s="1">
        <v>0.0</v>
      </c>
      <c r="D198" s="1" t="s">
        <v>25</v>
      </c>
      <c r="E198" s="1" t="s">
        <v>25</v>
      </c>
      <c r="F198" s="1">
        <v>24.0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1">
        <v>24.1</v>
      </c>
      <c r="T198" s="1">
        <v>587.4</v>
      </c>
      <c r="U198" s="1">
        <v>0.0</v>
      </c>
      <c r="V198" s="1">
        <v>0.0</v>
      </c>
      <c r="W198" s="1" t="s">
        <v>26</v>
      </c>
    </row>
    <row r="199" ht="15.75" customHeight="1">
      <c r="A199" s="1" t="s">
        <v>235</v>
      </c>
      <c r="B199" s="1" t="s">
        <v>32</v>
      </c>
      <c r="C199" s="1">
        <v>0.0</v>
      </c>
      <c r="D199" s="1" t="s">
        <v>26</v>
      </c>
      <c r="E199" s="1" t="s">
        <v>26</v>
      </c>
      <c r="F199" s="1">
        <v>59.0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1">
        <v>111.35</v>
      </c>
      <c r="T199" s="1">
        <v>6519.75</v>
      </c>
      <c r="U199" s="1">
        <v>0.0</v>
      </c>
      <c r="V199" s="1">
        <v>0.0</v>
      </c>
      <c r="W199" s="1" t="s">
        <v>26</v>
      </c>
    </row>
    <row r="200" ht="15.75" customHeight="1">
      <c r="A200" s="1" t="s">
        <v>236</v>
      </c>
      <c r="B200" s="1" t="s">
        <v>32</v>
      </c>
      <c r="C200" s="1">
        <v>0.0</v>
      </c>
      <c r="D200" s="1" t="s">
        <v>25</v>
      </c>
      <c r="E200" s="1" t="s">
        <v>25</v>
      </c>
      <c r="F200" s="1">
        <v>72.0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1">
        <v>112.25</v>
      </c>
      <c r="T200" s="1">
        <v>8041.65</v>
      </c>
      <c r="U200" s="1">
        <v>0.0</v>
      </c>
      <c r="V200" s="1">
        <v>0.0</v>
      </c>
      <c r="W200" s="1" t="s">
        <v>26</v>
      </c>
    </row>
    <row r="201" ht="15.75" customHeight="1">
      <c r="A201" s="1" t="s">
        <v>237</v>
      </c>
      <c r="B201" s="1" t="s">
        <v>32</v>
      </c>
      <c r="C201" s="1">
        <v>0.0</v>
      </c>
      <c r="D201" s="1" t="s">
        <v>26</v>
      </c>
      <c r="E201" s="1" t="s">
        <v>25</v>
      </c>
      <c r="F201" s="1">
        <v>1.0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1">
        <v>20.75</v>
      </c>
      <c r="T201" s="1">
        <v>20.75</v>
      </c>
      <c r="U201" s="1">
        <v>0.0</v>
      </c>
      <c r="V201" s="1">
        <v>0.0</v>
      </c>
      <c r="W201" s="1" t="s">
        <v>26</v>
      </c>
    </row>
    <row r="202" ht="15.75" customHeight="1">
      <c r="A202" s="1" t="s">
        <v>238</v>
      </c>
      <c r="B202" s="1" t="s">
        <v>24</v>
      </c>
      <c r="C202" s="1">
        <v>0.0</v>
      </c>
      <c r="D202" s="1" t="s">
        <v>25</v>
      </c>
      <c r="E202" s="1" t="s">
        <v>26</v>
      </c>
      <c r="F202" s="1">
        <v>27.0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1">
        <v>101.9</v>
      </c>
      <c r="T202" s="1">
        <v>2681.15</v>
      </c>
      <c r="U202" s="1">
        <v>0.0</v>
      </c>
      <c r="V202" s="1">
        <v>0.0</v>
      </c>
      <c r="W202" s="1" t="s">
        <v>26</v>
      </c>
    </row>
    <row r="203" ht="15.75" customHeight="1">
      <c r="A203" s="1" t="s">
        <v>239</v>
      </c>
      <c r="B203" s="1" t="s">
        <v>24</v>
      </c>
      <c r="C203" s="1">
        <v>0.0</v>
      </c>
      <c r="D203" s="1" t="s">
        <v>26</v>
      </c>
      <c r="E203" s="1" t="s">
        <v>26</v>
      </c>
      <c r="F203" s="1">
        <v>14.0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1">
        <v>80.05</v>
      </c>
      <c r="T203" s="1">
        <v>1112.3</v>
      </c>
      <c r="U203" s="1">
        <v>0.0</v>
      </c>
      <c r="V203" s="1">
        <v>0.0</v>
      </c>
      <c r="W203" s="1" t="s">
        <v>26</v>
      </c>
    </row>
    <row r="204" ht="15.75" customHeight="1">
      <c r="A204" s="1" t="s">
        <v>240</v>
      </c>
      <c r="B204" s="1" t="s">
        <v>32</v>
      </c>
      <c r="C204" s="1">
        <v>0.0</v>
      </c>
      <c r="D204" s="1" t="s">
        <v>25</v>
      </c>
      <c r="E204" s="1" t="s">
        <v>25</v>
      </c>
      <c r="F204" s="1">
        <v>71.0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1">
        <v>105.55</v>
      </c>
      <c r="T204" s="1">
        <v>7405.5</v>
      </c>
      <c r="U204" s="1">
        <v>0.0</v>
      </c>
      <c r="V204" s="1">
        <v>0.0</v>
      </c>
      <c r="W204" s="1" t="s">
        <v>26</v>
      </c>
    </row>
    <row r="205" ht="15.75" customHeight="1">
      <c r="A205" s="1" t="s">
        <v>241</v>
      </c>
      <c r="B205" s="1" t="s">
        <v>32</v>
      </c>
      <c r="C205" s="1">
        <v>0.0</v>
      </c>
      <c r="D205" s="1" t="s">
        <v>26</v>
      </c>
      <c r="E205" s="1" t="s">
        <v>25</v>
      </c>
      <c r="F205" s="1">
        <v>13.0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1">
        <v>78.3</v>
      </c>
      <c r="T205" s="1">
        <v>1033.95</v>
      </c>
      <c r="U205" s="1">
        <v>0.0</v>
      </c>
      <c r="V205" s="1">
        <v>0.0</v>
      </c>
      <c r="W205" s="1" t="s">
        <v>26</v>
      </c>
    </row>
    <row r="206" ht="15.75" customHeight="1">
      <c r="A206" s="1" t="s">
        <v>242</v>
      </c>
      <c r="B206" s="1" t="s">
        <v>32</v>
      </c>
      <c r="C206" s="1">
        <v>0.0</v>
      </c>
      <c r="D206" s="1" t="s">
        <v>26</v>
      </c>
      <c r="E206" s="1" t="s">
        <v>26</v>
      </c>
      <c r="F206" s="1">
        <v>44.0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1">
        <v>68.85</v>
      </c>
      <c r="T206" s="1">
        <v>2958.95</v>
      </c>
      <c r="U206" s="1">
        <v>0.0</v>
      </c>
      <c r="V206" s="1">
        <v>0.0</v>
      </c>
      <c r="W206" s="1" t="s">
        <v>26</v>
      </c>
    </row>
    <row r="207" ht="15.75" customHeight="1">
      <c r="A207" s="1" t="s">
        <v>243</v>
      </c>
      <c r="B207" s="1" t="s">
        <v>24</v>
      </c>
      <c r="C207" s="1">
        <v>0.0</v>
      </c>
      <c r="D207" s="1" t="s">
        <v>26</v>
      </c>
      <c r="E207" s="1" t="s">
        <v>26</v>
      </c>
      <c r="F207" s="1">
        <v>33.0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1">
        <v>79.95</v>
      </c>
      <c r="T207" s="1">
        <v>2684.85</v>
      </c>
      <c r="U207" s="1">
        <v>5.0</v>
      </c>
      <c r="V207" s="1">
        <v>0.0</v>
      </c>
      <c r="W207" s="1" t="s">
        <v>26</v>
      </c>
    </row>
    <row r="208" ht="15.75" customHeight="1">
      <c r="A208" s="1" t="s">
        <v>244</v>
      </c>
      <c r="B208" s="1" t="s">
        <v>32</v>
      </c>
      <c r="C208" s="1">
        <v>0.0</v>
      </c>
      <c r="D208" s="1" t="s">
        <v>25</v>
      </c>
      <c r="E208" s="1" t="s">
        <v>25</v>
      </c>
      <c r="F208" s="1">
        <v>72.0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1">
        <v>55.45</v>
      </c>
      <c r="T208" s="1">
        <v>4179.2</v>
      </c>
      <c r="U208" s="1">
        <v>0.0</v>
      </c>
      <c r="V208" s="1">
        <v>0.0</v>
      </c>
      <c r="W208" s="1" t="s">
        <v>26</v>
      </c>
    </row>
    <row r="209" ht="15.75" customHeight="1">
      <c r="A209" s="1" t="s">
        <v>245</v>
      </c>
      <c r="B209" s="1" t="s">
        <v>32</v>
      </c>
      <c r="C209" s="1">
        <v>0.0</v>
      </c>
      <c r="D209" s="1" t="s">
        <v>26</v>
      </c>
      <c r="E209" s="1" t="s">
        <v>26</v>
      </c>
      <c r="F209" s="1">
        <v>1.0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1">
        <v>79.9</v>
      </c>
      <c r="T209" s="1">
        <v>79.9</v>
      </c>
      <c r="U209" s="1">
        <v>0.0</v>
      </c>
      <c r="V209" s="1">
        <v>0.0</v>
      </c>
      <c r="W209" s="1" t="s">
        <v>25</v>
      </c>
    </row>
    <row r="210" ht="15.75" customHeight="1">
      <c r="A210" s="1" t="s">
        <v>246</v>
      </c>
      <c r="B210" s="1" t="s">
        <v>24</v>
      </c>
      <c r="C210" s="1">
        <v>0.0</v>
      </c>
      <c r="D210" s="1" t="s">
        <v>26</v>
      </c>
      <c r="E210" s="1" t="s">
        <v>26</v>
      </c>
      <c r="F210" s="1">
        <v>19.0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1">
        <v>106.6</v>
      </c>
      <c r="T210" s="1">
        <v>1934.45</v>
      </c>
      <c r="U210" s="1">
        <v>0.0</v>
      </c>
      <c r="V210" s="1">
        <v>1.0</v>
      </c>
      <c r="W210" s="1" t="s">
        <v>25</v>
      </c>
    </row>
    <row r="211" ht="15.75" customHeight="1">
      <c r="A211" s="1" t="s">
        <v>247</v>
      </c>
      <c r="B211" s="1" t="s">
        <v>32</v>
      </c>
      <c r="C211" s="1">
        <v>0.0</v>
      </c>
      <c r="D211" s="1" t="s">
        <v>25</v>
      </c>
      <c r="E211" s="1" t="s">
        <v>26</v>
      </c>
      <c r="F211" s="1">
        <v>64.0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1">
        <v>102.45</v>
      </c>
      <c r="T211" s="1">
        <v>6654.1</v>
      </c>
      <c r="U211" s="1">
        <v>0.0</v>
      </c>
      <c r="V211" s="1">
        <v>0.0</v>
      </c>
      <c r="W211" s="1" t="s">
        <v>26</v>
      </c>
    </row>
    <row r="212" ht="15.75" customHeight="1">
      <c r="A212" s="1" t="s">
        <v>248</v>
      </c>
      <c r="B212" s="1" t="s">
        <v>32</v>
      </c>
      <c r="C212" s="1">
        <v>0.0</v>
      </c>
      <c r="D212" s="1" t="s">
        <v>26</v>
      </c>
      <c r="E212" s="1" t="s">
        <v>26</v>
      </c>
      <c r="F212" s="1">
        <v>2.0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1">
        <v>46.0</v>
      </c>
      <c r="T212" s="1">
        <v>84.5</v>
      </c>
      <c r="U212" s="1">
        <v>0.0</v>
      </c>
      <c r="V212" s="1">
        <v>0.0</v>
      </c>
      <c r="W212" s="1" t="s">
        <v>25</v>
      </c>
    </row>
    <row r="213" ht="15.75" customHeight="1">
      <c r="A213" s="1" t="s">
        <v>249</v>
      </c>
      <c r="B213" s="1" t="s">
        <v>24</v>
      </c>
      <c r="C213" s="1">
        <v>0.0</v>
      </c>
      <c r="D213" s="1" t="s">
        <v>26</v>
      </c>
      <c r="E213" s="1" t="s">
        <v>26</v>
      </c>
      <c r="F213" s="1">
        <v>1.0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1">
        <v>25.25</v>
      </c>
      <c r="T213" s="1">
        <v>25.25</v>
      </c>
      <c r="U213" s="1">
        <v>5.0</v>
      </c>
      <c r="V213" s="1">
        <v>0.0</v>
      </c>
      <c r="W213" s="1" t="s">
        <v>26</v>
      </c>
    </row>
    <row r="214" ht="15.75" customHeight="1">
      <c r="A214" s="1" t="s">
        <v>250</v>
      </c>
      <c r="B214" s="1" t="s">
        <v>32</v>
      </c>
      <c r="C214" s="1">
        <v>0.0</v>
      </c>
      <c r="D214" s="1" t="s">
        <v>26</v>
      </c>
      <c r="E214" s="1" t="s">
        <v>25</v>
      </c>
      <c r="F214" s="1">
        <v>61.0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1">
        <v>19.75</v>
      </c>
      <c r="T214" s="1">
        <v>1124.2</v>
      </c>
      <c r="U214" s="1">
        <v>0.0</v>
      </c>
      <c r="V214" s="1">
        <v>0.0</v>
      </c>
      <c r="W214" s="1" t="s">
        <v>26</v>
      </c>
    </row>
    <row r="215" ht="15.75" customHeight="1">
      <c r="A215" s="1" t="s">
        <v>251</v>
      </c>
      <c r="B215" s="1" t="s">
        <v>24</v>
      </c>
      <c r="C215" s="1">
        <v>0.0</v>
      </c>
      <c r="D215" s="1" t="s">
        <v>25</v>
      </c>
      <c r="E215" s="1" t="s">
        <v>25</v>
      </c>
      <c r="F215" s="1">
        <v>29.0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1">
        <v>20.0</v>
      </c>
      <c r="T215" s="1">
        <v>540.05</v>
      </c>
      <c r="U215" s="1">
        <v>0.0</v>
      </c>
      <c r="V215" s="1">
        <v>0.0</v>
      </c>
      <c r="W215" s="1" t="s">
        <v>26</v>
      </c>
    </row>
    <row r="216" ht="15.75" customHeight="1">
      <c r="A216" s="1" t="s">
        <v>252</v>
      </c>
      <c r="B216" s="1" t="s">
        <v>32</v>
      </c>
      <c r="C216" s="1">
        <v>1.0</v>
      </c>
      <c r="D216" s="1" t="s">
        <v>25</v>
      </c>
      <c r="E216" s="1" t="s">
        <v>26</v>
      </c>
      <c r="F216" s="1">
        <v>23.0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1">
        <v>86.8</v>
      </c>
      <c r="T216" s="1">
        <v>1975.85</v>
      </c>
      <c r="U216" s="1">
        <v>4.0</v>
      </c>
      <c r="V216" s="1">
        <v>0.0</v>
      </c>
      <c r="W216" s="1" t="s">
        <v>26</v>
      </c>
    </row>
    <row r="217" ht="15.75" customHeight="1">
      <c r="A217" s="1" t="s">
        <v>253</v>
      </c>
      <c r="B217" s="1" t="s">
        <v>24</v>
      </c>
      <c r="C217" s="1">
        <v>0.0</v>
      </c>
      <c r="D217" s="1" t="s">
        <v>25</v>
      </c>
      <c r="E217" s="1" t="s">
        <v>26</v>
      </c>
      <c r="F217" s="1">
        <v>57.0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1">
        <v>58.75</v>
      </c>
      <c r="T217" s="1">
        <v>3437.45</v>
      </c>
      <c r="U217" s="1">
        <v>0.0</v>
      </c>
      <c r="V217" s="1">
        <v>1.0</v>
      </c>
      <c r="W217" s="1" t="s">
        <v>26</v>
      </c>
    </row>
    <row r="218" ht="15.75" customHeight="1">
      <c r="A218" s="1" t="s">
        <v>254</v>
      </c>
      <c r="B218" s="1" t="s">
        <v>32</v>
      </c>
      <c r="C218" s="1">
        <v>0.0</v>
      </c>
      <c r="D218" s="1" t="s">
        <v>25</v>
      </c>
      <c r="E218" s="1" t="s">
        <v>25</v>
      </c>
      <c r="F218" s="1">
        <v>72.0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1">
        <v>45.25</v>
      </c>
      <c r="T218" s="1">
        <v>3139.8</v>
      </c>
      <c r="U218" s="1">
        <v>0.0</v>
      </c>
      <c r="V218" s="1">
        <v>0.0</v>
      </c>
      <c r="W218" s="1" t="s">
        <v>26</v>
      </c>
    </row>
    <row r="219" ht="15.75" customHeight="1">
      <c r="A219" s="1" t="s">
        <v>255</v>
      </c>
      <c r="B219" s="1" t="s">
        <v>32</v>
      </c>
      <c r="C219" s="1">
        <v>0.0</v>
      </c>
      <c r="D219" s="1" t="s">
        <v>25</v>
      </c>
      <c r="E219" s="1" t="s">
        <v>26</v>
      </c>
      <c r="F219" s="1">
        <v>66.0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1">
        <v>56.6</v>
      </c>
      <c r="T219" s="1">
        <v>3789.2</v>
      </c>
      <c r="U219" s="1">
        <v>0.0</v>
      </c>
      <c r="V219" s="1">
        <v>0.0</v>
      </c>
      <c r="W219" s="1" t="s">
        <v>26</v>
      </c>
    </row>
    <row r="220" ht="15.75" customHeight="1">
      <c r="A220" s="1" t="s">
        <v>256</v>
      </c>
      <c r="B220" s="1" t="s">
        <v>32</v>
      </c>
      <c r="C220" s="1">
        <v>0.0</v>
      </c>
      <c r="D220" s="1" t="s">
        <v>25</v>
      </c>
      <c r="E220" s="1" t="s">
        <v>25</v>
      </c>
      <c r="F220" s="1">
        <v>65.0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1">
        <v>84.2</v>
      </c>
      <c r="T220" s="1">
        <v>5324.5</v>
      </c>
      <c r="U220" s="1">
        <v>0.0</v>
      </c>
      <c r="V220" s="1">
        <v>0.0</v>
      </c>
      <c r="W220" s="1" t="s">
        <v>26</v>
      </c>
    </row>
    <row r="221" ht="15.75" customHeight="1">
      <c r="A221" s="1" t="s">
        <v>257</v>
      </c>
      <c r="B221" s="1" t="s">
        <v>24</v>
      </c>
      <c r="C221" s="1">
        <v>0.0</v>
      </c>
      <c r="D221" s="1" t="s">
        <v>26</v>
      </c>
      <c r="E221" s="1" t="s">
        <v>26</v>
      </c>
      <c r="F221" s="1">
        <v>8.0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1">
        <v>80.0</v>
      </c>
      <c r="T221" s="1">
        <v>624.6</v>
      </c>
      <c r="U221" s="1">
        <v>0.0</v>
      </c>
      <c r="V221" s="1">
        <v>0.0</v>
      </c>
      <c r="W221" s="1" t="s">
        <v>26</v>
      </c>
    </row>
    <row r="222" ht="15.75" customHeight="1">
      <c r="A222" s="1" t="s">
        <v>258</v>
      </c>
      <c r="B222" s="1" t="s">
        <v>24</v>
      </c>
      <c r="C222" s="1">
        <v>0.0</v>
      </c>
      <c r="D222" s="1" t="s">
        <v>26</v>
      </c>
      <c r="E222" s="1" t="s">
        <v>26</v>
      </c>
      <c r="F222" s="1">
        <v>4.0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1">
        <v>70.15</v>
      </c>
      <c r="T222" s="1">
        <v>268.35</v>
      </c>
      <c r="U222" s="1">
        <v>0.0</v>
      </c>
      <c r="V222" s="1">
        <v>0.0</v>
      </c>
      <c r="W222" s="1" t="s">
        <v>25</v>
      </c>
    </row>
    <row r="223" ht="15.75" customHeight="1">
      <c r="A223" s="1" t="s">
        <v>259</v>
      </c>
      <c r="B223" s="1" t="s">
        <v>24</v>
      </c>
      <c r="C223" s="1">
        <v>0.0</v>
      </c>
      <c r="D223" s="1" t="s">
        <v>25</v>
      </c>
      <c r="E223" s="1" t="s">
        <v>26</v>
      </c>
      <c r="F223" s="1">
        <v>71.0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1">
        <v>24.75</v>
      </c>
      <c r="T223" s="1">
        <v>1836.9</v>
      </c>
      <c r="U223" s="1">
        <v>0.0</v>
      </c>
      <c r="V223" s="1">
        <v>0.0</v>
      </c>
      <c r="W223" s="1" t="s">
        <v>26</v>
      </c>
    </row>
    <row r="224" ht="15.75" customHeight="1">
      <c r="A224" s="1" t="s">
        <v>260</v>
      </c>
      <c r="B224" s="1" t="s">
        <v>32</v>
      </c>
      <c r="C224" s="1">
        <v>0.0</v>
      </c>
      <c r="D224" s="1" t="s">
        <v>25</v>
      </c>
      <c r="E224" s="1" t="s">
        <v>25</v>
      </c>
      <c r="F224" s="1">
        <v>1.0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1">
        <v>20.2</v>
      </c>
      <c r="T224" s="1">
        <v>20.2</v>
      </c>
      <c r="U224" s="1">
        <v>0.0</v>
      </c>
      <c r="V224" s="1">
        <v>0.0</v>
      </c>
      <c r="W224" s="1" t="s">
        <v>26</v>
      </c>
    </row>
    <row r="225" ht="15.75" customHeight="1">
      <c r="A225" s="1" t="s">
        <v>261</v>
      </c>
      <c r="B225" s="1" t="s">
        <v>32</v>
      </c>
      <c r="C225" s="1">
        <v>0.0</v>
      </c>
      <c r="D225" s="1" t="s">
        <v>25</v>
      </c>
      <c r="E225" s="1" t="s">
        <v>26</v>
      </c>
      <c r="F225" s="1">
        <v>4.0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1">
        <v>50.05</v>
      </c>
      <c r="T225" s="1">
        <v>179.35</v>
      </c>
      <c r="U225" s="1">
        <v>0.0</v>
      </c>
      <c r="V225" s="1">
        <v>0.0</v>
      </c>
      <c r="W225" s="1" t="s">
        <v>25</v>
      </c>
    </row>
    <row r="226" ht="15.75" customHeight="1">
      <c r="A226" s="1" t="s">
        <v>262</v>
      </c>
      <c r="B226" s="1" t="s">
        <v>24</v>
      </c>
      <c r="C226" s="1">
        <v>0.0</v>
      </c>
      <c r="D226" s="1" t="s">
        <v>26</v>
      </c>
      <c r="E226" s="1" t="s">
        <v>26</v>
      </c>
      <c r="F226" s="1">
        <v>12.0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1">
        <v>19.35</v>
      </c>
      <c r="T226" s="1">
        <v>219.35</v>
      </c>
      <c r="U226" s="1">
        <v>0.0</v>
      </c>
      <c r="V226" s="1">
        <v>0.0</v>
      </c>
      <c r="W226" s="1" t="s">
        <v>26</v>
      </c>
    </row>
    <row r="227" ht="15.75" customHeight="1">
      <c r="A227" s="1" t="s">
        <v>263</v>
      </c>
      <c r="B227" s="1" t="s">
        <v>32</v>
      </c>
      <c r="C227" s="1">
        <v>0.0</v>
      </c>
      <c r="D227" s="1" t="s">
        <v>26</v>
      </c>
      <c r="E227" s="1" t="s">
        <v>26</v>
      </c>
      <c r="F227" s="1">
        <v>24.0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1">
        <v>50.6</v>
      </c>
      <c r="T227" s="1">
        <v>1288.75</v>
      </c>
      <c r="U227" s="1">
        <v>0.0</v>
      </c>
      <c r="V227" s="1">
        <v>0.0</v>
      </c>
      <c r="W227" s="1" t="s">
        <v>26</v>
      </c>
    </row>
    <row r="228" ht="15.75" customHeight="1">
      <c r="A228" s="1" t="s">
        <v>264</v>
      </c>
      <c r="B228" s="1" t="s">
        <v>24</v>
      </c>
      <c r="C228" s="1">
        <v>0.0</v>
      </c>
      <c r="D228" s="1" t="s">
        <v>25</v>
      </c>
      <c r="E228" s="1" t="s">
        <v>25</v>
      </c>
      <c r="F228" s="1">
        <v>31.0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1">
        <v>81.15</v>
      </c>
      <c r="T228" s="1">
        <v>2545.75</v>
      </c>
      <c r="U228" s="1">
        <v>0.0</v>
      </c>
      <c r="V228" s="1">
        <v>0.0</v>
      </c>
      <c r="W228" s="1" t="s">
        <v>26</v>
      </c>
    </row>
    <row r="229" ht="15.75" customHeight="1">
      <c r="A229" s="1" t="s">
        <v>265</v>
      </c>
      <c r="B229" s="1" t="s">
        <v>24</v>
      </c>
      <c r="C229" s="1">
        <v>0.0</v>
      </c>
      <c r="D229" s="1" t="s">
        <v>25</v>
      </c>
      <c r="E229" s="1" t="s">
        <v>26</v>
      </c>
      <c r="F229" s="1">
        <v>1.0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1">
        <v>55.2</v>
      </c>
      <c r="T229" s="1">
        <v>55.2</v>
      </c>
      <c r="U229" s="1">
        <v>0.0</v>
      </c>
      <c r="V229" s="1">
        <v>0.0</v>
      </c>
      <c r="W229" s="1" t="s">
        <v>25</v>
      </c>
    </row>
    <row r="230" ht="15.75" customHeight="1">
      <c r="A230" s="1" t="s">
        <v>266</v>
      </c>
      <c r="B230" s="1" t="s">
        <v>32</v>
      </c>
      <c r="C230" s="1">
        <v>0.0</v>
      </c>
      <c r="D230" s="1" t="s">
        <v>26</v>
      </c>
      <c r="E230" s="1" t="s">
        <v>26</v>
      </c>
      <c r="F230" s="1">
        <v>30.0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1">
        <v>89.9</v>
      </c>
      <c r="T230" s="1">
        <v>2723.15</v>
      </c>
      <c r="U230" s="1">
        <v>0.0</v>
      </c>
      <c r="V230" s="1">
        <v>0.0</v>
      </c>
      <c r="W230" s="1" t="s">
        <v>26</v>
      </c>
    </row>
    <row r="231" ht="15.75" customHeight="1">
      <c r="A231" s="1" t="s">
        <v>267</v>
      </c>
      <c r="B231" s="1" t="s">
        <v>24</v>
      </c>
      <c r="C231" s="1">
        <v>0.0</v>
      </c>
      <c r="D231" s="1" t="s">
        <v>25</v>
      </c>
      <c r="E231" s="1" t="s">
        <v>25</v>
      </c>
      <c r="F231" s="1">
        <v>47.0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1">
        <v>85.3</v>
      </c>
      <c r="T231" s="1">
        <v>4107.25</v>
      </c>
      <c r="U231" s="1">
        <v>0.0</v>
      </c>
      <c r="V231" s="1">
        <v>0.0</v>
      </c>
      <c r="W231" s="1" t="s">
        <v>26</v>
      </c>
    </row>
    <row r="232" ht="15.75" customHeight="1">
      <c r="A232" s="1" t="s">
        <v>268</v>
      </c>
      <c r="B232" s="1" t="s">
        <v>32</v>
      </c>
      <c r="C232" s="1">
        <v>0.0</v>
      </c>
      <c r="D232" s="1" t="s">
        <v>26</v>
      </c>
      <c r="E232" s="1" t="s">
        <v>26</v>
      </c>
      <c r="F232" s="1">
        <v>54.0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1">
        <v>108.0</v>
      </c>
      <c r="T232" s="1">
        <v>5760.65</v>
      </c>
      <c r="U232" s="1">
        <v>0.0</v>
      </c>
      <c r="V232" s="1">
        <v>0.0</v>
      </c>
      <c r="W232" s="1" t="s">
        <v>26</v>
      </c>
    </row>
    <row r="233" ht="15.75" customHeight="1">
      <c r="A233" s="1" t="s">
        <v>269</v>
      </c>
      <c r="B233" s="1" t="s">
        <v>32</v>
      </c>
      <c r="C233" s="1">
        <v>0.0</v>
      </c>
      <c r="D233" s="1" t="s">
        <v>26</v>
      </c>
      <c r="E233" s="1" t="s">
        <v>26</v>
      </c>
      <c r="F233" s="1">
        <v>50.0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1">
        <v>93.5</v>
      </c>
      <c r="T233" s="1">
        <v>4747.5</v>
      </c>
      <c r="U233" s="1">
        <v>0.0</v>
      </c>
      <c r="V233" s="1">
        <v>0.0</v>
      </c>
      <c r="W233" s="1" t="s">
        <v>26</v>
      </c>
    </row>
    <row r="234" ht="15.75" customHeight="1">
      <c r="A234" s="1" t="s">
        <v>270</v>
      </c>
      <c r="B234" s="1" t="s">
        <v>32</v>
      </c>
      <c r="C234" s="1">
        <v>0.0</v>
      </c>
      <c r="D234" s="1" t="s">
        <v>26</v>
      </c>
      <c r="E234" s="1" t="s">
        <v>26</v>
      </c>
      <c r="F234" s="1">
        <v>1.0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1">
        <v>84.6</v>
      </c>
      <c r="T234" s="1">
        <v>84.6</v>
      </c>
      <c r="U234" s="1">
        <v>0.0</v>
      </c>
      <c r="V234" s="1">
        <v>1.0</v>
      </c>
      <c r="W234" s="1" t="s">
        <v>25</v>
      </c>
    </row>
    <row r="235" ht="15.75" customHeight="1">
      <c r="A235" s="1" t="s">
        <v>271</v>
      </c>
      <c r="B235" s="1" t="s">
        <v>24</v>
      </c>
      <c r="C235" s="1">
        <v>0.0</v>
      </c>
      <c r="D235" s="1" t="s">
        <v>26</v>
      </c>
      <c r="E235" s="1" t="s">
        <v>26</v>
      </c>
      <c r="F235" s="1">
        <v>72.0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1">
        <v>20.25</v>
      </c>
      <c r="T235" s="1">
        <v>1566.9</v>
      </c>
      <c r="U235" s="1">
        <v>0.0</v>
      </c>
      <c r="V235" s="1">
        <v>0.0</v>
      </c>
      <c r="W235" s="1" t="s">
        <v>26</v>
      </c>
    </row>
    <row r="236" ht="15.75" customHeight="1">
      <c r="A236" s="1" t="s">
        <v>272</v>
      </c>
      <c r="B236" s="1" t="s">
        <v>24</v>
      </c>
      <c r="C236" s="1">
        <v>0.0</v>
      </c>
      <c r="D236" s="1" t="s">
        <v>26</v>
      </c>
      <c r="E236" s="1" t="s">
        <v>26</v>
      </c>
      <c r="F236" s="1">
        <v>29.0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1">
        <v>25.15</v>
      </c>
      <c r="T236" s="1">
        <v>702.0</v>
      </c>
      <c r="U236" s="1">
        <v>0.0</v>
      </c>
      <c r="V236" s="1">
        <v>0.0</v>
      </c>
      <c r="W236" s="1" t="s">
        <v>26</v>
      </c>
    </row>
    <row r="237" ht="15.75" customHeight="1">
      <c r="A237" s="1" t="s">
        <v>273</v>
      </c>
      <c r="B237" s="1" t="s">
        <v>32</v>
      </c>
      <c r="C237" s="1">
        <v>0.0</v>
      </c>
      <c r="D237" s="1" t="s">
        <v>26</v>
      </c>
      <c r="E237" s="1" t="s">
        <v>26</v>
      </c>
      <c r="F237" s="1">
        <v>2.0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1">
        <v>54.4</v>
      </c>
      <c r="T237" s="1">
        <v>114.1</v>
      </c>
      <c r="U237" s="1">
        <v>0.0</v>
      </c>
      <c r="V237" s="1">
        <v>0.0</v>
      </c>
      <c r="W237" s="1" t="s">
        <v>25</v>
      </c>
    </row>
    <row r="238" ht="15.75" customHeight="1">
      <c r="A238" s="1" t="s">
        <v>274</v>
      </c>
      <c r="B238" s="1" t="s">
        <v>24</v>
      </c>
      <c r="C238" s="1">
        <v>0.0</v>
      </c>
      <c r="D238" s="1" t="s">
        <v>26</v>
      </c>
      <c r="E238" s="1" t="s">
        <v>26</v>
      </c>
      <c r="F238" s="1">
        <v>10.0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1">
        <v>29.6</v>
      </c>
      <c r="T238" s="1">
        <v>299.05</v>
      </c>
      <c r="U238" s="1">
        <v>0.0</v>
      </c>
      <c r="V238" s="1">
        <v>0.0</v>
      </c>
      <c r="W238" s="1" t="s">
        <v>26</v>
      </c>
    </row>
    <row r="239" ht="15.75" customHeight="1">
      <c r="A239" s="1" t="s">
        <v>275</v>
      </c>
      <c r="B239" s="1" t="s">
        <v>32</v>
      </c>
      <c r="C239" s="1">
        <v>0.0</v>
      </c>
      <c r="D239" s="1" t="s">
        <v>25</v>
      </c>
      <c r="E239" s="1" t="s">
        <v>26</v>
      </c>
      <c r="F239" s="1">
        <v>18.0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1">
        <v>73.15</v>
      </c>
      <c r="T239" s="1">
        <v>1305.95</v>
      </c>
      <c r="U239" s="1">
        <v>0.0</v>
      </c>
      <c r="V239" s="1">
        <v>0.0</v>
      </c>
      <c r="W239" s="1" t="s">
        <v>26</v>
      </c>
    </row>
    <row r="240" ht="15.75" customHeight="1">
      <c r="A240" s="1" t="s">
        <v>276</v>
      </c>
      <c r="B240" s="1" t="s">
        <v>24</v>
      </c>
      <c r="C240" s="1">
        <v>1.0</v>
      </c>
      <c r="D240" s="1" t="s">
        <v>26</v>
      </c>
      <c r="E240" s="1" t="s">
        <v>26</v>
      </c>
      <c r="F240" s="1">
        <v>11.0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1">
        <v>95.0</v>
      </c>
      <c r="T240" s="1">
        <v>1120.3</v>
      </c>
      <c r="U240" s="1">
        <v>0.0</v>
      </c>
      <c r="V240" s="1">
        <v>0.0</v>
      </c>
      <c r="W240" s="1" t="s">
        <v>25</v>
      </c>
    </row>
    <row r="241" ht="15.75" customHeight="1">
      <c r="A241" s="1" t="s">
        <v>277</v>
      </c>
      <c r="B241" s="1" t="s">
        <v>32</v>
      </c>
      <c r="C241" s="1">
        <v>0.0</v>
      </c>
      <c r="D241" s="1" t="s">
        <v>26</v>
      </c>
      <c r="E241" s="1" t="s">
        <v>26</v>
      </c>
      <c r="F241" s="1">
        <v>16.0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1">
        <v>19.75</v>
      </c>
      <c r="T241" s="1">
        <v>284.35</v>
      </c>
      <c r="U241" s="1">
        <v>0.0</v>
      </c>
      <c r="V241" s="1">
        <v>0.0</v>
      </c>
      <c r="W241" s="1" t="s">
        <v>26</v>
      </c>
    </row>
    <row r="242" ht="15.75" customHeight="1">
      <c r="A242" s="1" t="s">
        <v>278</v>
      </c>
      <c r="B242" s="1" t="s">
        <v>24</v>
      </c>
      <c r="C242" s="1">
        <v>0.0</v>
      </c>
      <c r="D242" s="1" t="s">
        <v>26</v>
      </c>
      <c r="E242" s="1" t="s">
        <v>26</v>
      </c>
      <c r="F242" s="1">
        <v>72.0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1">
        <v>86.6</v>
      </c>
      <c r="T242" s="1">
        <v>6350.5</v>
      </c>
      <c r="U242" s="1">
        <v>0.0</v>
      </c>
      <c r="V242" s="1">
        <v>1.0</v>
      </c>
      <c r="W242" s="1" t="s">
        <v>26</v>
      </c>
    </row>
    <row r="243" ht="15.75" customHeight="1">
      <c r="A243" s="1" t="s">
        <v>279</v>
      </c>
      <c r="B243" s="1" t="s">
        <v>32</v>
      </c>
      <c r="C243" s="1">
        <v>0.0</v>
      </c>
      <c r="D243" s="1" t="s">
        <v>26</v>
      </c>
      <c r="E243" s="1" t="s">
        <v>26</v>
      </c>
      <c r="F243" s="1">
        <v>72.0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1">
        <v>109.2</v>
      </c>
      <c r="T243" s="1">
        <v>7878.3</v>
      </c>
      <c r="U243" s="1">
        <v>4.0</v>
      </c>
      <c r="V243" s="1">
        <v>0.0</v>
      </c>
      <c r="W243" s="1" t="s">
        <v>26</v>
      </c>
    </row>
    <row r="244" ht="15.75" customHeight="1">
      <c r="A244" s="1" t="s">
        <v>280</v>
      </c>
      <c r="B244" s="1" t="s">
        <v>24</v>
      </c>
      <c r="C244" s="1">
        <v>0.0</v>
      </c>
      <c r="D244" s="1" t="s">
        <v>25</v>
      </c>
      <c r="E244" s="1" t="s">
        <v>25</v>
      </c>
      <c r="F244" s="1">
        <v>41.0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1">
        <v>74.7</v>
      </c>
      <c r="T244" s="1">
        <v>3187.65</v>
      </c>
      <c r="U244" s="1">
        <v>0.0</v>
      </c>
      <c r="V244" s="1">
        <v>2.0</v>
      </c>
      <c r="W244" s="1" t="s">
        <v>26</v>
      </c>
    </row>
    <row r="245" ht="15.75" customHeight="1">
      <c r="A245" s="1" t="s">
        <v>281</v>
      </c>
      <c r="B245" s="1" t="s">
        <v>24</v>
      </c>
      <c r="C245" s="1">
        <v>1.0</v>
      </c>
      <c r="D245" s="1" t="s">
        <v>25</v>
      </c>
      <c r="E245" s="1" t="s">
        <v>26</v>
      </c>
      <c r="F245" s="1">
        <v>65.0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1">
        <v>94.4</v>
      </c>
      <c r="T245" s="1">
        <v>6126.15</v>
      </c>
      <c r="U245" s="1">
        <v>0.0</v>
      </c>
      <c r="V245" s="1">
        <v>0.0</v>
      </c>
      <c r="W245" s="1" t="s">
        <v>26</v>
      </c>
    </row>
    <row r="246" ht="15.75" customHeight="1">
      <c r="A246" s="1" t="s">
        <v>282</v>
      </c>
      <c r="B246" s="1" t="s">
        <v>24</v>
      </c>
      <c r="C246" s="1">
        <v>1.0</v>
      </c>
      <c r="D246" s="1" t="s">
        <v>26</v>
      </c>
      <c r="E246" s="1" t="s">
        <v>26</v>
      </c>
      <c r="F246" s="1">
        <v>13.0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1">
        <v>54.8</v>
      </c>
      <c r="T246" s="1">
        <v>731.3</v>
      </c>
      <c r="U246" s="1">
        <v>0.0</v>
      </c>
      <c r="V246" s="1">
        <v>0.0</v>
      </c>
      <c r="W246" s="1" t="s">
        <v>26</v>
      </c>
    </row>
    <row r="247" ht="15.75" customHeight="1">
      <c r="A247" s="1" t="s">
        <v>283</v>
      </c>
      <c r="B247" s="1" t="s">
        <v>32</v>
      </c>
      <c r="C247" s="1">
        <v>1.0</v>
      </c>
      <c r="D247" s="1" t="s">
        <v>26</v>
      </c>
      <c r="E247" s="1" t="s">
        <v>26</v>
      </c>
      <c r="F247" s="1">
        <v>4.0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1">
        <v>75.35</v>
      </c>
      <c r="T247" s="1">
        <v>273.4</v>
      </c>
      <c r="U247" s="1">
        <v>1.0</v>
      </c>
      <c r="V247" s="1">
        <v>0.0</v>
      </c>
      <c r="W247" s="1" t="s">
        <v>26</v>
      </c>
    </row>
    <row r="248" ht="15.75" customHeight="1">
      <c r="A248" s="1" t="s">
        <v>284</v>
      </c>
      <c r="B248" s="1" t="s">
        <v>32</v>
      </c>
      <c r="C248" s="1">
        <v>0.0</v>
      </c>
      <c r="D248" s="1" t="s">
        <v>26</v>
      </c>
      <c r="E248" s="1" t="s">
        <v>26</v>
      </c>
      <c r="F248" s="1">
        <v>41.0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1">
        <v>65.0</v>
      </c>
      <c r="T248" s="1">
        <v>2531.8</v>
      </c>
      <c r="U248" s="1">
        <v>0.0</v>
      </c>
      <c r="V248" s="1">
        <v>0.0</v>
      </c>
      <c r="W248" s="1" t="s">
        <v>26</v>
      </c>
    </row>
    <row r="249" ht="15.75" customHeight="1">
      <c r="A249" s="1" t="s">
        <v>285</v>
      </c>
      <c r="B249" s="1" t="s">
        <v>32</v>
      </c>
      <c r="C249" s="1">
        <v>1.0</v>
      </c>
      <c r="D249" s="1" t="s">
        <v>26</v>
      </c>
      <c r="E249" s="1" t="s">
        <v>26</v>
      </c>
      <c r="F249" s="1">
        <v>15.0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1">
        <v>74.4</v>
      </c>
      <c r="T249" s="1">
        <v>1074.3</v>
      </c>
      <c r="U249" s="1">
        <v>0.0</v>
      </c>
      <c r="V249" s="1">
        <v>0.0</v>
      </c>
      <c r="W249" s="1" t="s">
        <v>25</v>
      </c>
    </row>
    <row r="250" ht="15.75" customHeight="1">
      <c r="A250" s="1" t="s">
        <v>286</v>
      </c>
      <c r="B250" s="1" t="s">
        <v>32</v>
      </c>
      <c r="C250" s="1">
        <v>0.0</v>
      </c>
      <c r="D250" s="1" t="s">
        <v>26</v>
      </c>
      <c r="E250" s="1" t="s">
        <v>26</v>
      </c>
      <c r="F250" s="1">
        <v>1.0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1">
        <v>48.55</v>
      </c>
      <c r="T250" s="1">
        <v>48.55</v>
      </c>
      <c r="U250" s="1">
        <v>0.0</v>
      </c>
      <c r="V250" s="1">
        <v>0.0</v>
      </c>
      <c r="W250" s="1" t="s">
        <v>25</v>
      </c>
    </row>
    <row r="251" ht="15.75" customHeight="1">
      <c r="A251" s="1" t="s">
        <v>287</v>
      </c>
      <c r="B251" s="1" t="s">
        <v>32</v>
      </c>
      <c r="C251" s="1">
        <v>0.0</v>
      </c>
      <c r="D251" s="1" t="s">
        <v>26</v>
      </c>
      <c r="E251" s="1" t="s">
        <v>26</v>
      </c>
      <c r="F251" s="1">
        <v>42.0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1">
        <v>99.0</v>
      </c>
      <c r="T251" s="1">
        <v>4298.45</v>
      </c>
      <c r="U251" s="1">
        <v>0.0</v>
      </c>
      <c r="V251" s="1">
        <v>0.0</v>
      </c>
      <c r="W251" s="1" t="s">
        <v>26</v>
      </c>
    </row>
    <row r="252" ht="15.75" customHeight="1">
      <c r="A252" s="1" t="s">
        <v>288</v>
      </c>
      <c r="B252" s="1" t="s">
        <v>24</v>
      </c>
      <c r="C252" s="1">
        <v>0.0</v>
      </c>
      <c r="D252" s="1" t="s">
        <v>25</v>
      </c>
      <c r="E252" s="1" t="s">
        <v>26</v>
      </c>
      <c r="F252" s="1">
        <v>51.0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1">
        <v>93.5</v>
      </c>
      <c r="T252" s="1">
        <v>4619.55</v>
      </c>
      <c r="U252" s="1">
        <v>5.0</v>
      </c>
      <c r="V252" s="1">
        <v>0.0</v>
      </c>
      <c r="W252" s="1" t="s">
        <v>26</v>
      </c>
    </row>
    <row r="253" ht="15.75" customHeight="1">
      <c r="A253" s="1" t="s">
        <v>289</v>
      </c>
      <c r="B253" s="1" t="s">
        <v>24</v>
      </c>
      <c r="C253" s="1">
        <v>0.0</v>
      </c>
      <c r="D253" s="1" t="s">
        <v>25</v>
      </c>
      <c r="E253" s="1" t="s">
        <v>25</v>
      </c>
      <c r="F253" s="1">
        <v>2.0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1">
        <v>70.4</v>
      </c>
      <c r="T253" s="1">
        <v>147.15</v>
      </c>
      <c r="U253" s="1">
        <v>0.0</v>
      </c>
      <c r="V253" s="1">
        <v>0.0</v>
      </c>
      <c r="W253" s="1" t="s">
        <v>25</v>
      </c>
    </row>
    <row r="254" ht="15.75" customHeight="1">
      <c r="A254" s="1" t="s">
        <v>290</v>
      </c>
      <c r="B254" s="1" t="s">
        <v>32</v>
      </c>
      <c r="C254" s="1">
        <v>1.0</v>
      </c>
      <c r="D254" s="1" t="s">
        <v>25</v>
      </c>
      <c r="E254" s="1" t="s">
        <v>26</v>
      </c>
      <c r="F254" s="1">
        <v>1.0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1">
        <v>40.2</v>
      </c>
      <c r="T254" s="1">
        <v>40.2</v>
      </c>
      <c r="U254" s="1">
        <v>0.0</v>
      </c>
      <c r="V254" s="1">
        <v>0.0</v>
      </c>
      <c r="W254" s="1" t="s">
        <v>25</v>
      </c>
    </row>
    <row r="255" ht="15.75" customHeight="1">
      <c r="A255" s="1" t="s">
        <v>291</v>
      </c>
      <c r="B255" s="1" t="s">
        <v>32</v>
      </c>
      <c r="C255" s="1">
        <v>0.0</v>
      </c>
      <c r="D255" s="1" t="s">
        <v>26</v>
      </c>
      <c r="E255" s="1" t="s">
        <v>25</v>
      </c>
      <c r="F255" s="1">
        <v>32.0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1">
        <v>83.7</v>
      </c>
      <c r="T255" s="1">
        <v>2633.3</v>
      </c>
      <c r="U255" s="1">
        <v>0.0</v>
      </c>
      <c r="V255" s="1">
        <v>0.0</v>
      </c>
      <c r="W255" s="1" t="s">
        <v>26</v>
      </c>
    </row>
    <row r="256" ht="15.75" customHeight="1">
      <c r="A256" s="1" t="s">
        <v>292</v>
      </c>
      <c r="B256" s="1" t="s">
        <v>32</v>
      </c>
      <c r="C256" s="1">
        <v>0.0</v>
      </c>
      <c r="D256" s="1" t="s">
        <v>26</v>
      </c>
      <c r="E256" s="1" t="s">
        <v>26</v>
      </c>
      <c r="F256" s="1">
        <v>10.0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1">
        <v>19.85</v>
      </c>
      <c r="T256" s="1">
        <v>193.05</v>
      </c>
      <c r="U256" s="1">
        <v>0.0</v>
      </c>
      <c r="V256" s="1">
        <v>0.0</v>
      </c>
      <c r="W256" s="1" t="s">
        <v>26</v>
      </c>
    </row>
    <row r="257" ht="15.75" customHeight="1">
      <c r="A257" s="1" t="s">
        <v>293</v>
      </c>
      <c r="B257" s="1" t="s">
        <v>24</v>
      </c>
      <c r="C257" s="1">
        <v>0.0</v>
      </c>
      <c r="D257" s="1" t="s">
        <v>25</v>
      </c>
      <c r="E257" s="1" t="s">
        <v>25</v>
      </c>
      <c r="F257" s="1">
        <v>67.0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1">
        <v>59.55</v>
      </c>
      <c r="T257" s="1">
        <v>4103.9</v>
      </c>
      <c r="U257" s="1">
        <v>0.0</v>
      </c>
      <c r="V257" s="1">
        <v>0.0</v>
      </c>
      <c r="W257" s="1" t="s">
        <v>26</v>
      </c>
    </row>
    <row r="258" ht="15.75" customHeight="1">
      <c r="A258" s="1" t="s">
        <v>294</v>
      </c>
      <c r="B258" s="1" t="s">
        <v>24</v>
      </c>
      <c r="C258" s="1">
        <v>0.0</v>
      </c>
      <c r="D258" s="1" t="s">
        <v>25</v>
      </c>
      <c r="E258" s="1" t="s">
        <v>25</v>
      </c>
      <c r="F258" s="1">
        <v>61.0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1">
        <v>115.1</v>
      </c>
      <c r="T258" s="1">
        <v>7008.15</v>
      </c>
      <c r="U258" s="1">
        <v>0.0</v>
      </c>
      <c r="V258" s="1">
        <v>0.0</v>
      </c>
      <c r="W258" s="1" t="s">
        <v>26</v>
      </c>
    </row>
    <row r="259" ht="15.75" customHeight="1">
      <c r="A259" s="1" t="s">
        <v>295</v>
      </c>
      <c r="B259" s="1" t="s">
        <v>32</v>
      </c>
      <c r="C259" s="1">
        <v>0.0</v>
      </c>
      <c r="D259" s="1" t="s">
        <v>26</v>
      </c>
      <c r="E259" s="1" t="s">
        <v>26</v>
      </c>
      <c r="F259" s="1">
        <v>50.0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1">
        <v>114.35</v>
      </c>
      <c r="T259" s="1">
        <v>5791.1</v>
      </c>
      <c r="U259" s="1">
        <v>0.0</v>
      </c>
      <c r="V259" s="1">
        <v>0.0</v>
      </c>
      <c r="W259" s="1" t="s">
        <v>26</v>
      </c>
    </row>
    <row r="260" ht="15.75" customHeight="1">
      <c r="A260" s="1" t="s">
        <v>296</v>
      </c>
      <c r="B260" s="1" t="s">
        <v>24</v>
      </c>
      <c r="C260" s="1">
        <v>0.0</v>
      </c>
      <c r="D260" s="1" t="s">
        <v>25</v>
      </c>
      <c r="E260" s="1" t="s">
        <v>26</v>
      </c>
      <c r="F260" s="1">
        <v>2.0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1">
        <v>44.6</v>
      </c>
      <c r="T260" s="1">
        <v>80.55</v>
      </c>
      <c r="U260" s="1">
        <v>0.0</v>
      </c>
      <c r="V260" s="1">
        <v>0.0</v>
      </c>
      <c r="W260" s="1" t="s">
        <v>25</v>
      </c>
    </row>
    <row r="261" ht="15.75" customHeight="1">
      <c r="A261" s="1" t="s">
        <v>297</v>
      </c>
      <c r="B261" s="1" t="s">
        <v>24</v>
      </c>
      <c r="C261" s="1">
        <v>1.0</v>
      </c>
      <c r="D261" s="1" t="s">
        <v>25</v>
      </c>
      <c r="E261" s="1" t="s">
        <v>26</v>
      </c>
      <c r="F261" s="1">
        <v>29.0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1">
        <v>45.0</v>
      </c>
      <c r="T261" s="1">
        <v>1228.65</v>
      </c>
      <c r="U261" s="1">
        <v>4.0</v>
      </c>
      <c r="V261" s="1">
        <v>0.0</v>
      </c>
      <c r="W261" s="1" t="s">
        <v>26</v>
      </c>
    </row>
    <row r="262" ht="15.75" customHeight="1">
      <c r="A262" s="1" t="s">
        <v>298</v>
      </c>
      <c r="B262" s="1" t="s">
        <v>32</v>
      </c>
      <c r="C262" s="1">
        <v>1.0</v>
      </c>
      <c r="D262" s="1" t="s">
        <v>26</v>
      </c>
      <c r="E262" s="1" t="s">
        <v>26</v>
      </c>
      <c r="F262" s="1">
        <v>3.0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1">
        <v>41.15</v>
      </c>
      <c r="T262" s="1">
        <v>132.2</v>
      </c>
      <c r="U262" s="1">
        <v>0.0</v>
      </c>
      <c r="V262" s="1">
        <v>0.0</v>
      </c>
      <c r="W262" s="1" t="s">
        <v>25</v>
      </c>
    </row>
    <row r="263" ht="15.75" customHeight="1">
      <c r="A263" s="1" t="s">
        <v>299</v>
      </c>
      <c r="B263" s="1" t="s">
        <v>32</v>
      </c>
      <c r="C263" s="1">
        <v>1.0</v>
      </c>
      <c r="D263" s="1" t="s">
        <v>26</v>
      </c>
      <c r="E263" s="1" t="s">
        <v>26</v>
      </c>
      <c r="F263" s="1">
        <v>13.0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1">
        <v>106.9</v>
      </c>
      <c r="T263" s="1">
        <v>1364.3</v>
      </c>
      <c r="U263" s="1">
        <v>0.0</v>
      </c>
      <c r="V263" s="1">
        <v>1.0</v>
      </c>
      <c r="W263" s="1" t="s">
        <v>25</v>
      </c>
    </row>
    <row r="264" ht="15.75" customHeight="1">
      <c r="A264" s="1" t="s">
        <v>300</v>
      </c>
      <c r="B264" s="1" t="s">
        <v>32</v>
      </c>
      <c r="C264" s="1">
        <v>1.0</v>
      </c>
      <c r="D264" s="1" t="s">
        <v>25</v>
      </c>
      <c r="E264" s="1" t="s">
        <v>26</v>
      </c>
      <c r="F264" s="1">
        <v>57.0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1">
        <v>89.85</v>
      </c>
      <c r="T264" s="1">
        <v>4925.35</v>
      </c>
      <c r="U264" s="1">
        <v>5.0</v>
      </c>
      <c r="V264" s="1">
        <v>0.0</v>
      </c>
      <c r="W264" s="1" t="s">
        <v>26</v>
      </c>
    </row>
    <row r="265" ht="15.75" customHeight="1">
      <c r="A265" s="1" t="s">
        <v>301</v>
      </c>
      <c r="B265" s="1" t="s">
        <v>24</v>
      </c>
      <c r="C265" s="1">
        <v>0.0</v>
      </c>
      <c r="D265" s="1" t="s">
        <v>26</v>
      </c>
      <c r="E265" s="1" t="s">
        <v>26</v>
      </c>
      <c r="F265" s="1">
        <v>31.0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1">
        <v>49.85</v>
      </c>
      <c r="T265" s="1">
        <v>1520.1</v>
      </c>
      <c r="U265" s="1">
        <v>0.0</v>
      </c>
      <c r="V265" s="1">
        <v>0.0</v>
      </c>
      <c r="W265" s="1" t="s">
        <v>26</v>
      </c>
    </row>
    <row r="266" ht="15.75" customHeight="1">
      <c r="A266" s="1" t="s">
        <v>302</v>
      </c>
      <c r="B266" s="1" t="s">
        <v>24</v>
      </c>
      <c r="C266" s="1">
        <v>0.0</v>
      </c>
      <c r="D266" s="1" t="s">
        <v>25</v>
      </c>
      <c r="E266" s="1" t="s">
        <v>26</v>
      </c>
      <c r="F266" s="1">
        <v>45.0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1">
        <v>113.3</v>
      </c>
      <c r="T266" s="1">
        <v>5032.25</v>
      </c>
      <c r="U266" s="1">
        <v>0.0</v>
      </c>
      <c r="V266" s="1">
        <v>0.0</v>
      </c>
      <c r="W266" s="1" t="s">
        <v>26</v>
      </c>
    </row>
    <row r="267" ht="15.75" customHeight="1">
      <c r="A267" s="1" t="s">
        <v>303</v>
      </c>
      <c r="B267" s="1" t="s">
        <v>24</v>
      </c>
      <c r="C267" s="1">
        <v>0.0</v>
      </c>
      <c r="D267" s="1" t="s">
        <v>25</v>
      </c>
      <c r="E267" s="1" t="s">
        <v>25</v>
      </c>
      <c r="F267" s="1">
        <v>61.0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1">
        <v>88.1</v>
      </c>
      <c r="T267" s="1">
        <v>5526.75</v>
      </c>
      <c r="U267" s="1">
        <v>2.0</v>
      </c>
      <c r="V267" s="1">
        <v>0.0</v>
      </c>
      <c r="W267" s="1" t="s">
        <v>26</v>
      </c>
    </row>
    <row r="268" ht="15.75" customHeight="1">
      <c r="A268" s="1" t="s">
        <v>304</v>
      </c>
      <c r="B268" s="1" t="s">
        <v>32</v>
      </c>
      <c r="C268" s="1">
        <v>0.0</v>
      </c>
      <c r="D268" s="1" t="s">
        <v>26</v>
      </c>
      <c r="E268" s="1" t="s">
        <v>26</v>
      </c>
      <c r="F268" s="1">
        <v>50.0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1">
        <v>24.9</v>
      </c>
      <c r="T268" s="1">
        <v>1195.25</v>
      </c>
      <c r="U268" s="1">
        <v>0.0</v>
      </c>
      <c r="V268" s="1">
        <v>0.0</v>
      </c>
      <c r="W268" s="1" t="s">
        <v>26</v>
      </c>
    </row>
    <row r="269" ht="15.75" customHeight="1">
      <c r="A269" s="1" t="s">
        <v>305</v>
      </c>
      <c r="B269" s="1" t="s">
        <v>24</v>
      </c>
      <c r="C269" s="1">
        <v>1.0</v>
      </c>
      <c r="D269" s="1" t="s">
        <v>26</v>
      </c>
      <c r="E269" s="1" t="s">
        <v>26</v>
      </c>
      <c r="F269" s="1">
        <v>19.0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1">
        <v>105.0</v>
      </c>
      <c r="T269" s="1">
        <v>2007.25</v>
      </c>
      <c r="U269" s="1">
        <v>0.0</v>
      </c>
      <c r="V269" s="1">
        <v>0.0</v>
      </c>
      <c r="W269" s="1" t="s">
        <v>26</v>
      </c>
    </row>
    <row r="270" ht="15.75" customHeight="1">
      <c r="A270" s="1" t="s">
        <v>306</v>
      </c>
      <c r="B270" s="1" t="s">
        <v>32</v>
      </c>
      <c r="C270" s="1">
        <v>0.0</v>
      </c>
      <c r="D270" s="1" t="s">
        <v>26</v>
      </c>
      <c r="E270" s="1" t="s">
        <v>26</v>
      </c>
      <c r="F270" s="1">
        <v>59.0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1">
        <v>19.35</v>
      </c>
      <c r="T270" s="1">
        <v>1099.6</v>
      </c>
      <c r="U270" s="1">
        <v>0.0</v>
      </c>
      <c r="V270" s="1">
        <v>2.0</v>
      </c>
      <c r="W270" s="1" t="s">
        <v>25</v>
      </c>
    </row>
    <row r="271" ht="15.75" customHeight="1">
      <c r="A271" s="1" t="s">
        <v>307</v>
      </c>
      <c r="B271" s="1" t="s">
        <v>24</v>
      </c>
      <c r="C271" s="1">
        <v>0.0</v>
      </c>
      <c r="D271" s="1" t="s">
        <v>25</v>
      </c>
      <c r="E271" s="1" t="s">
        <v>26</v>
      </c>
      <c r="F271" s="1">
        <v>71.0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1">
        <v>24.25</v>
      </c>
      <c r="T271" s="1">
        <v>1732.95</v>
      </c>
      <c r="U271" s="1">
        <v>0.0</v>
      </c>
      <c r="V271" s="1">
        <v>0.0</v>
      </c>
      <c r="W271" s="1" t="s">
        <v>26</v>
      </c>
    </row>
    <row r="272" ht="15.75" customHeight="1">
      <c r="A272" s="1" t="s">
        <v>308</v>
      </c>
      <c r="B272" s="1" t="s">
        <v>24</v>
      </c>
      <c r="C272" s="1">
        <v>1.0</v>
      </c>
      <c r="D272" s="1" t="s">
        <v>26</v>
      </c>
      <c r="E272" s="1" t="s">
        <v>26</v>
      </c>
      <c r="F272" s="1">
        <v>16.0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1">
        <v>94.45</v>
      </c>
      <c r="T272" s="1">
        <v>1511.2</v>
      </c>
      <c r="U272" s="1">
        <v>0.0</v>
      </c>
      <c r="V272" s="1">
        <v>1.0</v>
      </c>
      <c r="W272" s="1" t="s">
        <v>25</v>
      </c>
    </row>
    <row r="273" ht="15.75" customHeight="1">
      <c r="A273" s="1" t="s">
        <v>309</v>
      </c>
      <c r="B273" s="1" t="s">
        <v>32</v>
      </c>
      <c r="C273" s="1">
        <v>0.0</v>
      </c>
      <c r="D273" s="1" t="s">
        <v>25</v>
      </c>
      <c r="E273" s="1" t="s">
        <v>26</v>
      </c>
      <c r="F273" s="1">
        <v>57.0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1">
        <v>59.75</v>
      </c>
      <c r="T273" s="1">
        <v>3450.15</v>
      </c>
      <c r="U273" s="1">
        <v>0.0</v>
      </c>
      <c r="V273" s="1">
        <v>0.0</v>
      </c>
      <c r="W273" s="1" t="s">
        <v>26</v>
      </c>
    </row>
    <row r="274" ht="15.75" customHeight="1">
      <c r="A274" s="1" t="s">
        <v>310</v>
      </c>
      <c r="B274" s="1" t="s">
        <v>32</v>
      </c>
      <c r="C274" s="1">
        <v>0.0</v>
      </c>
      <c r="D274" s="1" t="s">
        <v>26</v>
      </c>
      <c r="E274" s="1" t="s">
        <v>26</v>
      </c>
      <c r="F274" s="1">
        <v>1.0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1">
        <v>24.8</v>
      </c>
      <c r="T274" s="1">
        <v>24.8</v>
      </c>
      <c r="U274" s="1">
        <v>0.0</v>
      </c>
      <c r="V274" s="1">
        <v>0.0</v>
      </c>
      <c r="W274" s="1" t="s">
        <v>25</v>
      </c>
    </row>
    <row r="275" ht="15.75" customHeight="1">
      <c r="A275" s="1" t="s">
        <v>311</v>
      </c>
      <c r="B275" s="1" t="s">
        <v>32</v>
      </c>
      <c r="C275" s="1">
        <v>1.0</v>
      </c>
      <c r="D275" s="1" t="s">
        <v>25</v>
      </c>
      <c r="E275" s="1" t="s">
        <v>26</v>
      </c>
      <c r="F275" s="1">
        <v>20.0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1">
        <v>107.05</v>
      </c>
      <c r="T275" s="1">
        <v>2172.05</v>
      </c>
      <c r="U275" s="1">
        <v>0.0</v>
      </c>
      <c r="V275" s="1">
        <v>0.0</v>
      </c>
      <c r="W275" s="1" t="s">
        <v>26</v>
      </c>
    </row>
    <row r="276" ht="15.75" customHeight="1">
      <c r="A276" s="1" t="s">
        <v>312</v>
      </c>
      <c r="B276" s="1" t="s">
        <v>32</v>
      </c>
      <c r="C276" s="1">
        <v>0.0</v>
      </c>
      <c r="D276" s="1" t="s">
        <v>26</v>
      </c>
      <c r="E276" s="1" t="s">
        <v>26</v>
      </c>
      <c r="F276" s="1">
        <v>1.0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1">
        <v>70.6</v>
      </c>
      <c r="T276" s="1">
        <v>70.6</v>
      </c>
      <c r="U276" s="1">
        <v>0.0</v>
      </c>
      <c r="V276" s="1">
        <v>0.0</v>
      </c>
      <c r="W276" s="1" t="s">
        <v>25</v>
      </c>
    </row>
    <row r="277" ht="15.75" customHeight="1">
      <c r="A277" s="1" t="s">
        <v>313</v>
      </c>
      <c r="B277" s="1" t="s">
        <v>32</v>
      </c>
      <c r="C277" s="1">
        <v>0.0</v>
      </c>
      <c r="D277" s="1" t="s">
        <v>25</v>
      </c>
      <c r="E277" s="1" t="s">
        <v>26</v>
      </c>
      <c r="F277" s="1">
        <v>5.0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1">
        <v>85.4</v>
      </c>
      <c r="T277" s="1">
        <v>401.1</v>
      </c>
      <c r="U277" s="1">
        <v>0.0</v>
      </c>
      <c r="V277" s="1">
        <v>0.0</v>
      </c>
      <c r="W277" s="1" t="s">
        <v>25</v>
      </c>
    </row>
    <row r="278" ht="15.75" customHeight="1">
      <c r="A278" s="1" t="s">
        <v>314</v>
      </c>
      <c r="B278" s="1" t="s">
        <v>24</v>
      </c>
      <c r="C278" s="1">
        <v>0.0</v>
      </c>
      <c r="D278" s="1" t="s">
        <v>25</v>
      </c>
      <c r="E278" s="1" t="s">
        <v>26</v>
      </c>
      <c r="F278" s="1">
        <v>52.0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1">
        <v>105.05</v>
      </c>
      <c r="T278" s="1">
        <v>5624.85</v>
      </c>
      <c r="U278" s="1">
        <v>0.0</v>
      </c>
      <c r="V278" s="1">
        <v>5.0</v>
      </c>
      <c r="W278" s="1" t="s">
        <v>25</v>
      </c>
    </row>
    <row r="279" ht="15.75" customHeight="1">
      <c r="A279" s="1" t="s">
        <v>315</v>
      </c>
      <c r="B279" s="1" t="s">
        <v>32</v>
      </c>
      <c r="C279" s="1">
        <v>1.0</v>
      </c>
      <c r="D279" s="1" t="s">
        <v>25</v>
      </c>
      <c r="E279" s="1" t="s">
        <v>26</v>
      </c>
      <c r="F279" s="1">
        <v>21.0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1">
        <v>64.95</v>
      </c>
      <c r="T279" s="1">
        <v>1339.8</v>
      </c>
      <c r="U279" s="1">
        <v>0.0</v>
      </c>
      <c r="V279" s="1">
        <v>0.0</v>
      </c>
      <c r="W279" s="1" t="s">
        <v>26</v>
      </c>
    </row>
    <row r="280" ht="15.75" customHeight="1">
      <c r="A280" s="1" t="s">
        <v>316</v>
      </c>
      <c r="B280" s="1" t="s">
        <v>32</v>
      </c>
      <c r="C280" s="1">
        <v>0.0</v>
      </c>
      <c r="D280" s="1" t="s">
        <v>26</v>
      </c>
      <c r="E280" s="1" t="s">
        <v>26</v>
      </c>
      <c r="F280" s="1">
        <v>14.0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1">
        <v>55.0</v>
      </c>
      <c r="T280" s="1">
        <v>771.95</v>
      </c>
      <c r="U280" s="1">
        <v>0.0</v>
      </c>
      <c r="V280" s="1">
        <v>0.0</v>
      </c>
      <c r="W280" s="1" t="s">
        <v>26</v>
      </c>
    </row>
    <row r="281" ht="15.75" customHeight="1">
      <c r="A281" s="1" t="s">
        <v>317</v>
      </c>
      <c r="B281" s="1" t="s">
        <v>24</v>
      </c>
      <c r="C281" s="1">
        <v>0.0</v>
      </c>
      <c r="D281" s="1" t="s">
        <v>26</v>
      </c>
      <c r="E281" s="1" t="s">
        <v>26</v>
      </c>
      <c r="F281" s="1">
        <v>5.0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1">
        <v>50.55</v>
      </c>
      <c r="T281" s="1">
        <v>244.75</v>
      </c>
      <c r="U281" s="1">
        <v>0.0</v>
      </c>
      <c r="V281" s="1">
        <v>0.0</v>
      </c>
      <c r="W281" s="1" t="s">
        <v>26</v>
      </c>
    </row>
    <row r="282" ht="15.75" customHeight="1">
      <c r="A282" s="1" t="s">
        <v>318</v>
      </c>
      <c r="B282" s="1" t="s">
        <v>24</v>
      </c>
      <c r="C282" s="1">
        <v>0.0</v>
      </c>
      <c r="D282" s="1" t="s">
        <v>26</v>
      </c>
      <c r="E282" s="1" t="s">
        <v>26</v>
      </c>
      <c r="F282" s="1">
        <v>6.0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1">
        <v>55.15</v>
      </c>
      <c r="T282" s="1">
        <v>322.9</v>
      </c>
      <c r="U282" s="1">
        <v>0.0</v>
      </c>
      <c r="V282" s="1">
        <v>0.0</v>
      </c>
      <c r="W282" s="1" t="s">
        <v>26</v>
      </c>
    </row>
    <row r="283" ht="15.75" customHeight="1">
      <c r="A283" s="1" t="s">
        <v>319</v>
      </c>
      <c r="B283" s="1" t="s">
        <v>24</v>
      </c>
      <c r="C283" s="1">
        <v>0.0</v>
      </c>
      <c r="D283" s="1" t="s">
        <v>26</v>
      </c>
      <c r="E283" s="1" t="s">
        <v>26</v>
      </c>
      <c r="F283" s="1">
        <v>10.0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1">
        <v>51.2</v>
      </c>
      <c r="T283" s="1">
        <v>498.25</v>
      </c>
      <c r="U283" s="1">
        <v>0.0</v>
      </c>
      <c r="V283" s="1">
        <v>0.0</v>
      </c>
      <c r="W283" s="1" t="s">
        <v>26</v>
      </c>
    </row>
    <row r="284" ht="15.75" customHeight="1">
      <c r="A284" s="1" t="s">
        <v>320</v>
      </c>
      <c r="B284" s="1" t="s">
        <v>24</v>
      </c>
      <c r="C284" s="1">
        <v>0.0</v>
      </c>
      <c r="D284" s="1" t="s">
        <v>26</v>
      </c>
      <c r="E284" s="1" t="s">
        <v>25</v>
      </c>
      <c r="F284" s="1">
        <v>1.0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1">
        <v>25.4</v>
      </c>
      <c r="T284" s="1">
        <v>25.4</v>
      </c>
      <c r="U284" s="1">
        <v>0.0</v>
      </c>
      <c r="V284" s="1">
        <v>0.0</v>
      </c>
      <c r="W284" s="1" t="s">
        <v>26</v>
      </c>
    </row>
    <row r="285" ht="15.75" customHeight="1">
      <c r="A285" s="1" t="s">
        <v>321</v>
      </c>
      <c r="B285" s="1" t="s">
        <v>24</v>
      </c>
      <c r="C285" s="1">
        <v>0.0</v>
      </c>
      <c r="D285" s="1" t="s">
        <v>26</v>
      </c>
      <c r="E285" s="1" t="s">
        <v>26</v>
      </c>
      <c r="F285" s="1">
        <v>68.0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1">
        <v>54.45</v>
      </c>
      <c r="T285" s="1">
        <v>3687.75</v>
      </c>
      <c r="U285" s="1">
        <v>0.0</v>
      </c>
      <c r="V285" s="1">
        <v>0.0</v>
      </c>
      <c r="W285" s="1" t="s">
        <v>26</v>
      </c>
    </row>
    <row r="286" ht="15.75" customHeight="1">
      <c r="A286" s="1" t="s">
        <v>322</v>
      </c>
      <c r="B286" s="1" t="s">
        <v>32</v>
      </c>
      <c r="C286" s="1">
        <v>0.0</v>
      </c>
      <c r="D286" s="1" t="s">
        <v>25</v>
      </c>
      <c r="E286" s="1" t="s">
        <v>25</v>
      </c>
      <c r="F286" s="1">
        <v>18.0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1">
        <v>95.15</v>
      </c>
      <c r="T286" s="1">
        <v>1779.95</v>
      </c>
      <c r="U286" s="1">
        <v>0.0</v>
      </c>
      <c r="V286" s="1">
        <v>2.0</v>
      </c>
      <c r="W286" s="1" t="s">
        <v>25</v>
      </c>
    </row>
    <row r="287" ht="15.75" customHeight="1">
      <c r="A287" s="1" t="s">
        <v>323</v>
      </c>
      <c r="B287" s="1" t="s">
        <v>24</v>
      </c>
      <c r="C287" s="1">
        <v>0.0</v>
      </c>
      <c r="D287" s="1" t="s">
        <v>26</v>
      </c>
      <c r="E287" s="1" t="s">
        <v>26</v>
      </c>
      <c r="F287" s="1">
        <v>22.0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1">
        <v>76.0</v>
      </c>
      <c r="T287" s="1">
        <v>1783.6</v>
      </c>
      <c r="U287" s="1">
        <v>0.0</v>
      </c>
      <c r="V287" s="1">
        <v>0.0</v>
      </c>
      <c r="W287" s="1" t="s">
        <v>26</v>
      </c>
    </row>
    <row r="288" ht="15.75" customHeight="1">
      <c r="A288" s="1" t="s">
        <v>324</v>
      </c>
      <c r="B288" s="1" t="s">
        <v>24</v>
      </c>
      <c r="C288" s="1">
        <v>0.0</v>
      </c>
      <c r="D288" s="1" t="s">
        <v>26</v>
      </c>
      <c r="E288" s="1" t="s">
        <v>26</v>
      </c>
      <c r="F288" s="1">
        <v>20.0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1">
        <v>44.35</v>
      </c>
      <c r="T288" s="1">
        <v>927.15</v>
      </c>
      <c r="U288" s="1">
        <v>0.0</v>
      </c>
      <c r="V288" s="1">
        <v>0.0</v>
      </c>
      <c r="W288" s="1" t="s">
        <v>26</v>
      </c>
    </row>
    <row r="289" ht="15.75" customHeight="1">
      <c r="A289" s="1" t="s">
        <v>325</v>
      </c>
      <c r="B289" s="1" t="s">
        <v>32</v>
      </c>
      <c r="C289" s="1">
        <v>0.0</v>
      </c>
      <c r="D289" s="1" t="s">
        <v>25</v>
      </c>
      <c r="E289" s="1" t="s">
        <v>26</v>
      </c>
      <c r="F289" s="1">
        <v>1.0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1">
        <v>70.0</v>
      </c>
      <c r="T289" s="1">
        <v>70.0</v>
      </c>
      <c r="U289" s="1">
        <v>0.0</v>
      </c>
      <c r="V289" s="1">
        <v>0.0</v>
      </c>
      <c r="W289" s="1" t="s">
        <v>25</v>
      </c>
    </row>
    <row r="290" ht="15.75" customHeight="1">
      <c r="A290" s="1" t="s">
        <v>326</v>
      </c>
      <c r="B290" s="1" t="s">
        <v>32</v>
      </c>
      <c r="C290" s="1">
        <v>1.0</v>
      </c>
      <c r="D290" s="1" t="s">
        <v>26</v>
      </c>
      <c r="E290" s="1" t="s">
        <v>26</v>
      </c>
      <c r="F290" s="1">
        <v>8.0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1">
        <v>74.5</v>
      </c>
      <c r="T290" s="1">
        <v>606.55</v>
      </c>
      <c r="U290" s="1">
        <v>0.0</v>
      </c>
      <c r="V290" s="1">
        <v>0.0</v>
      </c>
      <c r="W290" s="1" t="s">
        <v>25</v>
      </c>
    </row>
    <row r="291" ht="15.75" customHeight="1">
      <c r="A291" s="1" t="s">
        <v>327</v>
      </c>
      <c r="B291" s="1" t="s">
        <v>32</v>
      </c>
      <c r="C291" s="1">
        <v>0.0</v>
      </c>
      <c r="D291" s="1" t="s">
        <v>26</v>
      </c>
      <c r="E291" s="1" t="s">
        <v>26</v>
      </c>
      <c r="F291" s="1">
        <v>10.0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1">
        <v>44.85</v>
      </c>
      <c r="T291" s="1">
        <v>435.4</v>
      </c>
      <c r="U291" s="1">
        <v>0.0</v>
      </c>
      <c r="V291" s="1">
        <v>0.0</v>
      </c>
      <c r="W291" s="1" t="s">
        <v>25</v>
      </c>
    </row>
    <row r="292" ht="15.75" customHeight="1">
      <c r="A292" s="1" t="s">
        <v>328</v>
      </c>
      <c r="B292" s="1" t="s">
        <v>32</v>
      </c>
      <c r="C292" s="1">
        <v>1.0</v>
      </c>
      <c r="D292" s="1" t="s">
        <v>26</v>
      </c>
      <c r="E292" s="1" t="s">
        <v>26</v>
      </c>
      <c r="F292" s="1">
        <v>24.0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1">
        <v>76.1</v>
      </c>
      <c r="T292" s="1">
        <v>1712.7</v>
      </c>
      <c r="U292" s="1">
        <v>0.0</v>
      </c>
      <c r="V292" s="1">
        <v>0.0</v>
      </c>
      <c r="W292" s="1" t="s">
        <v>25</v>
      </c>
    </row>
    <row r="293" ht="15.75" customHeight="1">
      <c r="A293" s="1" t="s">
        <v>329</v>
      </c>
      <c r="B293" s="1" t="s">
        <v>32</v>
      </c>
      <c r="C293" s="1">
        <v>0.0</v>
      </c>
      <c r="D293" s="1" t="s">
        <v>26</v>
      </c>
      <c r="E293" s="1" t="s">
        <v>26</v>
      </c>
      <c r="F293" s="1">
        <v>35.0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1">
        <v>61.2</v>
      </c>
      <c r="T293" s="1">
        <v>2021.2</v>
      </c>
      <c r="U293" s="1">
        <v>0.0</v>
      </c>
      <c r="V293" s="1">
        <v>0.0</v>
      </c>
      <c r="W293" s="1" t="s">
        <v>26</v>
      </c>
    </row>
    <row r="294" ht="15.75" customHeight="1">
      <c r="A294" s="1" t="s">
        <v>330</v>
      </c>
      <c r="B294" s="1" t="s">
        <v>32</v>
      </c>
      <c r="C294" s="1">
        <v>0.0</v>
      </c>
      <c r="D294" s="1" t="s">
        <v>25</v>
      </c>
      <c r="E294" s="1" t="s">
        <v>25</v>
      </c>
      <c r="F294" s="1">
        <v>23.0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1">
        <v>86.8</v>
      </c>
      <c r="T294" s="1">
        <v>1940.8</v>
      </c>
      <c r="U294" s="1">
        <v>0.0</v>
      </c>
      <c r="V294" s="1">
        <v>0.0</v>
      </c>
      <c r="W294" s="1" t="s">
        <v>26</v>
      </c>
    </row>
    <row r="295" ht="15.75" customHeight="1">
      <c r="A295" s="1" t="s">
        <v>331</v>
      </c>
      <c r="B295" s="1" t="s">
        <v>24</v>
      </c>
      <c r="C295" s="1">
        <v>1.0</v>
      </c>
      <c r="D295" s="1" t="s">
        <v>26</v>
      </c>
      <c r="E295" s="1" t="s">
        <v>26</v>
      </c>
      <c r="F295" s="1">
        <v>6.0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1">
        <v>89.35</v>
      </c>
      <c r="T295" s="1">
        <v>567.8</v>
      </c>
      <c r="U295" s="1">
        <v>0.0</v>
      </c>
      <c r="V295" s="1">
        <v>0.0</v>
      </c>
      <c r="W295" s="1" t="s">
        <v>26</v>
      </c>
    </row>
    <row r="296" ht="15.75" customHeight="1">
      <c r="A296" s="1" t="s">
        <v>332</v>
      </c>
      <c r="B296" s="1" t="s">
        <v>24</v>
      </c>
      <c r="C296" s="1">
        <v>0.0</v>
      </c>
      <c r="D296" s="1" t="s">
        <v>26</v>
      </c>
      <c r="E296" s="1" t="s">
        <v>26</v>
      </c>
      <c r="F296" s="1">
        <v>12.0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1">
        <v>19.7</v>
      </c>
      <c r="T296" s="1">
        <v>220.35</v>
      </c>
      <c r="U296" s="1">
        <v>2.0</v>
      </c>
      <c r="V296" s="1">
        <v>0.0</v>
      </c>
      <c r="W296" s="1" t="s">
        <v>26</v>
      </c>
    </row>
    <row r="297" ht="15.75" customHeight="1">
      <c r="A297" s="1" t="s">
        <v>333</v>
      </c>
      <c r="B297" s="1" t="s">
        <v>32</v>
      </c>
      <c r="C297" s="1">
        <v>0.0</v>
      </c>
      <c r="D297" s="1" t="s">
        <v>26</v>
      </c>
      <c r="E297" s="1" t="s">
        <v>26</v>
      </c>
      <c r="F297" s="1">
        <v>1.0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1">
        <v>20.25</v>
      </c>
      <c r="T297" s="1">
        <v>20.25</v>
      </c>
      <c r="U297" s="1">
        <v>0.0</v>
      </c>
      <c r="V297" s="1">
        <v>0.0</v>
      </c>
      <c r="W297" s="1" t="s">
        <v>26</v>
      </c>
    </row>
    <row r="298" ht="15.75" customHeight="1">
      <c r="A298" s="1" t="s">
        <v>334</v>
      </c>
      <c r="B298" s="1" t="s">
        <v>24</v>
      </c>
      <c r="C298" s="1">
        <v>0.0</v>
      </c>
      <c r="D298" s="1" t="s">
        <v>25</v>
      </c>
      <c r="E298" s="1" t="s">
        <v>25</v>
      </c>
      <c r="F298" s="1">
        <v>71.0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1">
        <v>76.05</v>
      </c>
      <c r="T298" s="1">
        <v>5436.45</v>
      </c>
      <c r="U298" s="1">
        <v>0.0</v>
      </c>
      <c r="V298" s="1">
        <v>0.0</v>
      </c>
      <c r="W298" s="1" t="s">
        <v>26</v>
      </c>
    </row>
    <row r="299" ht="15.75" customHeight="1">
      <c r="A299" s="1" t="s">
        <v>335</v>
      </c>
      <c r="B299" s="1" t="s">
        <v>32</v>
      </c>
      <c r="C299" s="1">
        <v>1.0</v>
      </c>
      <c r="D299" s="1" t="s">
        <v>25</v>
      </c>
      <c r="E299" s="1" t="s">
        <v>26</v>
      </c>
      <c r="F299" s="1">
        <v>35.0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1">
        <v>100.8</v>
      </c>
      <c r="T299" s="1">
        <v>3437.5</v>
      </c>
      <c r="U299" s="1">
        <v>3.0</v>
      </c>
      <c r="V299" s="1">
        <v>0.0</v>
      </c>
      <c r="W299" s="1" t="s">
        <v>26</v>
      </c>
    </row>
    <row r="300" ht="15.75" customHeight="1">
      <c r="A300" s="1" t="s">
        <v>336</v>
      </c>
      <c r="B300" s="1" t="s">
        <v>32</v>
      </c>
      <c r="C300" s="1">
        <v>0.0</v>
      </c>
      <c r="D300" s="1" t="s">
        <v>25</v>
      </c>
      <c r="E300" s="1" t="s">
        <v>25</v>
      </c>
      <c r="F300" s="1">
        <v>40.0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1">
        <v>74.55</v>
      </c>
      <c r="T300" s="1">
        <v>3015.75</v>
      </c>
      <c r="U300" s="1">
        <v>0.0</v>
      </c>
      <c r="V300" s="1">
        <v>0.0</v>
      </c>
      <c r="W300" s="1" t="s">
        <v>26</v>
      </c>
    </row>
    <row r="301" ht="15.75" customHeight="1">
      <c r="A301" s="1" t="s">
        <v>337</v>
      </c>
      <c r="B301" s="1" t="s">
        <v>24</v>
      </c>
      <c r="C301" s="1">
        <v>0.0</v>
      </c>
      <c r="D301" s="1" t="s">
        <v>26</v>
      </c>
      <c r="E301" s="1" t="s">
        <v>25</v>
      </c>
      <c r="F301" s="1">
        <v>1.0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1">
        <v>73.6</v>
      </c>
      <c r="T301" s="1">
        <v>73.6</v>
      </c>
      <c r="U301" s="1">
        <v>0.0</v>
      </c>
      <c r="V301" s="1">
        <v>0.0</v>
      </c>
      <c r="W301" s="1" t="s">
        <v>25</v>
      </c>
    </row>
    <row r="302" ht="15.75" customHeight="1">
      <c r="A302" s="1" t="s">
        <v>338</v>
      </c>
      <c r="B302" s="1" t="s">
        <v>32</v>
      </c>
      <c r="C302" s="1">
        <v>0.0</v>
      </c>
      <c r="D302" s="1" t="s">
        <v>26</v>
      </c>
      <c r="E302" s="1" t="s">
        <v>26</v>
      </c>
      <c r="F302" s="1">
        <v>23.0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1">
        <v>64.9</v>
      </c>
      <c r="T302" s="1">
        <v>1509.8</v>
      </c>
      <c r="U302" s="1">
        <v>0.0</v>
      </c>
      <c r="V302" s="1">
        <v>0.0</v>
      </c>
      <c r="W302" s="1" t="s">
        <v>26</v>
      </c>
    </row>
    <row r="303" ht="15.75" customHeight="1">
      <c r="A303" s="1" t="s">
        <v>339</v>
      </c>
      <c r="B303" s="1" t="s">
        <v>24</v>
      </c>
      <c r="C303" s="1">
        <v>1.0</v>
      </c>
      <c r="D303" s="1" t="s">
        <v>26</v>
      </c>
      <c r="E303" s="1" t="s">
        <v>26</v>
      </c>
      <c r="F303" s="1">
        <v>4.0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1">
        <v>95.45</v>
      </c>
      <c r="T303" s="1">
        <v>396.1</v>
      </c>
      <c r="U303" s="1">
        <v>0.0</v>
      </c>
      <c r="V303" s="1">
        <v>0.0</v>
      </c>
      <c r="W303" s="1" t="s">
        <v>25</v>
      </c>
    </row>
    <row r="304" ht="15.75" customHeight="1">
      <c r="A304" s="1" t="s">
        <v>340</v>
      </c>
      <c r="B304" s="1" t="s">
        <v>32</v>
      </c>
      <c r="C304" s="1">
        <v>0.0</v>
      </c>
      <c r="D304" s="1" t="s">
        <v>26</v>
      </c>
      <c r="E304" s="1" t="s">
        <v>26</v>
      </c>
      <c r="F304" s="1">
        <v>4.0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1">
        <v>90.4</v>
      </c>
      <c r="T304" s="1">
        <v>356.65</v>
      </c>
      <c r="U304" s="1">
        <v>0.0</v>
      </c>
      <c r="V304" s="1">
        <v>0.0</v>
      </c>
      <c r="W304" s="1" t="s">
        <v>26</v>
      </c>
    </row>
    <row r="305" ht="15.75" customHeight="1">
      <c r="A305" s="1" t="s">
        <v>341</v>
      </c>
      <c r="B305" s="1" t="s">
        <v>24</v>
      </c>
      <c r="C305" s="1">
        <v>0.0</v>
      </c>
      <c r="D305" s="1" t="s">
        <v>25</v>
      </c>
      <c r="E305" s="1" t="s">
        <v>25</v>
      </c>
      <c r="F305" s="1">
        <v>68.0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1">
        <v>60.3</v>
      </c>
      <c r="T305" s="1">
        <v>4109.0</v>
      </c>
      <c r="U305" s="1">
        <v>0.0</v>
      </c>
      <c r="V305" s="1">
        <v>1.0</v>
      </c>
      <c r="W305" s="1" t="s">
        <v>26</v>
      </c>
    </row>
    <row r="306" ht="15.75" customHeight="1">
      <c r="A306" s="1" t="s">
        <v>342</v>
      </c>
      <c r="B306" s="1" t="s">
        <v>32</v>
      </c>
      <c r="C306" s="1">
        <v>0.0</v>
      </c>
      <c r="D306" s="1" t="s">
        <v>26</v>
      </c>
      <c r="E306" s="1" t="s">
        <v>25</v>
      </c>
      <c r="F306" s="1">
        <v>38.0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1">
        <v>81.85</v>
      </c>
      <c r="T306" s="1">
        <v>3141.7</v>
      </c>
      <c r="U306" s="1">
        <v>0.0</v>
      </c>
      <c r="V306" s="1">
        <v>0.0</v>
      </c>
      <c r="W306" s="1" t="s">
        <v>26</v>
      </c>
    </row>
    <row r="307" ht="15.75" customHeight="1">
      <c r="A307" s="1" t="s">
        <v>343</v>
      </c>
      <c r="B307" s="1" t="s">
        <v>32</v>
      </c>
      <c r="C307" s="1">
        <v>0.0</v>
      </c>
      <c r="D307" s="1" t="s">
        <v>25</v>
      </c>
      <c r="E307" s="1" t="s">
        <v>25</v>
      </c>
      <c r="F307" s="1">
        <v>52.0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1">
        <v>24.8</v>
      </c>
      <c r="T307" s="1">
        <v>1229.1</v>
      </c>
      <c r="U307" s="1">
        <v>0.0</v>
      </c>
      <c r="V307" s="1">
        <v>0.0</v>
      </c>
      <c r="W307" s="1" t="s">
        <v>26</v>
      </c>
    </row>
    <row r="308" ht="15.75" customHeight="1">
      <c r="A308" s="1" t="s">
        <v>344</v>
      </c>
      <c r="B308" s="1" t="s">
        <v>32</v>
      </c>
      <c r="C308" s="1">
        <v>1.0</v>
      </c>
      <c r="D308" s="1" t="s">
        <v>25</v>
      </c>
      <c r="E308" s="1" t="s">
        <v>26</v>
      </c>
      <c r="F308" s="1">
        <v>32.0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1">
        <v>74.9</v>
      </c>
      <c r="T308" s="1">
        <v>2303.35</v>
      </c>
      <c r="U308" s="1">
        <v>0.0</v>
      </c>
      <c r="V308" s="1">
        <v>0.0</v>
      </c>
      <c r="W308" s="1" t="s">
        <v>25</v>
      </c>
    </row>
    <row r="309" ht="15.75" customHeight="1">
      <c r="A309" s="1" t="s">
        <v>345</v>
      </c>
      <c r="B309" s="1" t="s">
        <v>32</v>
      </c>
      <c r="C309" s="1">
        <v>0.0</v>
      </c>
      <c r="D309" s="1" t="s">
        <v>25</v>
      </c>
      <c r="E309" s="1" t="s">
        <v>25</v>
      </c>
      <c r="F309" s="1">
        <v>29.0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1">
        <v>75.55</v>
      </c>
      <c r="T309" s="1">
        <v>2054.4</v>
      </c>
      <c r="U309" s="1">
        <v>4.0</v>
      </c>
      <c r="V309" s="1">
        <v>0.0</v>
      </c>
      <c r="W309" s="1" t="s">
        <v>26</v>
      </c>
    </row>
    <row r="310" ht="15.75" customHeight="1">
      <c r="A310" s="1" t="s">
        <v>346</v>
      </c>
      <c r="B310" s="1" t="s">
        <v>32</v>
      </c>
      <c r="C310" s="1">
        <v>1.0</v>
      </c>
      <c r="D310" s="1" t="s">
        <v>25</v>
      </c>
      <c r="E310" s="1" t="s">
        <v>25</v>
      </c>
      <c r="F310" s="1">
        <v>38.0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1">
        <v>101.15</v>
      </c>
      <c r="T310" s="1">
        <v>3741.85</v>
      </c>
      <c r="U310" s="1">
        <v>0.0</v>
      </c>
      <c r="V310" s="1">
        <v>2.0</v>
      </c>
      <c r="W310" s="1" t="s">
        <v>26</v>
      </c>
    </row>
    <row r="311" ht="15.75" customHeight="1">
      <c r="A311" s="1" t="s">
        <v>347</v>
      </c>
      <c r="B311" s="1" t="s">
        <v>32</v>
      </c>
      <c r="C311" s="1">
        <v>0.0</v>
      </c>
      <c r="D311" s="1" t="s">
        <v>26</v>
      </c>
      <c r="E311" s="1" t="s">
        <v>25</v>
      </c>
      <c r="F311" s="1">
        <v>48.0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1">
        <v>78.75</v>
      </c>
      <c r="T311" s="1">
        <v>3682.45</v>
      </c>
      <c r="U311" s="1">
        <v>0.0</v>
      </c>
      <c r="V311" s="1">
        <v>0.0</v>
      </c>
      <c r="W311" s="1" t="s">
        <v>26</v>
      </c>
    </row>
    <row r="312" ht="15.75" customHeight="1">
      <c r="A312" s="1" t="s">
        <v>348</v>
      </c>
      <c r="B312" s="1" t="s">
        <v>24</v>
      </c>
      <c r="C312" s="1">
        <v>0.0</v>
      </c>
      <c r="D312" s="1" t="s">
        <v>26</v>
      </c>
      <c r="E312" s="1" t="s">
        <v>26</v>
      </c>
      <c r="F312" s="1">
        <v>1.0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1">
        <v>19.25</v>
      </c>
      <c r="T312" s="1">
        <v>19.25</v>
      </c>
      <c r="U312" s="1">
        <v>0.0</v>
      </c>
      <c r="V312" s="1">
        <v>0.0</v>
      </c>
      <c r="W312" s="1" t="s">
        <v>26</v>
      </c>
    </row>
    <row r="313" ht="15.75" customHeight="1">
      <c r="A313" s="1" t="s">
        <v>349</v>
      </c>
      <c r="B313" s="1" t="s">
        <v>24</v>
      </c>
      <c r="C313" s="1">
        <v>0.0</v>
      </c>
      <c r="D313" s="1" t="s">
        <v>26</v>
      </c>
      <c r="E313" s="1" t="s">
        <v>26</v>
      </c>
      <c r="F313" s="1">
        <v>22.0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1">
        <v>89.05</v>
      </c>
      <c r="T313" s="1">
        <v>1886.25</v>
      </c>
      <c r="U313" s="1">
        <v>0.0</v>
      </c>
      <c r="V313" s="1">
        <v>0.0</v>
      </c>
      <c r="W313" s="1" t="s">
        <v>26</v>
      </c>
    </row>
    <row r="314" ht="15.75" customHeight="1">
      <c r="A314" s="1" t="s">
        <v>350</v>
      </c>
      <c r="B314" s="1" t="s">
        <v>24</v>
      </c>
      <c r="C314" s="1">
        <v>0.0</v>
      </c>
      <c r="D314" s="1" t="s">
        <v>26</v>
      </c>
      <c r="E314" s="1" t="s">
        <v>26</v>
      </c>
      <c r="F314" s="1">
        <v>43.0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1">
        <v>115.05</v>
      </c>
      <c r="T314" s="1">
        <v>4895.1</v>
      </c>
      <c r="U314" s="1">
        <v>0.0</v>
      </c>
      <c r="V314" s="1">
        <v>0.0</v>
      </c>
      <c r="W314" s="1" t="s">
        <v>26</v>
      </c>
    </row>
    <row r="315" ht="15.75" customHeight="1">
      <c r="A315" s="1" t="s">
        <v>351</v>
      </c>
      <c r="B315" s="1" t="s">
        <v>24</v>
      </c>
      <c r="C315" s="1">
        <v>1.0</v>
      </c>
      <c r="D315" s="1" t="s">
        <v>25</v>
      </c>
      <c r="E315" s="1" t="s">
        <v>26</v>
      </c>
      <c r="F315" s="1">
        <v>5.0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1">
        <v>69.35</v>
      </c>
      <c r="T315" s="1">
        <v>341.6</v>
      </c>
      <c r="U315" s="1">
        <v>0.0</v>
      </c>
      <c r="V315" s="1">
        <v>0.0</v>
      </c>
      <c r="W315" s="1" t="s">
        <v>26</v>
      </c>
    </row>
    <row r="316" ht="15.75" customHeight="1">
      <c r="A316" s="1" t="s">
        <v>352</v>
      </c>
      <c r="B316" s="1" t="s">
        <v>32</v>
      </c>
      <c r="C316" s="1">
        <v>0.0</v>
      </c>
      <c r="D316" s="1" t="s">
        <v>26</v>
      </c>
      <c r="E316" s="1" t="s">
        <v>26</v>
      </c>
      <c r="F316" s="1">
        <v>5.0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1">
        <v>80.6</v>
      </c>
      <c r="T316" s="1">
        <v>415.55</v>
      </c>
      <c r="U316" s="1">
        <v>0.0</v>
      </c>
      <c r="V316" s="1">
        <v>0.0</v>
      </c>
      <c r="W316" s="1" t="s">
        <v>25</v>
      </c>
    </row>
    <row r="317" ht="15.75" customHeight="1">
      <c r="A317" s="1" t="s">
        <v>353</v>
      </c>
      <c r="B317" s="1" t="s">
        <v>32</v>
      </c>
      <c r="C317" s="1">
        <v>0.0</v>
      </c>
      <c r="D317" s="1" t="s">
        <v>25</v>
      </c>
      <c r="E317" s="1" t="s">
        <v>25</v>
      </c>
      <c r="F317" s="1">
        <v>51.0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1">
        <v>110.05</v>
      </c>
      <c r="T317" s="1">
        <v>5686.4</v>
      </c>
      <c r="U317" s="1">
        <v>0.0</v>
      </c>
      <c r="V317" s="1">
        <v>0.0</v>
      </c>
      <c r="W317" s="1" t="s">
        <v>26</v>
      </c>
    </row>
    <row r="318" ht="15.75" customHeight="1">
      <c r="A318" s="1" t="s">
        <v>354</v>
      </c>
      <c r="B318" s="1" t="s">
        <v>32</v>
      </c>
      <c r="C318" s="1">
        <v>0.0</v>
      </c>
      <c r="D318" s="1" t="s">
        <v>26</v>
      </c>
      <c r="E318" s="1" t="s">
        <v>26</v>
      </c>
      <c r="F318" s="1">
        <v>71.0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1">
        <v>19.9</v>
      </c>
      <c r="T318" s="1">
        <v>1355.1</v>
      </c>
      <c r="U318" s="1">
        <v>0.0</v>
      </c>
      <c r="V318" s="1">
        <v>0.0</v>
      </c>
      <c r="W318" s="1" t="s">
        <v>26</v>
      </c>
    </row>
    <row r="319" ht="15.75" customHeight="1">
      <c r="A319" s="1" t="s">
        <v>355</v>
      </c>
      <c r="B319" s="1" t="s">
        <v>24</v>
      </c>
      <c r="C319" s="1">
        <v>0.0</v>
      </c>
      <c r="D319" s="1" t="s">
        <v>25</v>
      </c>
      <c r="E319" s="1" t="s">
        <v>25</v>
      </c>
      <c r="F319" s="1">
        <v>38.0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1">
        <v>80.3</v>
      </c>
      <c r="T319" s="1">
        <v>3058.65</v>
      </c>
      <c r="U319" s="1">
        <v>0.0</v>
      </c>
      <c r="V319" s="1">
        <v>3.0</v>
      </c>
      <c r="W319" s="1" t="s">
        <v>25</v>
      </c>
    </row>
    <row r="320" ht="15.75" customHeight="1">
      <c r="A320" s="1" t="s">
        <v>356</v>
      </c>
      <c r="B320" s="1" t="s">
        <v>32</v>
      </c>
      <c r="C320" s="1">
        <v>1.0</v>
      </c>
      <c r="D320" s="1" t="s">
        <v>25</v>
      </c>
      <c r="E320" s="1" t="s">
        <v>26</v>
      </c>
      <c r="F320" s="1">
        <v>24.0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1">
        <v>93.15</v>
      </c>
      <c r="T320" s="1">
        <v>2231.05</v>
      </c>
      <c r="U320" s="1">
        <v>0.0</v>
      </c>
      <c r="V320" s="1">
        <v>2.0</v>
      </c>
      <c r="W320" s="1" t="s">
        <v>25</v>
      </c>
    </row>
    <row r="321" ht="15.75" customHeight="1">
      <c r="A321" s="1" t="s">
        <v>357</v>
      </c>
      <c r="B321" s="1" t="s">
        <v>32</v>
      </c>
      <c r="C321" s="1">
        <v>0.0</v>
      </c>
      <c r="D321" s="1" t="s">
        <v>25</v>
      </c>
      <c r="E321" s="1" t="s">
        <v>26</v>
      </c>
      <c r="F321" s="1">
        <v>35.0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1">
        <v>91.5</v>
      </c>
      <c r="T321" s="1">
        <v>3236.35</v>
      </c>
      <c r="U321" s="1">
        <v>0.0</v>
      </c>
      <c r="V321" s="1">
        <v>0.0</v>
      </c>
      <c r="W321" s="1" t="s">
        <v>26</v>
      </c>
    </row>
    <row r="322" ht="15.75" customHeight="1">
      <c r="A322" s="1" t="s">
        <v>358</v>
      </c>
      <c r="B322" s="1" t="s">
        <v>24</v>
      </c>
      <c r="C322" s="1">
        <v>1.0</v>
      </c>
      <c r="D322" s="1" t="s">
        <v>26</v>
      </c>
      <c r="E322" s="1" t="s">
        <v>26</v>
      </c>
      <c r="F322" s="1">
        <v>54.0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1">
        <v>82.45</v>
      </c>
      <c r="T322" s="1">
        <v>4350.1</v>
      </c>
      <c r="U322" s="1">
        <v>0.0</v>
      </c>
      <c r="V322" s="1">
        <v>5.0</v>
      </c>
      <c r="W322" s="1" t="s">
        <v>25</v>
      </c>
    </row>
    <row r="323" ht="15.75" customHeight="1">
      <c r="A323" s="1" t="s">
        <v>359</v>
      </c>
      <c r="B323" s="1" t="s">
        <v>24</v>
      </c>
      <c r="C323" s="1">
        <v>0.0</v>
      </c>
      <c r="D323" s="1" t="s">
        <v>25</v>
      </c>
      <c r="E323" s="1" t="s">
        <v>25</v>
      </c>
      <c r="F323" s="1">
        <v>72.0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1">
        <v>60.0</v>
      </c>
      <c r="T323" s="1">
        <v>4264.0</v>
      </c>
      <c r="U323" s="1">
        <v>0.0</v>
      </c>
      <c r="V323" s="1">
        <v>0.0</v>
      </c>
      <c r="W323" s="1" t="s">
        <v>26</v>
      </c>
    </row>
    <row r="324" ht="15.75" customHeight="1">
      <c r="A324" s="1" t="s">
        <v>360</v>
      </c>
      <c r="B324" s="1" t="s">
        <v>32</v>
      </c>
      <c r="C324" s="1">
        <v>0.0</v>
      </c>
      <c r="D324" s="1" t="s">
        <v>26</v>
      </c>
      <c r="E324" s="1" t="s">
        <v>26</v>
      </c>
      <c r="F324" s="1">
        <v>1.0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1">
        <v>44.8</v>
      </c>
      <c r="T324" s="1">
        <v>44.8</v>
      </c>
      <c r="U324" s="1">
        <v>0.0</v>
      </c>
      <c r="V324" s="1">
        <v>0.0</v>
      </c>
      <c r="W324" s="1" t="s">
        <v>26</v>
      </c>
    </row>
    <row r="325" ht="15.75" customHeight="1">
      <c r="A325" s="1" t="s">
        <v>361</v>
      </c>
      <c r="B325" s="1" t="s">
        <v>24</v>
      </c>
      <c r="C325" s="1">
        <v>0.0</v>
      </c>
      <c r="D325" s="1" t="s">
        <v>25</v>
      </c>
      <c r="E325" s="1" t="s">
        <v>25</v>
      </c>
      <c r="F325" s="1">
        <v>9.0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1">
        <v>48.6</v>
      </c>
      <c r="T325" s="1">
        <v>422.3</v>
      </c>
      <c r="U325" s="1">
        <v>1.0</v>
      </c>
      <c r="V325" s="1">
        <v>0.0</v>
      </c>
      <c r="W325" s="1" t="s">
        <v>26</v>
      </c>
    </row>
    <row r="326" ht="15.75" customHeight="1">
      <c r="A326" s="1" t="s">
        <v>362</v>
      </c>
      <c r="B326" s="1" t="s">
        <v>32</v>
      </c>
      <c r="C326" s="1">
        <v>0.0</v>
      </c>
      <c r="D326" s="1" t="s">
        <v>26</v>
      </c>
      <c r="E326" s="1" t="s">
        <v>26</v>
      </c>
      <c r="F326" s="1">
        <v>69.0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1">
        <v>60.05</v>
      </c>
      <c r="T326" s="1">
        <v>4176.7</v>
      </c>
      <c r="U326" s="1">
        <v>0.0</v>
      </c>
      <c r="V326" s="1">
        <v>0.0</v>
      </c>
      <c r="W326" s="1" t="s">
        <v>26</v>
      </c>
    </row>
    <row r="327" ht="15.75" customHeight="1">
      <c r="A327" s="1" t="s">
        <v>363</v>
      </c>
      <c r="B327" s="1" t="s">
        <v>24</v>
      </c>
      <c r="C327" s="1">
        <v>0.0</v>
      </c>
      <c r="D327" s="1" t="s">
        <v>25</v>
      </c>
      <c r="E327" s="1" t="s">
        <v>26</v>
      </c>
      <c r="F327" s="1">
        <v>52.0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1">
        <v>102.7</v>
      </c>
      <c r="T327" s="1">
        <v>5138.1</v>
      </c>
      <c r="U327" s="1">
        <v>4.0</v>
      </c>
      <c r="V327" s="1">
        <v>0.0</v>
      </c>
      <c r="W327" s="1" t="s">
        <v>26</v>
      </c>
    </row>
    <row r="328" ht="15.75" customHeight="1">
      <c r="A328" s="1" t="s">
        <v>364</v>
      </c>
      <c r="B328" s="1" t="s">
        <v>24</v>
      </c>
      <c r="C328" s="1">
        <v>1.0</v>
      </c>
      <c r="D328" s="1" t="s">
        <v>25</v>
      </c>
      <c r="E328" s="1" t="s">
        <v>26</v>
      </c>
      <c r="F328" s="1">
        <v>11.0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1">
        <v>82.9</v>
      </c>
      <c r="T328" s="1">
        <v>880.05</v>
      </c>
      <c r="U328" s="1">
        <v>0.0</v>
      </c>
      <c r="V328" s="1">
        <v>0.0</v>
      </c>
      <c r="W328" s="1" t="s">
        <v>26</v>
      </c>
    </row>
    <row r="329" ht="15.75" customHeight="1">
      <c r="A329" s="1" t="s">
        <v>365</v>
      </c>
      <c r="B329" s="1" t="s">
        <v>24</v>
      </c>
      <c r="C329" s="1">
        <v>1.0</v>
      </c>
      <c r="D329" s="1" t="s">
        <v>26</v>
      </c>
      <c r="E329" s="1" t="s">
        <v>26</v>
      </c>
      <c r="F329" s="1">
        <v>2.0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1">
        <v>70.35</v>
      </c>
      <c r="T329" s="1">
        <v>139.05</v>
      </c>
      <c r="U329" s="1">
        <v>0.0</v>
      </c>
      <c r="V329" s="1">
        <v>0.0</v>
      </c>
      <c r="W329" s="1" t="s">
        <v>25</v>
      </c>
    </row>
    <row r="330" ht="15.75" customHeight="1">
      <c r="A330" s="1" t="s">
        <v>366</v>
      </c>
      <c r="B330" s="1" t="s">
        <v>24</v>
      </c>
      <c r="C330" s="1">
        <v>1.0</v>
      </c>
      <c r="D330" s="1" t="s">
        <v>25</v>
      </c>
      <c r="E330" s="1" t="s">
        <v>25</v>
      </c>
      <c r="F330" s="1">
        <v>28.0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1">
        <v>35.9</v>
      </c>
      <c r="T330" s="1">
        <v>973.65</v>
      </c>
      <c r="U330" s="1">
        <v>0.0</v>
      </c>
      <c r="V330" s="1">
        <v>0.0</v>
      </c>
      <c r="W330" s="1" t="s">
        <v>26</v>
      </c>
    </row>
    <row r="331" ht="15.75" customHeight="1">
      <c r="A331" s="1" t="s">
        <v>367</v>
      </c>
      <c r="B331" s="1" t="s">
        <v>24</v>
      </c>
      <c r="C331" s="1">
        <v>1.0</v>
      </c>
      <c r="D331" s="1" t="s">
        <v>26</v>
      </c>
      <c r="E331" s="1" t="s">
        <v>26</v>
      </c>
      <c r="F331" s="1">
        <v>17.0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1">
        <v>82.65</v>
      </c>
      <c r="T331" s="1">
        <v>1470.05</v>
      </c>
      <c r="U331" s="1">
        <v>3.0</v>
      </c>
      <c r="V331" s="1">
        <v>0.0</v>
      </c>
      <c r="W331" s="1" t="s">
        <v>26</v>
      </c>
    </row>
    <row r="332" ht="15.75" customHeight="1">
      <c r="A332" s="1" t="s">
        <v>368</v>
      </c>
      <c r="B332" s="1" t="s">
        <v>24</v>
      </c>
      <c r="C332" s="1">
        <v>0.0</v>
      </c>
      <c r="D332" s="1" t="s">
        <v>25</v>
      </c>
      <c r="E332" s="1" t="s">
        <v>25</v>
      </c>
      <c r="F332" s="1">
        <v>35.0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1">
        <v>19.85</v>
      </c>
      <c r="T332" s="1">
        <v>739.35</v>
      </c>
      <c r="U332" s="1">
        <v>0.0</v>
      </c>
      <c r="V332" s="1">
        <v>0.0</v>
      </c>
      <c r="W332" s="1" t="s">
        <v>26</v>
      </c>
    </row>
    <row r="333" ht="15.75" customHeight="1">
      <c r="A333" s="1" t="s">
        <v>369</v>
      </c>
      <c r="B333" s="1" t="s">
        <v>24</v>
      </c>
      <c r="C333" s="1">
        <v>0.0</v>
      </c>
      <c r="D333" s="1" t="s">
        <v>26</v>
      </c>
      <c r="E333" s="1" t="s">
        <v>26</v>
      </c>
      <c r="F333" s="1">
        <v>8.0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1">
        <v>19.2</v>
      </c>
      <c r="T333" s="1">
        <v>161.95</v>
      </c>
      <c r="U333" s="1">
        <v>0.0</v>
      </c>
      <c r="V333" s="1">
        <v>0.0</v>
      </c>
      <c r="W333" s="1" t="s">
        <v>26</v>
      </c>
    </row>
    <row r="334" ht="15.75" customHeight="1">
      <c r="A334" s="1" t="s">
        <v>370</v>
      </c>
      <c r="B334" s="1" t="s">
        <v>32</v>
      </c>
      <c r="C334" s="1">
        <v>0.0</v>
      </c>
      <c r="D334" s="1" t="s">
        <v>26</v>
      </c>
      <c r="E334" s="1" t="s">
        <v>26</v>
      </c>
      <c r="F334" s="1">
        <v>46.0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1">
        <v>94.9</v>
      </c>
      <c r="T334" s="1">
        <v>4422.95</v>
      </c>
      <c r="U334" s="1">
        <v>0.0</v>
      </c>
      <c r="V334" s="1">
        <v>0.0</v>
      </c>
      <c r="W334" s="1" t="s">
        <v>26</v>
      </c>
    </row>
    <row r="335" ht="15.75" customHeight="1">
      <c r="A335" s="1" t="s">
        <v>371</v>
      </c>
      <c r="B335" s="1" t="s">
        <v>24</v>
      </c>
      <c r="C335" s="1">
        <v>0.0</v>
      </c>
      <c r="D335" s="1" t="s">
        <v>26</v>
      </c>
      <c r="E335" s="1" t="s">
        <v>26</v>
      </c>
      <c r="F335" s="1">
        <v>7.0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1">
        <v>73.85</v>
      </c>
      <c r="T335" s="1">
        <v>511.25</v>
      </c>
      <c r="U335" s="1">
        <v>0.0</v>
      </c>
      <c r="V335" s="1">
        <v>0.0</v>
      </c>
      <c r="W335" s="1" t="s">
        <v>25</v>
      </c>
    </row>
    <row r="336" ht="15.75" customHeight="1">
      <c r="A336" s="1" t="s">
        <v>372</v>
      </c>
      <c r="B336" s="1" t="s">
        <v>24</v>
      </c>
      <c r="C336" s="1">
        <v>0.0</v>
      </c>
      <c r="D336" s="1" t="s">
        <v>26</v>
      </c>
      <c r="E336" s="1" t="s">
        <v>26</v>
      </c>
      <c r="F336" s="1">
        <v>2.0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1">
        <v>80.6</v>
      </c>
      <c r="T336" s="1">
        <v>155.8</v>
      </c>
      <c r="U336" s="1">
        <v>0.0</v>
      </c>
      <c r="V336" s="1">
        <v>0.0</v>
      </c>
      <c r="W336" s="1" t="s">
        <v>25</v>
      </c>
    </row>
    <row r="337" ht="15.75" customHeight="1">
      <c r="A337" s="1" t="s">
        <v>373</v>
      </c>
      <c r="B337" s="1" t="s">
        <v>32</v>
      </c>
      <c r="C337" s="1">
        <v>0.0</v>
      </c>
      <c r="D337" s="1" t="s">
        <v>25</v>
      </c>
      <c r="E337" s="1" t="s">
        <v>25</v>
      </c>
      <c r="F337" s="1">
        <v>68.0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1">
        <v>75.8</v>
      </c>
      <c r="T337" s="1">
        <v>5293.95</v>
      </c>
      <c r="U337" s="1">
        <v>0.0</v>
      </c>
      <c r="V337" s="1">
        <v>6.0</v>
      </c>
      <c r="W337" s="1" t="s">
        <v>25</v>
      </c>
    </row>
    <row r="338" ht="15.75" customHeight="1">
      <c r="A338" s="1" t="s">
        <v>374</v>
      </c>
      <c r="B338" s="1" t="s">
        <v>24</v>
      </c>
      <c r="C338" s="1">
        <v>0.0</v>
      </c>
      <c r="D338" s="1" t="s">
        <v>26</v>
      </c>
      <c r="E338" s="1" t="s">
        <v>26</v>
      </c>
      <c r="F338" s="1">
        <v>43.0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1">
        <v>104.6</v>
      </c>
      <c r="T338" s="1">
        <v>4759.85</v>
      </c>
      <c r="U338" s="1">
        <v>0.0</v>
      </c>
      <c r="V338" s="1">
        <v>4.0</v>
      </c>
      <c r="W338" s="1" t="s">
        <v>25</v>
      </c>
    </row>
    <row r="339" ht="15.75" customHeight="1">
      <c r="A339" s="1" t="s">
        <v>375</v>
      </c>
      <c r="B339" s="1" t="s">
        <v>24</v>
      </c>
      <c r="C339" s="1">
        <v>0.0</v>
      </c>
      <c r="D339" s="1" t="s">
        <v>26</v>
      </c>
      <c r="E339" s="1" t="s">
        <v>26</v>
      </c>
      <c r="F339" s="1">
        <v>68.0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1">
        <v>88.15</v>
      </c>
      <c r="T339" s="1">
        <v>6148.45</v>
      </c>
      <c r="U339" s="1">
        <v>0.0</v>
      </c>
      <c r="V339" s="1">
        <v>0.0</v>
      </c>
      <c r="W339" s="1" t="s">
        <v>26</v>
      </c>
    </row>
    <row r="340" ht="15.75" customHeight="1">
      <c r="A340" s="1" t="s">
        <v>376</v>
      </c>
      <c r="B340" s="1" t="s">
        <v>24</v>
      </c>
      <c r="C340" s="1">
        <v>0.0</v>
      </c>
      <c r="D340" s="1" t="s">
        <v>26</v>
      </c>
      <c r="E340" s="1" t="s">
        <v>26</v>
      </c>
      <c r="F340" s="1">
        <v>36.0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1">
        <v>94.8</v>
      </c>
      <c r="T340" s="1">
        <v>3565.65</v>
      </c>
      <c r="U340" s="1">
        <v>0.0</v>
      </c>
      <c r="V340" s="1">
        <v>0.0</v>
      </c>
      <c r="W340" s="1" t="s">
        <v>26</v>
      </c>
    </row>
    <row r="341" ht="15.75" customHeight="1">
      <c r="A341" s="1" t="s">
        <v>377</v>
      </c>
      <c r="B341" s="1" t="s">
        <v>32</v>
      </c>
      <c r="C341" s="1">
        <v>0.0</v>
      </c>
      <c r="D341" s="1" t="s">
        <v>25</v>
      </c>
      <c r="E341" s="1" t="s">
        <v>26</v>
      </c>
      <c r="F341" s="1">
        <v>63.0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1">
        <v>103.4</v>
      </c>
      <c r="T341" s="1">
        <v>6603.0</v>
      </c>
      <c r="U341" s="1">
        <v>0.0</v>
      </c>
      <c r="V341" s="1">
        <v>4.0</v>
      </c>
      <c r="W341" s="1" t="s">
        <v>25</v>
      </c>
    </row>
    <row r="342" ht="15.75" customHeight="1">
      <c r="A342" s="1" t="s">
        <v>378</v>
      </c>
      <c r="B342" s="1" t="s">
        <v>24</v>
      </c>
      <c r="C342" s="1">
        <v>1.0</v>
      </c>
      <c r="D342" s="1" t="s">
        <v>26</v>
      </c>
      <c r="E342" s="1" t="s">
        <v>26</v>
      </c>
      <c r="F342" s="1">
        <v>32.0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1">
        <v>54.65</v>
      </c>
      <c r="T342" s="1">
        <v>1830.1</v>
      </c>
      <c r="U342" s="1">
        <v>0.0</v>
      </c>
      <c r="V342" s="1">
        <v>0.0</v>
      </c>
      <c r="W342" s="1" t="s">
        <v>26</v>
      </c>
    </row>
    <row r="343" ht="15.75" customHeight="1">
      <c r="A343" s="1" t="s">
        <v>379</v>
      </c>
      <c r="B343" s="1" t="s">
        <v>24</v>
      </c>
      <c r="C343" s="1">
        <v>0.0</v>
      </c>
      <c r="D343" s="1" t="s">
        <v>25</v>
      </c>
      <c r="E343" s="1" t="s">
        <v>26</v>
      </c>
      <c r="F343" s="1">
        <v>71.0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1">
        <v>85.75</v>
      </c>
      <c r="T343" s="1">
        <v>6223.8</v>
      </c>
      <c r="U343" s="1">
        <v>0.0</v>
      </c>
      <c r="V343" s="1">
        <v>0.0</v>
      </c>
      <c r="W343" s="1" t="s">
        <v>26</v>
      </c>
    </row>
    <row r="344" ht="15.75" customHeight="1">
      <c r="A344" s="1" t="s">
        <v>380</v>
      </c>
      <c r="B344" s="1" t="s">
        <v>24</v>
      </c>
      <c r="C344" s="1">
        <v>0.0</v>
      </c>
      <c r="D344" s="1" t="s">
        <v>25</v>
      </c>
      <c r="E344" s="1" t="s">
        <v>25</v>
      </c>
      <c r="F344" s="1">
        <v>66.0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1">
        <v>67.45</v>
      </c>
      <c r="T344" s="1">
        <v>4508.65</v>
      </c>
      <c r="U344" s="1">
        <v>0.0</v>
      </c>
      <c r="V344" s="1">
        <v>0.0</v>
      </c>
      <c r="W344" s="1" t="s">
        <v>26</v>
      </c>
    </row>
    <row r="345" ht="15.75" customHeight="1">
      <c r="A345" s="1" t="s">
        <v>381</v>
      </c>
      <c r="B345" s="1" t="s">
        <v>32</v>
      </c>
      <c r="C345" s="1">
        <v>0.0</v>
      </c>
      <c r="D345" s="1" t="s">
        <v>26</v>
      </c>
      <c r="E345" s="1" t="s">
        <v>26</v>
      </c>
      <c r="F345" s="1">
        <v>63.0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1">
        <v>20.5</v>
      </c>
      <c r="T345" s="1">
        <v>1328.15</v>
      </c>
      <c r="U345" s="1">
        <v>0.0</v>
      </c>
      <c r="V345" s="1">
        <v>0.0</v>
      </c>
      <c r="W345" s="1" t="s">
        <v>26</v>
      </c>
    </row>
    <row r="346" ht="15.75" customHeight="1">
      <c r="A346" s="1" t="s">
        <v>382</v>
      </c>
      <c r="B346" s="1" t="s">
        <v>24</v>
      </c>
      <c r="C346" s="1">
        <v>0.0</v>
      </c>
      <c r="D346" s="1" t="s">
        <v>26</v>
      </c>
      <c r="E346" s="1" t="s">
        <v>25</v>
      </c>
      <c r="F346" s="1">
        <v>41.0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1">
        <v>20.25</v>
      </c>
      <c r="T346" s="1">
        <v>865.0</v>
      </c>
      <c r="U346" s="1">
        <v>4.0</v>
      </c>
      <c r="V346" s="1">
        <v>0.0</v>
      </c>
      <c r="W346" s="1" t="s">
        <v>26</v>
      </c>
    </row>
    <row r="347" ht="15.75" customHeight="1">
      <c r="A347" s="1" t="s">
        <v>383</v>
      </c>
      <c r="B347" s="1" t="s">
        <v>24</v>
      </c>
      <c r="C347" s="1">
        <v>1.0</v>
      </c>
      <c r="D347" s="1" t="s">
        <v>26</v>
      </c>
      <c r="E347" s="1" t="s">
        <v>26</v>
      </c>
      <c r="F347" s="1">
        <v>1.0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1">
        <v>72.1</v>
      </c>
      <c r="T347" s="1">
        <v>72.1</v>
      </c>
      <c r="U347" s="1">
        <v>0.0</v>
      </c>
      <c r="V347" s="1">
        <v>0.0</v>
      </c>
      <c r="W347" s="1" t="s">
        <v>26</v>
      </c>
    </row>
    <row r="348" ht="15.75" customHeight="1">
      <c r="A348" s="1" t="s">
        <v>384</v>
      </c>
      <c r="B348" s="1" t="s">
        <v>24</v>
      </c>
      <c r="C348" s="1">
        <v>0.0</v>
      </c>
      <c r="D348" s="1" t="s">
        <v>26</v>
      </c>
      <c r="E348" s="1" t="s">
        <v>26</v>
      </c>
      <c r="F348" s="1">
        <v>2.0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1">
        <v>90.4</v>
      </c>
      <c r="T348" s="1">
        <v>168.2</v>
      </c>
      <c r="U348" s="1">
        <v>0.0</v>
      </c>
      <c r="V348" s="1">
        <v>1.0</v>
      </c>
      <c r="W348" s="1" t="s">
        <v>25</v>
      </c>
    </row>
    <row r="349" ht="15.75" customHeight="1">
      <c r="A349" s="1" t="s">
        <v>385</v>
      </c>
      <c r="B349" s="1" t="s">
        <v>24</v>
      </c>
      <c r="C349" s="1">
        <v>0.0</v>
      </c>
      <c r="D349" s="1" t="s">
        <v>25</v>
      </c>
      <c r="E349" s="1" t="s">
        <v>26</v>
      </c>
      <c r="F349" s="1">
        <v>70.0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1">
        <v>19.45</v>
      </c>
      <c r="T349" s="1">
        <v>1303.5</v>
      </c>
      <c r="U349" s="1">
        <v>0.0</v>
      </c>
      <c r="V349" s="1">
        <v>1.0</v>
      </c>
      <c r="W349" s="1" t="s">
        <v>26</v>
      </c>
    </row>
    <row r="350" ht="15.75" customHeight="1">
      <c r="A350" s="1" t="s">
        <v>386</v>
      </c>
      <c r="B350" s="1" t="s">
        <v>24</v>
      </c>
      <c r="C350" s="1">
        <v>0.0</v>
      </c>
      <c r="D350" s="1" t="s">
        <v>26</v>
      </c>
      <c r="E350" s="1" t="s">
        <v>26</v>
      </c>
      <c r="F350" s="1">
        <v>23.0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1">
        <v>44.95</v>
      </c>
      <c r="T350" s="1">
        <v>996.85</v>
      </c>
      <c r="U350" s="1">
        <v>0.0</v>
      </c>
      <c r="V350" s="1">
        <v>0.0</v>
      </c>
      <c r="W350" s="1" t="s">
        <v>26</v>
      </c>
    </row>
    <row r="351" ht="15.75" customHeight="1">
      <c r="A351" s="1" t="s">
        <v>387</v>
      </c>
      <c r="B351" s="1" t="s">
        <v>24</v>
      </c>
      <c r="C351" s="1">
        <v>1.0</v>
      </c>
      <c r="D351" s="1" t="s">
        <v>25</v>
      </c>
      <c r="E351" s="1" t="s">
        <v>26</v>
      </c>
      <c r="F351" s="1">
        <v>64.0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1">
        <v>97.0</v>
      </c>
      <c r="T351" s="1">
        <v>6430.9</v>
      </c>
      <c r="U351" s="1">
        <v>0.0</v>
      </c>
      <c r="V351" s="1">
        <v>0.0</v>
      </c>
      <c r="W351" s="1" t="s">
        <v>26</v>
      </c>
    </row>
    <row r="352" ht="15.75" customHeight="1">
      <c r="A352" s="1" t="s">
        <v>388</v>
      </c>
      <c r="B352" s="1" t="s">
        <v>32</v>
      </c>
      <c r="C352" s="1">
        <v>0.0</v>
      </c>
      <c r="D352" s="1" t="s">
        <v>25</v>
      </c>
      <c r="E352" s="1" t="s">
        <v>25</v>
      </c>
      <c r="F352" s="1">
        <v>37.0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1">
        <v>62.8</v>
      </c>
      <c r="T352" s="1">
        <v>2278.75</v>
      </c>
      <c r="U352" s="1">
        <v>5.0</v>
      </c>
      <c r="V352" s="1">
        <v>0.0</v>
      </c>
      <c r="W352" s="1" t="s">
        <v>26</v>
      </c>
    </row>
    <row r="353" ht="15.75" customHeight="1">
      <c r="A353" s="1" t="s">
        <v>389</v>
      </c>
      <c r="B353" s="1" t="s">
        <v>32</v>
      </c>
      <c r="C353" s="1">
        <v>0.0</v>
      </c>
      <c r="D353" s="1" t="s">
        <v>26</v>
      </c>
      <c r="E353" s="1" t="s">
        <v>25</v>
      </c>
      <c r="F353" s="1">
        <v>17.0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1">
        <v>44.6</v>
      </c>
      <c r="T353" s="1">
        <v>681.4</v>
      </c>
      <c r="U353" s="1">
        <v>2.0</v>
      </c>
      <c r="V353" s="1">
        <v>0.0</v>
      </c>
      <c r="W353" s="1" t="s">
        <v>26</v>
      </c>
    </row>
    <row r="354" ht="15.75" customHeight="1">
      <c r="A354" s="1" t="s">
        <v>390</v>
      </c>
      <c r="B354" s="1" t="s">
        <v>24</v>
      </c>
      <c r="C354" s="1">
        <v>1.0</v>
      </c>
      <c r="D354" s="1" t="s">
        <v>26</v>
      </c>
      <c r="E354" s="1" t="s">
        <v>26</v>
      </c>
      <c r="F354" s="1">
        <v>7.0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1">
        <v>89.15</v>
      </c>
      <c r="T354" s="1">
        <v>574.35</v>
      </c>
      <c r="U354" s="1">
        <v>0.0</v>
      </c>
      <c r="V354" s="1">
        <v>0.0</v>
      </c>
      <c r="W354" s="1" t="s">
        <v>26</v>
      </c>
    </row>
    <row r="355" ht="15.75" customHeight="1">
      <c r="A355" s="1" t="s">
        <v>391</v>
      </c>
      <c r="B355" s="1" t="s">
        <v>32</v>
      </c>
      <c r="C355" s="1">
        <v>0.0</v>
      </c>
      <c r="D355" s="1" t="s">
        <v>25</v>
      </c>
      <c r="E355" s="1" t="s">
        <v>25</v>
      </c>
      <c r="F355" s="1">
        <v>4.0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1">
        <v>84.8</v>
      </c>
      <c r="T355" s="1">
        <v>371.9</v>
      </c>
      <c r="U355" s="1">
        <v>0.0</v>
      </c>
      <c r="V355" s="1">
        <v>0.0</v>
      </c>
      <c r="W355" s="1" t="s">
        <v>25</v>
      </c>
    </row>
    <row r="356" ht="15.75" customHeight="1">
      <c r="A356" s="1" t="s">
        <v>392</v>
      </c>
      <c r="B356" s="1" t="s">
        <v>24</v>
      </c>
      <c r="C356" s="1">
        <v>1.0</v>
      </c>
      <c r="D356" s="1" t="s">
        <v>26</v>
      </c>
      <c r="E356" s="1" t="s">
        <v>26</v>
      </c>
      <c r="F356" s="1">
        <v>21.0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1">
        <v>41.9</v>
      </c>
      <c r="T356" s="1">
        <v>840.1</v>
      </c>
      <c r="U356" s="1">
        <v>0.0</v>
      </c>
      <c r="V356" s="1">
        <v>1.0</v>
      </c>
      <c r="W356" s="1" t="s">
        <v>25</v>
      </c>
    </row>
    <row r="357" ht="15.75" customHeight="1">
      <c r="A357" s="1" t="s">
        <v>393</v>
      </c>
      <c r="B357" s="1" t="s">
        <v>24</v>
      </c>
      <c r="C357" s="1">
        <v>0.0</v>
      </c>
      <c r="D357" s="1" t="s">
        <v>26</v>
      </c>
      <c r="E357" s="1" t="s">
        <v>26</v>
      </c>
      <c r="F357" s="1">
        <v>10.0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1">
        <v>80.25</v>
      </c>
      <c r="T357" s="1">
        <v>846.0</v>
      </c>
      <c r="U357" s="1">
        <v>0.0</v>
      </c>
      <c r="V357" s="1">
        <v>0.0</v>
      </c>
      <c r="W357" s="1" t="s">
        <v>25</v>
      </c>
    </row>
    <row r="358" ht="15.75" customHeight="1">
      <c r="A358" s="1" t="s">
        <v>394</v>
      </c>
      <c r="B358" s="1" t="s">
        <v>24</v>
      </c>
      <c r="C358" s="1">
        <v>1.0</v>
      </c>
      <c r="D358" s="1" t="s">
        <v>26</v>
      </c>
      <c r="E358" s="1" t="s">
        <v>26</v>
      </c>
      <c r="F358" s="1">
        <v>16.0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1">
        <v>54.1</v>
      </c>
      <c r="T358" s="1">
        <v>889.0</v>
      </c>
      <c r="U358" s="1">
        <v>0.0</v>
      </c>
      <c r="V358" s="1">
        <v>0.0</v>
      </c>
      <c r="W358" s="1" t="s">
        <v>26</v>
      </c>
    </row>
    <row r="359" ht="15.75" customHeight="1">
      <c r="A359" s="1" t="s">
        <v>395</v>
      </c>
      <c r="B359" s="1" t="s">
        <v>32</v>
      </c>
      <c r="C359" s="1">
        <v>0.0</v>
      </c>
      <c r="D359" s="1" t="s">
        <v>25</v>
      </c>
      <c r="E359" s="1" t="s">
        <v>26</v>
      </c>
      <c r="F359" s="1">
        <v>64.0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1">
        <v>105.25</v>
      </c>
      <c r="T359" s="1">
        <v>6823.4</v>
      </c>
      <c r="U359" s="1">
        <v>0.0</v>
      </c>
      <c r="V359" s="1">
        <v>0.0</v>
      </c>
      <c r="W359" s="1" t="s">
        <v>26</v>
      </c>
    </row>
    <row r="360" ht="15.75" customHeight="1">
      <c r="A360" s="1" t="s">
        <v>396</v>
      </c>
      <c r="B360" s="1" t="s">
        <v>32</v>
      </c>
      <c r="C360" s="1">
        <v>1.0</v>
      </c>
      <c r="D360" s="1" t="s">
        <v>25</v>
      </c>
      <c r="E360" s="1" t="s">
        <v>26</v>
      </c>
      <c r="F360" s="1">
        <v>27.0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1">
        <v>30.75</v>
      </c>
      <c r="T360" s="1">
        <v>805.1</v>
      </c>
      <c r="U360" s="1">
        <v>0.0</v>
      </c>
      <c r="V360" s="1">
        <v>0.0</v>
      </c>
      <c r="W360" s="1" t="s">
        <v>25</v>
      </c>
    </row>
    <row r="361" ht="15.75" customHeight="1">
      <c r="A361" s="1" t="s">
        <v>397</v>
      </c>
      <c r="B361" s="1" t="s">
        <v>32</v>
      </c>
      <c r="C361" s="1">
        <v>0.0</v>
      </c>
      <c r="D361" s="1" t="s">
        <v>25</v>
      </c>
      <c r="E361" s="1" t="s">
        <v>25</v>
      </c>
      <c r="F361" s="1">
        <v>42.0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1">
        <v>97.1</v>
      </c>
      <c r="T361" s="1">
        <v>4016.75</v>
      </c>
      <c r="U361" s="1">
        <v>0.0</v>
      </c>
      <c r="V361" s="1">
        <v>0.0</v>
      </c>
      <c r="W361" s="1" t="s">
        <v>26</v>
      </c>
    </row>
    <row r="362" ht="15.75" customHeight="1">
      <c r="A362" s="1" t="s">
        <v>398</v>
      </c>
      <c r="B362" s="1" t="s">
        <v>32</v>
      </c>
      <c r="C362" s="1">
        <v>0.0</v>
      </c>
      <c r="D362" s="1" t="s">
        <v>26</v>
      </c>
      <c r="E362" s="1" t="s">
        <v>25</v>
      </c>
      <c r="F362" s="1">
        <v>5.0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1">
        <v>20.2</v>
      </c>
      <c r="T362" s="1">
        <v>83.75</v>
      </c>
      <c r="U362" s="1">
        <v>0.0</v>
      </c>
      <c r="V362" s="1">
        <v>0.0</v>
      </c>
      <c r="W362" s="1" t="s">
        <v>26</v>
      </c>
    </row>
    <row r="363" ht="15.75" customHeight="1">
      <c r="A363" s="1" t="s">
        <v>399</v>
      </c>
      <c r="B363" s="1" t="s">
        <v>24</v>
      </c>
      <c r="C363" s="1">
        <v>0.0</v>
      </c>
      <c r="D363" s="1" t="s">
        <v>26</v>
      </c>
      <c r="E363" s="1" t="s">
        <v>26</v>
      </c>
      <c r="F363" s="1">
        <v>41.0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1">
        <v>98.8</v>
      </c>
      <c r="T363" s="1">
        <v>3959.15</v>
      </c>
      <c r="U363" s="1">
        <v>0.0</v>
      </c>
      <c r="V363" s="1">
        <v>0.0</v>
      </c>
      <c r="W363" s="1" t="s">
        <v>26</v>
      </c>
    </row>
    <row r="364" ht="15.75" customHeight="1">
      <c r="A364" s="1" t="s">
        <v>400</v>
      </c>
      <c r="B364" s="1" t="s">
        <v>32</v>
      </c>
      <c r="C364" s="1">
        <v>0.0</v>
      </c>
      <c r="D364" s="1" t="s">
        <v>25</v>
      </c>
      <c r="E364" s="1" t="s">
        <v>26</v>
      </c>
      <c r="F364" s="1">
        <v>58.0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1">
        <v>50.3</v>
      </c>
      <c r="T364" s="1">
        <v>2878.55</v>
      </c>
      <c r="U364" s="1">
        <v>0.0</v>
      </c>
      <c r="V364" s="1">
        <v>0.0</v>
      </c>
      <c r="W364" s="1" t="s">
        <v>26</v>
      </c>
    </row>
    <row r="365" ht="15.75" customHeight="1">
      <c r="A365" s="1" t="s">
        <v>401</v>
      </c>
      <c r="B365" s="1" t="s">
        <v>24</v>
      </c>
      <c r="C365" s="1">
        <v>0.0</v>
      </c>
      <c r="D365" s="1" t="s">
        <v>26</v>
      </c>
      <c r="E365" s="1" t="s">
        <v>26</v>
      </c>
      <c r="F365" s="1">
        <v>47.0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1">
        <v>20.55</v>
      </c>
      <c r="T365" s="1">
        <v>945.7</v>
      </c>
      <c r="U365" s="1">
        <v>4.0</v>
      </c>
      <c r="V365" s="1">
        <v>0.0</v>
      </c>
      <c r="W365" s="1" t="s">
        <v>26</v>
      </c>
    </row>
    <row r="366" ht="15.75" customHeight="1">
      <c r="A366" s="1" t="s">
        <v>402</v>
      </c>
      <c r="B366" s="1" t="s">
        <v>32</v>
      </c>
      <c r="C366" s="1">
        <v>0.0</v>
      </c>
      <c r="D366" s="1" t="s">
        <v>26</v>
      </c>
      <c r="E366" s="1" t="s">
        <v>26</v>
      </c>
      <c r="F366" s="1">
        <v>18.0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1">
        <v>75.9</v>
      </c>
      <c r="T366" s="1">
        <v>1373.05</v>
      </c>
      <c r="U366" s="1">
        <v>2.0</v>
      </c>
      <c r="V366" s="1">
        <v>0.0</v>
      </c>
      <c r="W366" s="1" t="s">
        <v>26</v>
      </c>
    </row>
    <row r="367" ht="15.75" customHeight="1">
      <c r="A367" s="1" t="s">
        <v>403</v>
      </c>
      <c r="B367" s="1" t="s">
        <v>32</v>
      </c>
      <c r="C367" s="1">
        <v>0.0</v>
      </c>
      <c r="D367" s="1" t="s">
        <v>26</v>
      </c>
      <c r="E367" s="1" t="s">
        <v>26</v>
      </c>
      <c r="F367" s="1">
        <v>5.0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1">
        <v>96.5</v>
      </c>
      <c r="T367" s="1">
        <v>492.55</v>
      </c>
      <c r="U367" s="1">
        <v>0.0</v>
      </c>
      <c r="V367" s="1">
        <v>0.0</v>
      </c>
      <c r="W367" s="1" t="s">
        <v>25</v>
      </c>
    </row>
    <row r="368" ht="15.75" customHeight="1">
      <c r="A368" s="1" t="s">
        <v>404</v>
      </c>
      <c r="B368" s="1" t="s">
        <v>32</v>
      </c>
      <c r="C368" s="1">
        <v>0.0</v>
      </c>
      <c r="D368" s="1" t="s">
        <v>25</v>
      </c>
      <c r="E368" s="1" t="s">
        <v>26</v>
      </c>
      <c r="F368" s="1">
        <v>23.0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1">
        <v>59.95</v>
      </c>
      <c r="T368" s="1">
        <v>1406.0</v>
      </c>
      <c r="U368" s="1">
        <v>0.0</v>
      </c>
      <c r="V368" s="1">
        <v>0.0</v>
      </c>
      <c r="W368" s="1" t="s">
        <v>26</v>
      </c>
    </row>
    <row r="369" ht="15.75" customHeight="1">
      <c r="A369" s="1" t="s">
        <v>405</v>
      </c>
      <c r="B369" s="1" t="s">
        <v>24</v>
      </c>
      <c r="C369" s="1">
        <v>0.0</v>
      </c>
      <c r="D369" s="1" t="s">
        <v>26</v>
      </c>
      <c r="E369" s="1" t="s">
        <v>26</v>
      </c>
      <c r="F369" s="1">
        <v>1.0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1">
        <v>19.15</v>
      </c>
      <c r="T369" s="1">
        <v>19.15</v>
      </c>
      <c r="U369" s="1">
        <v>0.0</v>
      </c>
      <c r="V369" s="1">
        <v>0.0</v>
      </c>
      <c r="W369" s="1" t="s">
        <v>26</v>
      </c>
    </row>
    <row r="370" ht="15.75" customHeight="1">
      <c r="A370" s="1" t="s">
        <v>406</v>
      </c>
      <c r="B370" s="1" t="s">
        <v>32</v>
      </c>
      <c r="C370" s="1">
        <v>0.0</v>
      </c>
      <c r="D370" s="1" t="s">
        <v>25</v>
      </c>
      <c r="E370" s="1" t="s">
        <v>26</v>
      </c>
      <c r="F370" s="1">
        <v>71.0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1">
        <v>98.65</v>
      </c>
      <c r="T370" s="1">
        <v>6962.85</v>
      </c>
      <c r="U370" s="1">
        <v>0.0</v>
      </c>
      <c r="V370" s="1">
        <v>0.0</v>
      </c>
      <c r="W370" s="1" t="s">
        <v>26</v>
      </c>
    </row>
    <row r="371" ht="15.75" customHeight="1">
      <c r="A371" s="1" t="s">
        <v>407</v>
      </c>
      <c r="B371" s="1" t="s">
        <v>32</v>
      </c>
      <c r="C371" s="1">
        <v>0.0</v>
      </c>
      <c r="D371" s="1" t="s">
        <v>25</v>
      </c>
      <c r="E371" s="1" t="s">
        <v>25</v>
      </c>
      <c r="F371" s="1">
        <v>72.0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1">
        <v>112.6</v>
      </c>
      <c r="T371" s="1">
        <v>8126.65</v>
      </c>
      <c r="U371" s="1">
        <v>0.0</v>
      </c>
      <c r="V371" s="1">
        <v>0.0</v>
      </c>
      <c r="W371" s="1" t="s">
        <v>26</v>
      </c>
    </row>
    <row r="372" ht="15.75" customHeight="1">
      <c r="A372" s="1" t="s">
        <v>408</v>
      </c>
      <c r="B372" s="1" t="s">
        <v>32</v>
      </c>
      <c r="C372" s="1">
        <v>0.0</v>
      </c>
      <c r="D372" s="1" t="s">
        <v>25</v>
      </c>
      <c r="E372" s="1" t="s">
        <v>25</v>
      </c>
      <c r="F372" s="1">
        <v>33.0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1">
        <v>20.6</v>
      </c>
      <c r="T372" s="1">
        <v>690.25</v>
      </c>
      <c r="U372" s="1">
        <v>0.0</v>
      </c>
      <c r="V372" s="1">
        <v>0.0</v>
      </c>
      <c r="W372" s="1" t="s">
        <v>26</v>
      </c>
    </row>
    <row r="373" ht="15.75" customHeight="1">
      <c r="A373" s="1" t="s">
        <v>409</v>
      </c>
      <c r="B373" s="1" t="s">
        <v>32</v>
      </c>
      <c r="C373" s="1">
        <v>0.0</v>
      </c>
      <c r="D373" s="1" t="s">
        <v>26</v>
      </c>
      <c r="E373" s="1" t="s">
        <v>26</v>
      </c>
      <c r="F373" s="1">
        <v>2.0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1">
        <v>85.65</v>
      </c>
      <c r="T373" s="1">
        <v>181.5</v>
      </c>
      <c r="U373" s="1">
        <v>0.0</v>
      </c>
      <c r="V373" s="1">
        <v>0.0</v>
      </c>
      <c r="W373" s="1" t="s">
        <v>25</v>
      </c>
    </row>
    <row r="374" ht="15.75" customHeight="1">
      <c r="A374" s="1" t="s">
        <v>410</v>
      </c>
      <c r="B374" s="1" t="s">
        <v>32</v>
      </c>
      <c r="C374" s="1">
        <v>0.0</v>
      </c>
      <c r="D374" s="1" t="s">
        <v>26</v>
      </c>
      <c r="E374" s="1" t="s">
        <v>25</v>
      </c>
      <c r="F374" s="1">
        <v>24.0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1">
        <v>35.75</v>
      </c>
      <c r="T374" s="1">
        <v>830.8</v>
      </c>
      <c r="U374" s="1">
        <v>1.0</v>
      </c>
      <c r="V374" s="1">
        <v>0.0</v>
      </c>
      <c r="W374" s="1" t="s">
        <v>26</v>
      </c>
    </row>
    <row r="375" ht="15.75" customHeight="1">
      <c r="A375" s="1" t="s">
        <v>411</v>
      </c>
      <c r="B375" s="1" t="s">
        <v>24</v>
      </c>
      <c r="C375" s="1">
        <v>0.0</v>
      </c>
      <c r="D375" s="1" t="s">
        <v>25</v>
      </c>
      <c r="E375" s="1" t="s">
        <v>25</v>
      </c>
      <c r="F375" s="1">
        <v>56.0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1">
        <v>99.75</v>
      </c>
      <c r="T375" s="1">
        <v>5608.4</v>
      </c>
      <c r="U375" s="1">
        <v>0.0</v>
      </c>
      <c r="V375" s="1">
        <v>0.0</v>
      </c>
      <c r="W375" s="1" t="s">
        <v>26</v>
      </c>
    </row>
    <row r="376" ht="15.75" customHeight="1">
      <c r="A376" s="1" t="s">
        <v>412</v>
      </c>
      <c r="B376" s="1" t="s">
        <v>32</v>
      </c>
      <c r="C376" s="1">
        <v>0.0</v>
      </c>
      <c r="D376" s="1" t="s">
        <v>26</v>
      </c>
      <c r="E376" s="1" t="s">
        <v>26</v>
      </c>
      <c r="F376" s="1">
        <v>37.0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1">
        <v>96.1</v>
      </c>
      <c r="T376" s="1">
        <v>3646.8</v>
      </c>
      <c r="U376" s="1">
        <v>0.0</v>
      </c>
      <c r="V376" s="1">
        <v>0.0</v>
      </c>
      <c r="W376" s="1" t="s">
        <v>26</v>
      </c>
    </row>
    <row r="377" ht="15.75" customHeight="1">
      <c r="A377" s="1" t="s">
        <v>413</v>
      </c>
      <c r="B377" s="1" t="s">
        <v>24</v>
      </c>
      <c r="C377" s="1">
        <v>0.0</v>
      </c>
      <c r="D377" s="1" t="s">
        <v>26</v>
      </c>
      <c r="E377" s="1" t="s">
        <v>26</v>
      </c>
      <c r="F377" s="1">
        <v>43.0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1">
        <v>85.1</v>
      </c>
      <c r="T377" s="1">
        <v>3662.25</v>
      </c>
      <c r="U377" s="1">
        <v>0.0</v>
      </c>
      <c r="V377" s="1">
        <v>0.0</v>
      </c>
      <c r="W377" s="1" t="s">
        <v>26</v>
      </c>
    </row>
    <row r="378" ht="15.75" customHeight="1">
      <c r="A378" s="1" t="s">
        <v>414</v>
      </c>
      <c r="B378" s="1" t="s">
        <v>32</v>
      </c>
      <c r="C378" s="1">
        <v>0.0</v>
      </c>
      <c r="D378" s="1" t="s">
        <v>26</v>
      </c>
      <c r="E378" s="1" t="s">
        <v>26</v>
      </c>
      <c r="F378" s="1">
        <v>1.0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1">
        <v>25.35</v>
      </c>
      <c r="T378" s="1">
        <v>25.35</v>
      </c>
      <c r="U378" s="1">
        <v>0.0</v>
      </c>
      <c r="V378" s="1">
        <v>0.0</v>
      </c>
      <c r="W378" s="1" t="s">
        <v>26</v>
      </c>
    </row>
    <row r="379" ht="15.75" customHeight="1">
      <c r="A379" s="1" t="s">
        <v>415</v>
      </c>
      <c r="B379" s="1" t="s">
        <v>24</v>
      </c>
      <c r="C379" s="1">
        <v>0.0</v>
      </c>
      <c r="D379" s="1" t="s">
        <v>25</v>
      </c>
      <c r="E379" s="1" t="s">
        <v>26</v>
      </c>
      <c r="F379" s="1">
        <v>25.0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1">
        <v>104.95</v>
      </c>
      <c r="T379" s="1">
        <v>2566.5</v>
      </c>
      <c r="U379" s="1">
        <v>0.0</v>
      </c>
      <c r="V379" s="1">
        <v>2.0</v>
      </c>
      <c r="W379" s="1" t="s">
        <v>25</v>
      </c>
    </row>
    <row r="380" ht="15.75" customHeight="1">
      <c r="A380" s="1" t="s">
        <v>416</v>
      </c>
      <c r="B380" s="1" t="s">
        <v>24</v>
      </c>
      <c r="C380" s="1">
        <v>0.0</v>
      </c>
      <c r="D380" s="1" t="s">
        <v>26</v>
      </c>
      <c r="E380" s="1" t="s">
        <v>26</v>
      </c>
      <c r="F380" s="1">
        <v>61.0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1">
        <v>89.65</v>
      </c>
      <c r="T380" s="1">
        <v>5308.7</v>
      </c>
      <c r="U380" s="1">
        <v>0.0</v>
      </c>
      <c r="V380" s="1">
        <v>0.0</v>
      </c>
      <c r="W380" s="1" t="s">
        <v>26</v>
      </c>
    </row>
    <row r="381" ht="15.75" customHeight="1">
      <c r="A381" s="1" t="s">
        <v>417</v>
      </c>
      <c r="B381" s="1" t="s">
        <v>32</v>
      </c>
      <c r="C381" s="1">
        <v>0.0</v>
      </c>
      <c r="D381" s="1" t="s">
        <v>26</v>
      </c>
      <c r="E381" s="1" t="s">
        <v>26</v>
      </c>
      <c r="F381" s="1">
        <v>17.0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1">
        <v>86.75</v>
      </c>
      <c r="T381" s="1">
        <v>1410.25</v>
      </c>
      <c r="U381" s="1">
        <v>0.0</v>
      </c>
      <c r="V381" s="1">
        <v>0.0</v>
      </c>
      <c r="W381" s="1" t="s">
        <v>26</v>
      </c>
    </row>
    <row r="382" ht="15.75" customHeight="1">
      <c r="A382" s="1" t="s">
        <v>418</v>
      </c>
      <c r="B382" s="1" t="s">
        <v>24</v>
      </c>
      <c r="C382" s="1">
        <v>0.0</v>
      </c>
      <c r="D382" s="1" t="s">
        <v>25</v>
      </c>
      <c r="E382" s="1" t="s">
        <v>26</v>
      </c>
      <c r="F382" s="1">
        <v>41.0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1">
        <v>86.2</v>
      </c>
      <c r="T382" s="1">
        <v>3339.05</v>
      </c>
      <c r="U382" s="1">
        <v>0.0</v>
      </c>
      <c r="V382" s="1">
        <v>0.0</v>
      </c>
      <c r="W382" s="1" t="s">
        <v>26</v>
      </c>
    </row>
    <row r="383" ht="15.75" customHeight="1">
      <c r="A383" s="1" t="s">
        <v>419</v>
      </c>
      <c r="B383" s="1" t="s">
        <v>32</v>
      </c>
      <c r="C383" s="1">
        <v>0.0</v>
      </c>
      <c r="D383" s="1" t="s">
        <v>26</v>
      </c>
      <c r="E383" s="1" t="s">
        <v>26</v>
      </c>
      <c r="F383" s="1">
        <v>1.0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1">
        <v>50.65</v>
      </c>
      <c r="T383" s="1">
        <v>50.65</v>
      </c>
      <c r="U383" s="1">
        <v>0.0</v>
      </c>
      <c r="V383" s="1">
        <v>0.0</v>
      </c>
      <c r="W383" s="1" t="s">
        <v>25</v>
      </c>
    </row>
    <row r="384" ht="15.75" customHeight="1">
      <c r="A384" s="1" t="s">
        <v>420</v>
      </c>
      <c r="B384" s="1" t="s">
        <v>32</v>
      </c>
      <c r="C384" s="1">
        <v>1.0</v>
      </c>
      <c r="D384" s="1" t="s">
        <v>25</v>
      </c>
      <c r="E384" s="1" t="s">
        <v>25</v>
      </c>
      <c r="F384" s="1">
        <v>72.0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1">
        <v>64.8</v>
      </c>
      <c r="T384" s="1">
        <v>4732.35</v>
      </c>
      <c r="U384" s="1">
        <v>0.0</v>
      </c>
      <c r="V384" s="1">
        <v>0.0</v>
      </c>
      <c r="W384" s="1" t="s">
        <v>26</v>
      </c>
    </row>
    <row r="385" ht="15.75" customHeight="1">
      <c r="A385" s="1" t="s">
        <v>421</v>
      </c>
      <c r="B385" s="1" t="s">
        <v>32</v>
      </c>
      <c r="C385" s="1">
        <v>0.0</v>
      </c>
      <c r="D385" s="1" t="s">
        <v>26</v>
      </c>
      <c r="E385" s="1" t="s">
        <v>26</v>
      </c>
      <c r="F385" s="1">
        <v>1.0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1">
        <v>90.85</v>
      </c>
      <c r="T385" s="1">
        <v>90.85</v>
      </c>
      <c r="U385" s="1">
        <v>0.0</v>
      </c>
      <c r="V385" s="1">
        <v>0.0</v>
      </c>
      <c r="W385" s="1" t="s">
        <v>25</v>
      </c>
    </row>
    <row r="386" ht="15.75" customHeight="1">
      <c r="A386" s="1" t="s">
        <v>422</v>
      </c>
      <c r="B386" s="1" t="s">
        <v>32</v>
      </c>
      <c r="C386" s="1">
        <v>0.0</v>
      </c>
      <c r="D386" s="1" t="s">
        <v>26</v>
      </c>
      <c r="E386" s="1" t="s">
        <v>26</v>
      </c>
      <c r="F386" s="1">
        <v>48.0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1">
        <v>108.1</v>
      </c>
      <c r="T386" s="1">
        <v>5067.45</v>
      </c>
      <c r="U386" s="1">
        <v>0.0</v>
      </c>
      <c r="V386" s="1">
        <v>0.0</v>
      </c>
      <c r="W386" s="1" t="s">
        <v>26</v>
      </c>
    </row>
    <row r="387" ht="15.75" customHeight="1">
      <c r="A387" s="1" t="s">
        <v>423</v>
      </c>
      <c r="B387" s="1" t="s">
        <v>32</v>
      </c>
      <c r="C387" s="1">
        <v>1.0</v>
      </c>
      <c r="D387" s="1" t="s">
        <v>25</v>
      </c>
      <c r="E387" s="1" t="s">
        <v>26</v>
      </c>
      <c r="F387" s="1">
        <v>11.0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1">
        <v>19.95</v>
      </c>
      <c r="T387" s="1">
        <v>214.75</v>
      </c>
      <c r="U387" s="1">
        <v>0.0</v>
      </c>
      <c r="V387" s="1">
        <v>0.0</v>
      </c>
      <c r="W387" s="1" t="s">
        <v>25</v>
      </c>
    </row>
    <row r="388" ht="15.75" customHeight="1">
      <c r="A388" s="1" t="s">
        <v>424</v>
      </c>
      <c r="B388" s="1" t="s">
        <v>24</v>
      </c>
      <c r="C388" s="1">
        <v>1.0</v>
      </c>
      <c r="D388" s="1" t="s">
        <v>25</v>
      </c>
      <c r="E388" s="1" t="s">
        <v>26</v>
      </c>
      <c r="F388" s="1">
        <v>55.0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1">
        <v>85.45</v>
      </c>
      <c r="T388" s="1">
        <v>4874.7</v>
      </c>
      <c r="U388" s="1">
        <v>0.0</v>
      </c>
      <c r="V388" s="1">
        <v>4.0</v>
      </c>
      <c r="W388" s="1" t="s">
        <v>25</v>
      </c>
    </row>
    <row r="389" ht="15.75" customHeight="1">
      <c r="A389" s="1" t="s">
        <v>425</v>
      </c>
      <c r="B389" s="1" t="s">
        <v>24</v>
      </c>
      <c r="C389" s="1">
        <v>0.0</v>
      </c>
      <c r="D389" s="1" t="s">
        <v>26</v>
      </c>
      <c r="E389" s="1" t="s">
        <v>26</v>
      </c>
      <c r="F389" s="1">
        <v>42.0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1">
        <v>54.75</v>
      </c>
      <c r="T389" s="1">
        <v>2348.45</v>
      </c>
      <c r="U389" s="1">
        <v>2.0</v>
      </c>
      <c r="V389" s="1">
        <v>0.0</v>
      </c>
      <c r="W389" s="1" t="s">
        <v>26</v>
      </c>
    </row>
    <row r="390" ht="15.75" customHeight="1">
      <c r="A390" s="1" t="s">
        <v>426</v>
      </c>
      <c r="B390" s="1" t="s">
        <v>32</v>
      </c>
      <c r="C390" s="1">
        <v>0.0</v>
      </c>
      <c r="D390" s="1" t="s">
        <v>26</v>
      </c>
      <c r="E390" s="1" t="s">
        <v>26</v>
      </c>
      <c r="F390" s="1">
        <v>44.0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1">
        <v>90.4</v>
      </c>
      <c r="T390" s="1">
        <v>4063.0</v>
      </c>
      <c r="U390" s="1">
        <v>0.0</v>
      </c>
      <c r="V390" s="1">
        <v>0.0</v>
      </c>
      <c r="W390" s="1" t="s">
        <v>26</v>
      </c>
    </row>
    <row r="391" ht="15.75" customHeight="1">
      <c r="A391" s="1" t="s">
        <v>427</v>
      </c>
      <c r="B391" s="1" t="s">
        <v>32</v>
      </c>
      <c r="C391" s="1">
        <v>0.0</v>
      </c>
      <c r="D391" s="1" t="s">
        <v>26</v>
      </c>
      <c r="E391" s="1" t="s">
        <v>25</v>
      </c>
      <c r="F391" s="1">
        <v>1.0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1">
        <v>44.0</v>
      </c>
      <c r="T391" s="1">
        <v>44.0</v>
      </c>
      <c r="U391" s="1">
        <v>0.0</v>
      </c>
      <c r="V391" s="1">
        <v>0.0</v>
      </c>
      <c r="W391" s="1" t="s">
        <v>26</v>
      </c>
    </row>
    <row r="392" ht="15.75" customHeight="1">
      <c r="A392" s="1" t="s">
        <v>428</v>
      </c>
      <c r="B392" s="1" t="s">
        <v>24</v>
      </c>
      <c r="C392" s="1">
        <v>0.0</v>
      </c>
      <c r="D392" s="1" t="s">
        <v>26</v>
      </c>
      <c r="E392" s="1" t="s">
        <v>26</v>
      </c>
      <c r="F392" s="1">
        <v>27.0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1">
        <v>95.6</v>
      </c>
      <c r="T392" s="1">
        <v>2595.25</v>
      </c>
      <c r="U392" s="1">
        <v>0.0</v>
      </c>
      <c r="V392" s="1">
        <v>0.0</v>
      </c>
      <c r="W392" s="1" t="s">
        <v>26</v>
      </c>
    </row>
    <row r="393" ht="15.75" customHeight="1">
      <c r="A393" s="1" t="s">
        <v>429</v>
      </c>
      <c r="B393" s="1" t="s">
        <v>32</v>
      </c>
      <c r="C393" s="1">
        <v>1.0</v>
      </c>
      <c r="D393" s="1" t="s">
        <v>25</v>
      </c>
      <c r="E393" s="1" t="s">
        <v>26</v>
      </c>
      <c r="F393" s="1">
        <v>27.0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1">
        <v>84.8</v>
      </c>
      <c r="T393" s="1">
        <v>2309.55</v>
      </c>
      <c r="U393" s="1">
        <v>0.0</v>
      </c>
      <c r="V393" s="1">
        <v>0.0</v>
      </c>
      <c r="W393" s="1" t="s">
        <v>26</v>
      </c>
    </row>
    <row r="394" ht="15.75" customHeight="1">
      <c r="A394" s="1" t="s">
        <v>430</v>
      </c>
      <c r="B394" s="1" t="s">
        <v>24</v>
      </c>
      <c r="C394" s="1">
        <v>1.0</v>
      </c>
      <c r="D394" s="1" t="s">
        <v>26</v>
      </c>
      <c r="E394" s="1" t="s">
        <v>26</v>
      </c>
      <c r="F394" s="1">
        <v>2.0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1">
        <v>44.3</v>
      </c>
      <c r="T394" s="1">
        <v>89.3</v>
      </c>
      <c r="U394" s="1">
        <v>0.0</v>
      </c>
      <c r="V394" s="1">
        <v>0.0</v>
      </c>
      <c r="W394" s="1" t="s">
        <v>26</v>
      </c>
    </row>
    <row r="395" ht="15.75" customHeight="1">
      <c r="A395" s="1" t="s">
        <v>431</v>
      </c>
      <c r="B395" s="1" t="s">
        <v>24</v>
      </c>
      <c r="C395" s="1">
        <v>0.0</v>
      </c>
      <c r="D395" s="1" t="s">
        <v>26</v>
      </c>
      <c r="E395" s="1" t="s">
        <v>26</v>
      </c>
      <c r="F395" s="1">
        <v>19.0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1">
        <v>19.9</v>
      </c>
      <c r="T395" s="1">
        <v>367.55</v>
      </c>
      <c r="U395" s="1">
        <v>0.0</v>
      </c>
      <c r="V395" s="1">
        <v>0.0</v>
      </c>
      <c r="W395" s="1" t="s">
        <v>26</v>
      </c>
    </row>
    <row r="396" ht="15.75" customHeight="1">
      <c r="A396" s="1" t="s">
        <v>432</v>
      </c>
      <c r="B396" s="1" t="s">
        <v>24</v>
      </c>
      <c r="C396" s="1">
        <v>1.0</v>
      </c>
      <c r="D396" s="1" t="s">
        <v>25</v>
      </c>
      <c r="E396" s="1" t="s">
        <v>26</v>
      </c>
      <c r="F396" s="1">
        <v>42.0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1">
        <v>95.05</v>
      </c>
      <c r="T396" s="1">
        <v>3944.5</v>
      </c>
      <c r="U396" s="1">
        <v>0.0</v>
      </c>
      <c r="V396" s="1">
        <v>0.0</v>
      </c>
      <c r="W396" s="1" t="s">
        <v>26</v>
      </c>
    </row>
    <row r="397" ht="15.75" customHeight="1">
      <c r="A397" s="1" t="s">
        <v>433</v>
      </c>
      <c r="B397" s="1" t="s">
        <v>24</v>
      </c>
      <c r="C397" s="1">
        <v>0.0</v>
      </c>
      <c r="D397" s="1" t="s">
        <v>26</v>
      </c>
      <c r="E397" s="1" t="s">
        <v>26</v>
      </c>
      <c r="F397" s="1">
        <v>66.0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1">
        <v>90.05</v>
      </c>
      <c r="T397" s="1">
        <v>5965.95</v>
      </c>
      <c r="U397" s="1">
        <v>0.0</v>
      </c>
      <c r="V397" s="1">
        <v>0.0</v>
      </c>
      <c r="W397" s="1" t="s">
        <v>26</v>
      </c>
    </row>
    <row r="398" ht="15.75" customHeight="1">
      <c r="A398" s="1" t="s">
        <v>434</v>
      </c>
      <c r="B398" s="1" t="s">
        <v>32</v>
      </c>
      <c r="C398" s="1">
        <v>1.0</v>
      </c>
      <c r="D398" s="1" t="s">
        <v>25</v>
      </c>
      <c r="E398" s="1" t="s">
        <v>26</v>
      </c>
      <c r="F398" s="1">
        <v>33.0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1">
        <v>109.9</v>
      </c>
      <c r="T398" s="1">
        <v>3694.7</v>
      </c>
      <c r="U398" s="1">
        <v>0.0</v>
      </c>
      <c r="V398" s="1">
        <v>0.0</v>
      </c>
      <c r="W398" s="1" t="s">
        <v>26</v>
      </c>
    </row>
    <row r="399" ht="15.75" customHeight="1">
      <c r="A399" s="1" t="s">
        <v>435</v>
      </c>
      <c r="B399" s="1" t="s">
        <v>24</v>
      </c>
      <c r="C399" s="1">
        <v>0.0</v>
      </c>
      <c r="D399" s="1" t="s">
        <v>26</v>
      </c>
      <c r="E399" s="1" t="s">
        <v>26</v>
      </c>
      <c r="F399" s="1">
        <v>34.0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1">
        <v>73.95</v>
      </c>
      <c r="T399" s="1">
        <v>2524.45</v>
      </c>
      <c r="U399" s="1">
        <v>0.0</v>
      </c>
      <c r="V399" s="1">
        <v>0.0</v>
      </c>
      <c r="W399" s="1" t="s">
        <v>25</v>
      </c>
    </row>
    <row r="400" ht="15.75" customHeight="1">
      <c r="A400" s="1" t="s">
        <v>436</v>
      </c>
      <c r="B400" s="1" t="s">
        <v>32</v>
      </c>
      <c r="C400" s="1">
        <v>1.0</v>
      </c>
      <c r="D400" s="1" t="s">
        <v>26</v>
      </c>
      <c r="E400" s="1" t="s">
        <v>26</v>
      </c>
      <c r="F400" s="1">
        <v>33.0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1">
        <v>54.6</v>
      </c>
      <c r="T400" s="1">
        <v>1803.7</v>
      </c>
      <c r="U400" s="1">
        <v>0.0</v>
      </c>
      <c r="V400" s="1">
        <v>0.0</v>
      </c>
      <c r="W400" s="1" t="s">
        <v>26</v>
      </c>
    </row>
    <row r="401" ht="15.75" customHeight="1">
      <c r="A401" s="1" t="s">
        <v>437</v>
      </c>
      <c r="B401" s="1" t="s">
        <v>24</v>
      </c>
      <c r="C401" s="1">
        <v>0.0</v>
      </c>
      <c r="D401" s="1" t="s">
        <v>25</v>
      </c>
      <c r="E401" s="1" t="s">
        <v>25</v>
      </c>
      <c r="F401" s="1">
        <v>23.0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1">
        <v>20.05</v>
      </c>
      <c r="T401" s="1">
        <v>415.1</v>
      </c>
      <c r="U401" s="1">
        <v>4.0</v>
      </c>
      <c r="V401" s="1">
        <v>0.0</v>
      </c>
      <c r="W401" s="1" t="s">
        <v>26</v>
      </c>
    </row>
    <row r="402" ht="15.75" customHeight="1">
      <c r="A402" s="1" t="s">
        <v>438</v>
      </c>
      <c r="B402" s="1" t="s">
        <v>24</v>
      </c>
      <c r="C402" s="1">
        <v>0.0</v>
      </c>
      <c r="D402" s="1" t="s">
        <v>26</v>
      </c>
      <c r="E402" s="1" t="s">
        <v>26</v>
      </c>
      <c r="F402" s="1">
        <v>32.0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1">
        <v>19.75</v>
      </c>
      <c r="T402" s="1">
        <v>624.15</v>
      </c>
      <c r="U402" s="1">
        <v>0.0</v>
      </c>
      <c r="V402" s="1">
        <v>0.0</v>
      </c>
      <c r="W402" s="1" t="s">
        <v>26</v>
      </c>
    </row>
    <row r="403" ht="15.75" customHeight="1">
      <c r="A403" s="1" t="s">
        <v>439</v>
      </c>
      <c r="B403" s="1" t="s">
        <v>24</v>
      </c>
      <c r="C403" s="1">
        <v>0.0</v>
      </c>
      <c r="D403" s="1" t="s">
        <v>26</v>
      </c>
      <c r="E403" s="1" t="s">
        <v>26</v>
      </c>
      <c r="F403" s="1">
        <v>11.0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1">
        <v>20.05</v>
      </c>
      <c r="T403" s="1">
        <v>237.7</v>
      </c>
      <c r="U403" s="1">
        <v>0.0</v>
      </c>
      <c r="V403" s="1">
        <v>0.0</v>
      </c>
      <c r="W403" s="1" t="s">
        <v>26</v>
      </c>
    </row>
    <row r="404" ht="15.75" customHeight="1">
      <c r="A404" s="1" t="s">
        <v>440</v>
      </c>
      <c r="B404" s="1" t="s">
        <v>32</v>
      </c>
      <c r="C404" s="1">
        <v>0.0</v>
      </c>
      <c r="D404" s="1" t="s">
        <v>25</v>
      </c>
      <c r="E404" s="1" t="s">
        <v>25</v>
      </c>
      <c r="F404" s="1">
        <v>69.0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1">
        <v>99.45</v>
      </c>
      <c r="T404" s="1">
        <v>7007.6</v>
      </c>
      <c r="U404" s="1">
        <v>0.0</v>
      </c>
      <c r="V404" s="1">
        <v>7.0</v>
      </c>
      <c r="W404" s="1" t="s">
        <v>25</v>
      </c>
    </row>
    <row r="405" ht="15.75" customHeight="1">
      <c r="A405" s="1" t="s">
        <v>441</v>
      </c>
      <c r="B405" s="1" t="s">
        <v>24</v>
      </c>
      <c r="C405" s="1">
        <v>0.0</v>
      </c>
      <c r="D405" s="1" t="s">
        <v>25</v>
      </c>
      <c r="E405" s="1" t="s">
        <v>26</v>
      </c>
      <c r="F405" s="1">
        <v>68.0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1">
        <v>55.9</v>
      </c>
      <c r="T405" s="1">
        <v>3848.8</v>
      </c>
      <c r="U405" s="1">
        <v>0.0</v>
      </c>
      <c r="V405" s="1">
        <v>0.0</v>
      </c>
      <c r="W405" s="1" t="s">
        <v>26</v>
      </c>
    </row>
    <row r="406" ht="15.75" customHeight="1">
      <c r="A406" s="1" t="s">
        <v>442</v>
      </c>
      <c r="B406" s="1" t="s">
        <v>32</v>
      </c>
      <c r="C406" s="1">
        <v>0.0</v>
      </c>
      <c r="D406" s="1" t="s">
        <v>26</v>
      </c>
      <c r="E406" s="1" t="s">
        <v>26</v>
      </c>
      <c r="F406" s="1">
        <v>20.0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1">
        <v>19.7</v>
      </c>
      <c r="T406" s="1">
        <v>419.4</v>
      </c>
      <c r="U406" s="1">
        <v>3.0</v>
      </c>
      <c r="V406" s="1">
        <v>0.0</v>
      </c>
      <c r="W406" s="1" t="s">
        <v>26</v>
      </c>
    </row>
    <row r="407" ht="15.75" customHeight="1">
      <c r="A407" s="1" t="s">
        <v>443</v>
      </c>
      <c r="B407" s="1" t="s">
        <v>32</v>
      </c>
      <c r="C407" s="1">
        <v>0.0</v>
      </c>
      <c r="D407" s="1" t="s">
        <v>26</v>
      </c>
      <c r="E407" s="1" t="s">
        <v>26</v>
      </c>
      <c r="F407" s="1">
        <v>72.0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1">
        <v>19.8</v>
      </c>
      <c r="T407" s="1">
        <v>1468.75</v>
      </c>
      <c r="U407" s="1">
        <v>0.0</v>
      </c>
      <c r="V407" s="1">
        <v>0.0</v>
      </c>
      <c r="W407" s="1" t="s">
        <v>26</v>
      </c>
    </row>
    <row r="408" ht="15.75" customHeight="1">
      <c r="A408" s="1" t="s">
        <v>444</v>
      </c>
      <c r="B408" s="1" t="s">
        <v>32</v>
      </c>
      <c r="C408" s="1">
        <v>0.0</v>
      </c>
      <c r="D408" s="1" t="s">
        <v>25</v>
      </c>
      <c r="E408" s="1" t="s">
        <v>25</v>
      </c>
      <c r="F408" s="1">
        <v>60.0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1">
        <v>95.4</v>
      </c>
      <c r="T408" s="1">
        <v>5812.0</v>
      </c>
      <c r="U408" s="1">
        <v>0.0</v>
      </c>
      <c r="V408" s="1">
        <v>0.0</v>
      </c>
      <c r="W408" s="1" t="s">
        <v>26</v>
      </c>
    </row>
    <row r="409" ht="15.75" customHeight="1">
      <c r="A409" s="1" t="s">
        <v>445</v>
      </c>
      <c r="B409" s="1" t="s">
        <v>32</v>
      </c>
      <c r="C409" s="1">
        <v>1.0</v>
      </c>
      <c r="D409" s="1" t="s">
        <v>25</v>
      </c>
      <c r="E409" s="1" t="s">
        <v>25</v>
      </c>
      <c r="F409" s="1">
        <v>32.0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1">
        <v>93.95</v>
      </c>
      <c r="T409" s="1">
        <v>2861.45</v>
      </c>
      <c r="U409" s="1">
        <v>0.0</v>
      </c>
      <c r="V409" s="1">
        <v>0.0</v>
      </c>
      <c r="W409" s="1" t="s">
        <v>26</v>
      </c>
    </row>
    <row r="410" ht="15.75" customHeight="1">
      <c r="A410" s="1" t="s">
        <v>446</v>
      </c>
      <c r="B410" s="1" t="s">
        <v>24</v>
      </c>
      <c r="C410" s="1">
        <v>0.0</v>
      </c>
      <c r="D410" s="1" t="s">
        <v>26</v>
      </c>
      <c r="E410" s="1" t="s">
        <v>26</v>
      </c>
      <c r="F410" s="1">
        <v>1.0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1">
        <v>19.9</v>
      </c>
      <c r="T410" s="1">
        <v>19.9</v>
      </c>
      <c r="U410" s="1">
        <v>0.0</v>
      </c>
      <c r="V410" s="1">
        <v>0.0</v>
      </c>
      <c r="W410" s="1" t="s">
        <v>25</v>
      </c>
    </row>
    <row r="411" ht="15.75" customHeight="1">
      <c r="A411" s="1" t="s">
        <v>447</v>
      </c>
      <c r="B411" s="1" t="s">
        <v>32</v>
      </c>
      <c r="C411" s="1">
        <v>0.0</v>
      </c>
      <c r="D411" s="1" t="s">
        <v>26</v>
      </c>
      <c r="E411" s="1" t="s">
        <v>26</v>
      </c>
      <c r="F411" s="1">
        <v>1.0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1">
        <v>19.6</v>
      </c>
      <c r="T411" s="1">
        <v>19.6</v>
      </c>
      <c r="U411" s="1">
        <v>0.0</v>
      </c>
      <c r="V411" s="1">
        <v>0.0</v>
      </c>
      <c r="W411" s="1" t="s">
        <v>25</v>
      </c>
    </row>
    <row r="412" ht="15.75" customHeight="1">
      <c r="A412" s="1" t="s">
        <v>448</v>
      </c>
      <c r="B412" s="1" t="s">
        <v>32</v>
      </c>
      <c r="C412" s="1">
        <v>1.0</v>
      </c>
      <c r="D412" s="1" t="s">
        <v>26</v>
      </c>
      <c r="E412" s="1" t="s">
        <v>26</v>
      </c>
      <c r="F412" s="1">
        <v>3.0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1">
        <v>81.35</v>
      </c>
      <c r="T412" s="1">
        <v>233.7</v>
      </c>
      <c r="U412" s="1">
        <v>0.0</v>
      </c>
      <c r="V412" s="1">
        <v>0.0</v>
      </c>
      <c r="W412" s="1" t="s">
        <v>25</v>
      </c>
    </row>
    <row r="413" ht="15.75" customHeight="1">
      <c r="A413" s="1" t="s">
        <v>449</v>
      </c>
      <c r="B413" s="1" t="s">
        <v>24</v>
      </c>
      <c r="C413" s="1">
        <v>0.0</v>
      </c>
      <c r="D413" s="1" t="s">
        <v>25</v>
      </c>
      <c r="E413" s="1" t="s">
        <v>26</v>
      </c>
      <c r="F413" s="1">
        <v>46.0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1">
        <v>24.45</v>
      </c>
      <c r="T413" s="1">
        <v>1066.15</v>
      </c>
      <c r="U413" s="1">
        <v>0.0</v>
      </c>
      <c r="V413" s="1">
        <v>0.0</v>
      </c>
      <c r="W413" s="1" t="s">
        <v>26</v>
      </c>
    </row>
    <row r="414" ht="15.75" customHeight="1">
      <c r="A414" s="1" t="s">
        <v>450</v>
      </c>
      <c r="B414" s="1" t="s">
        <v>24</v>
      </c>
      <c r="C414" s="1">
        <v>0.0</v>
      </c>
      <c r="D414" s="1" t="s">
        <v>25</v>
      </c>
      <c r="E414" s="1" t="s">
        <v>26</v>
      </c>
      <c r="F414" s="1">
        <v>29.0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1">
        <v>74.95</v>
      </c>
      <c r="T414" s="1">
        <v>2149.05</v>
      </c>
      <c r="U414" s="1">
        <v>0.0</v>
      </c>
      <c r="V414" s="1">
        <v>0.0</v>
      </c>
      <c r="W414" s="1" t="s">
        <v>26</v>
      </c>
    </row>
    <row r="415" ht="15.75" customHeight="1">
      <c r="A415" s="1" t="s">
        <v>451</v>
      </c>
      <c r="B415" s="1" t="s">
        <v>32</v>
      </c>
      <c r="C415" s="1">
        <v>0.0</v>
      </c>
      <c r="D415" s="1" t="s">
        <v>26</v>
      </c>
      <c r="E415" s="1" t="s">
        <v>26</v>
      </c>
      <c r="F415" s="1">
        <v>51.0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1">
        <v>87.35</v>
      </c>
      <c r="T415" s="1">
        <v>4473.0</v>
      </c>
      <c r="U415" s="1">
        <v>0.0</v>
      </c>
      <c r="V415" s="1">
        <v>0.0</v>
      </c>
      <c r="W415" s="1" t="s">
        <v>26</v>
      </c>
    </row>
    <row r="416" ht="15.75" customHeight="1">
      <c r="A416" s="1" t="s">
        <v>452</v>
      </c>
      <c r="B416" s="1" t="s">
        <v>24</v>
      </c>
      <c r="C416" s="1">
        <v>1.0</v>
      </c>
      <c r="D416" s="1" t="s">
        <v>25</v>
      </c>
      <c r="E416" s="1" t="s">
        <v>26</v>
      </c>
      <c r="F416" s="1">
        <v>48.0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1">
        <v>70.65</v>
      </c>
      <c r="T416" s="1">
        <v>3545.05</v>
      </c>
      <c r="U416" s="1">
        <v>0.0</v>
      </c>
      <c r="V416" s="1">
        <v>0.0</v>
      </c>
      <c r="W416" s="1" t="s">
        <v>26</v>
      </c>
    </row>
    <row r="417" ht="15.75" customHeight="1">
      <c r="A417" s="1" t="s">
        <v>453</v>
      </c>
      <c r="B417" s="1" t="s">
        <v>24</v>
      </c>
      <c r="C417" s="1">
        <v>0.0</v>
      </c>
      <c r="D417" s="1" t="s">
        <v>25</v>
      </c>
      <c r="E417" s="1" t="s">
        <v>25</v>
      </c>
      <c r="F417" s="1">
        <v>16.0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1">
        <v>73.25</v>
      </c>
      <c r="T417" s="1">
        <v>1195.75</v>
      </c>
      <c r="U417" s="1">
        <v>5.0</v>
      </c>
      <c r="V417" s="1">
        <v>0.0</v>
      </c>
      <c r="W417" s="1" t="s">
        <v>26</v>
      </c>
    </row>
    <row r="418" ht="15.75" customHeight="1">
      <c r="A418" s="1" t="s">
        <v>454</v>
      </c>
      <c r="B418" s="1" t="s">
        <v>32</v>
      </c>
      <c r="C418" s="1">
        <v>0.0</v>
      </c>
      <c r="D418" s="1" t="s">
        <v>25</v>
      </c>
      <c r="E418" s="1" t="s">
        <v>26</v>
      </c>
      <c r="F418" s="1">
        <v>70.0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1">
        <v>98.7</v>
      </c>
      <c r="T418" s="1">
        <v>6858.9</v>
      </c>
      <c r="U418" s="1">
        <v>0.0</v>
      </c>
      <c r="V418" s="1">
        <v>0.0</v>
      </c>
      <c r="W418" s="1" t="s">
        <v>26</v>
      </c>
    </row>
    <row r="419" ht="15.75" customHeight="1">
      <c r="A419" s="1" t="s">
        <v>455</v>
      </c>
      <c r="B419" s="1" t="s">
        <v>24</v>
      </c>
      <c r="C419" s="1">
        <v>0.0</v>
      </c>
      <c r="D419" s="1" t="s">
        <v>25</v>
      </c>
      <c r="E419" s="1" t="s">
        <v>25</v>
      </c>
      <c r="F419" s="1">
        <v>40.0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1">
        <v>24.8</v>
      </c>
      <c r="T419" s="1">
        <v>1024.7</v>
      </c>
      <c r="U419" s="1">
        <v>0.0</v>
      </c>
      <c r="V419" s="1">
        <v>0.0</v>
      </c>
      <c r="W419" s="1" t="s">
        <v>26</v>
      </c>
    </row>
    <row r="420" ht="15.75" customHeight="1">
      <c r="A420" s="1" t="s">
        <v>456</v>
      </c>
      <c r="B420" s="1" t="s">
        <v>24</v>
      </c>
      <c r="C420" s="1">
        <v>0.0</v>
      </c>
      <c r="D420" s="1" t="s">
        <v>25</v>
      </c>
      <c r="E420" s="1" t="s">
        <v>25</v>
      </c>
      <c r="F420" s="1">
        <v>22.0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1">
        <v>83.3</v>
      </c>
      <c r="T420" s="1">
        <v>1845.9</v>
      </c>
      <c r="U420" s="1">
        <v>0.0</v>
      </c>
      <c r="V420" s="1">
        <v>4.0</v>
      </c>
      <c r="W420" s="1" t="s">
        <v>25</v>
      </c>
    </row>
    <row r="421" ht="15.75" customHeight="1">
      <c r="A421" s="1" t="s">
        <v>457</v>
      </c>
      <c r="B421" s="1" t="s">
        <v>24</v>
      </c>
      <c r="C421" s="1">
        <v>1.0</v>
      </c>
      <c r="D421" s="1" t="s">
        <v>26</v>
      </c>
      <c r="E421" s="1" t="s">
        <v>26</v>
      </c>
      <c r="F421" s="1">
        <v>1.0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1">
        <v>75.3</v>
      </c>
      <c r="T421" s="1">
        <v>75.3</v>
      </c>
      <c r="U421" s="1">
        <v>0.0</v>
      </c>
      <c r="V421" s="1">
        <v>0.0</v>
      </c>
      <c r="W421" s="1" t="s">
        <v>25</v>
      </c>
    </row>
    <row r="422" ht="15.75" customHeight="1">
      <c r="A422" s="1" t="s">
        <v>458</v>
      </c>
      <c r="B422" s="1" t="s">
        <v>24</v>
      </c>
      <c r="C422" s="1">
        <v>0.0</v>
      </c>
      <c r="D422" s="1" t="s">
        <v>25</v>
      </c>
      <c r="E422" s="1" t="s">
        <v>25</v>
      </c>
      <c r="F422" s="1">
        <v>5.0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1">
        <v>24.3</v>
      </c>
      <c r="T422" s="1">
        <v>132.25</v>
      </c>
      <c r="U422" s="1">
        <v>0.0</v>
      </c>
      <c r="V422" s="1">
        <v>0.0</v>
      </c>
      <c r="W422" s="1" t="s">
        <v>26</v>
      </c>
    </row>
    <row r="423" ht="15.75" customHeight="1">
      <c r="A423" s="1" t="s">
        <v>459</v>
      </c>
      <c r="B423" s="1" t="s">
        <v>24</v>
      </c>
      <c r="C423" s="1">
        <v>0.0</v>
      </c>
      <c r="D423" s="1" t="s">
        <v>26</v>
      </c>
      <c r="E423" s="1" t="s">
        <v>26</v>
      </c>
      <c r="F423" s="1">
        <v>7.0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1">
        <v>69.85</v>
      </c>
      <c r="T423" s="1">
        <v>515.45</v>
      </c>
      <c r="U423" s="1">
        <v>0.0</v>
      </c>
      <c r="V423" s="1">
        <v>0.0</v>
      </c>
      <c r="W423" s="1" t="s">
        <v>26</v>
      </c>
    </row>
    <row r="424" ht="15.75" customHeight="1">
      <c r="A424" s="1" t="s">
        <v>460</v>
      </c>
      <c r="B424" s="1" t="s">
        <v>32</v>
      </c>
      <c r="C424" s="1">
        <v>0.0</v>
      </c>
      <c r="D424" s="1" t="s">
        <v>26</v>
      </c>
      <c r="E424" s="1" t="s">
        <v>25</v>
      </c>
      <c r="F424" s="1">
        <v>29.0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1">
        <v>100.55</v>
      </c>
      <c r="T424" s="1">
        <v>2830.45</v>
      </c>
      <c r="U424" s="1">
        <v>5.0</v>
      </c>
      <c r="V424" s="1">
        <v>0.0</v>
      </c>
      <c r="W424" s="1" t="s">
        <v>26</v>
      </c>
    </row>
    <row r="425" ht="15.75" customHeight="1">
      <c r="A425" s="1" t="s">
        <v>461</v>
      </c>
      <c r="B425" s="1" t="s">
        <v>32</v>
      </c>
      <c r="C425" s="1">
        <v>0.0</v>
      </c>
      <c r="D425" s="1" t="s">
        <v>25</v>
      </c>
      <c r="E425" s="1" t="s">
        <v>25</v>
      </c>
      <c r="F425" s="1">
        <v>44.0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1">
        <v>25.7</v>
      </c>
      <c r="T425" s="1">
        <v>1110.5</v>
      </c>
      <c r="U425" s="1">
        <v>2.0</v>
      </c>
      <c r="V425" s="1">
        <v>0.0</v>
      </c>
      <c r="W425" s="1" t="s">
        <v>26</v>
      </c>
    </row>
    <row r="426" ht="15.75" customHeight="1">
      <c r="A426" s="1" t="s">
        <v>462</v>
      </c>
      <c r="B426" s="1" t="s">
        <v>24</v>
      </c>
      <c r="C426" s="1">
        <v>0.0</v>
      </c>
      <c r="D426" s="1" t="s">
        <v>26</v>
      </c>
      <c r="E426" s="1" t="s">
        <v>26</v>
      </c>
      <c r="F426" s="1">
        <v>10.0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1">
        <v>40.7</v>
      </c>
      <c r="T426" s="1">
        <v>449.3</v>
      </c>
      <c r="U426" s="1">
        <v>0.0</v>
      </c>
      <c r="V426" s="1">
        <v>0.0</v>
      </c>
      <c r="W426" s="1" t="s">
        <v>26</v>
      </c>
    </row>
    <row r="427" ht="15.75" customHeight="1">
      <c r="A427" s="1" t="s">
        <v>463</v>
      </c>
      <c r="B427" s="1" t="s">
        <v>24</v>
      </c>
      <c r="C427" s="1">
        <v>1.0</v>
      </c>
      <c r="D427" s="1" t="s">
        <v>25</v>
      </c>
      <c r="E427" s="1" t="s">
        <v>26</v>
      </c>
      <c r="F427" s="1">
        <v>55.0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1">
        <v>51.65</v>
      </c>
      <c r="T427" s="1">
        <v>2838.55</v>
      </c>
      <c r="U427" s="1">
        <v>0.0</v>
      </c>
      <c r="V427" s="1">
        <v>0.0</v>
      </c>
      <c r="W427" s="1" t="s">
        <v>26</v>
      </c>
    </row>
    <row r="428" ht="15.75" customHeight="1">
      <c r="A428" s="1" t="s">
        <v>464</v>
      </c>
      <c r="B428" s="1" t="s">
        <v>32</v>
      </c>
      <c r="C428" s="1">
        <v>1.0</v>
      </c>
      <c r="D428" s="1" t="s">
        <v>25</v>
      </c>
      <c r="E428" s="1" t="s">
        <v>26</v>
      </c>
      <c r="F428" s="1">
        <v>52.0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1">
        <v>105.1</v>
      </c>
      <c r="T428" s="1">
        <v>5376.4</v>
      </c>
      <c r="U428" s="1">
        <v>0.0</v>
      </c>
      <c r="V428" s="1">
        <v>0.0</v>
      </c>
      <c r="W428" s="1" t="s">
        <v>26</v>
      </c>
    </row>
    <row r="429" ht="15.75" customHeight="1">
      <c r="A429" s="1" t="s">
        <v>465</v>
      </c>
      <c r="B429" s="1" t="s">
        <v>24</v>
      </c>
      <c r="C429" s="1">
        <v>0.0</v>
      </c>
      <c r="D429" s="1" t="s">
        <v>25</v>
      </c>
      <c r="E429" s="1" t="s">
        <v>25</v>
      </c>
      <c r="F429" s="1">
        <v>10.0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1">
        <v>85.95</v>
      </c>
      <c r="T429" s="1">
        <v>858.6</v>
      </c>
      <c r="U429" s="1">
        <v>0.0</v>
      </c>
      <c r="V429" s="1">
        <v>0.0</v>
      </c>
      <c r="W429" s="1" t="s">
        <v>26</v>
      </c>
    </row>
    <row r="430" ht="15.75" customHeight="1">
      <c r="A430" s="1" t="s">
        <v>466</v>
      </c>
      <c r="B430" s="1" t="s">
        <v>32</v>
      </c>
      <c r="C430" s="1">
        <v>0.0</v>
      </c>
      <c r="D430" s="1" t="s">
        <v>26</v>
      </c>
      <c r="E430" s="1" t="s">
        <v>26</v>
      </c>
      <c r="F430" s="1">
        <v>18.0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1">
        <v>75.6</v>
      </c>
      <c r="T430" s="1">
        <v>1395.05</v>
      </c>
      <c r="U430" s="1">
        <v>0.0</v>
      </c>
      <c r="V430" s="1">
        <v>0.0</v>
      </c>
      <c r="W430" s="1" t="s">
        <v>26</v>
      </c>
    </row>
    <row r="431" ht="15.75" customHeight="1">
      <c r="A431" s="1" t="s">
        <v>467</v>
      </c>
      <c r="B431" s="1" t="s">
        <v>24</v>
      </c>
      <c r="C431" s="1">
        <v>0.0</v>
      </c>
      <c r="D431" s="1" t="s">
        <v>25</v>
      </c>
      <c r="E431" s="1" t="s">
        <v>26</v>
      </c>
      <c r="F431" s="1">
        <v>68.0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1">
        <v>58.25</v>
      </c>
      <c r="T431" s="1">
        <v>3975.7</v>
      </c>
      <c r="U431" s="1">
        <v>0.0</v>
      </c>
      <c r="V431" s="1">
        <v>0.0</v>
      </c>
      <c r="W431" s="1" t="s">
        <v>26</v>
      </c>
    </row>
    <row r="432" ht="15.75" customHeight="1">
      <c r="A432" s="1" t="s">
        <v>468</v>
      </c>
      <c r="B432" s="1" t="s">
        <v>24</v>
      </c>
      <c r="C432" s="1">
        <v>0.0</v>
      </c>
      <c r="D432" s="1" t="s">
        <v>25</v>
      </c>
      <c r="E432" s="1" t="s">
        <v>25</v>
      </c>
      <c r="F432" s="1">
        <v>61.0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1">
        <v>19.4</v>
      </c>
      <c r="T432" s="1">
        <v>1182.55</v>
      </c>
      <c r="U432" s="1">
        <v>0.0</v>
      </c>
      <c r="V432" s="1">
        <v>0.0</v>
      </c>
      <c r="W432" s="1" t="s">
        <v>25</v>
      </c>
    </row>
    <row r="433" ht="15.75" customHeight="1">
      <c r="A433" s="1" t="s">
        <v>469</v>
      </c>
      <c r="B433" s="1" t="s">
        <v>24</v>
      </c>
      <c r="C433" s="1">
        <v>0.0</v>
      </c>
      <c r="D433" s="1" t="s">
        <v>25</v>
      </c>
      <c r="E433" s="1" t="s">
        <v>25</v>
      </c>
      <c r="F433" s="1">
        <v>72.0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1">
        <v>65.2</v>
      </c>
      <c r="T433" s="1">
        <v>4784.45</v>
      </c>
      <c r="U433" s="1">
        <v>0.0</v>
      </c>
      <c r="V433" s="1">
        <v>0.0</v>
      </c>
      <c r="W433" s="1" t="s">
        <v>26</v>
      </c>
    </row>
    <row r="434" ht="15.75" customHeight="1">
      <c r="A434" s="1" t="s">
        <v>470</v>
      </c>
      <c r="B434" s="1" t="s">
        <v>32</v>
      </c>
      <c r="C434" s="1">
        <v>0.0</v>
      </c>
      <c r="D434" s="1" t="s">
        <v>26</v>
      </c>
      <c r="E434" s="1" t="s">
        <v>26</v>
      </c>
      <c r="F434" s="1">
        <v>2.0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1">
        <v>53.45</v>
      </c>
      <c r="T434" s="1">
        <v>119.5</v>
      </c>
      <c r="U434" s="1">
        <v>0.0</v>
      </c>
      <c r="V434" s="1">
        <v>0.0</v>
      </c>
      <c r="W434" s="1" t="s">
        <v>26</v>
      </c>
    </row>
    <row r="435" ht="15.75" customHeight="1">
      <c r="A435" s="1" t="s">
        <v>471</v>
      </c>
      <c r="B435" s="1" t="s">
        <v>32</v>
      </c>
      <c r="C435" s="1">
        <v>0.0</v>
      </c>
      <c r="D435" s="1" t="s">
        <v>26</v>
      </c>
      <c r="E435" s="1" t="s">
        <v>26</v>
      </c>
      <c r="F435" s="1">
        <v>12.0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1">
        <v>45.4</v>
      </c>
      <c r="T435" s="1">
        <v>518.9</v>
      </c>
      <c r="U435" s="1">
        <v>0.0</v>
      </c>
      <c r="V435" s="1">
        <v>0.0</v>
      </c>
      <c r="W435" s="1" t="s">
        <v>25</v>
      </c>
    </row>
    <row r="436" ht="15.75" customHeight="1">
      <c r="A436" s="1" t="s">
        <v>472</v>
      </c>
      <c r="B436" s="1" t="s">
        <v>32</v>
      </c>
      <c r="C436" s="1">
        <v>0.0</v>
      </c>
      <c r="D436" s="1" t="s">
        <v>25</v>
      </c>
      <c r="E436" s="1" t="s">
        <v>26</v>
      </c>
      <c r="F436" s="1">
        <v>41.0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1">
        <v>19.75</v>
      </c>
      <c r="T436" s="1">
        <v>899.45</v>
      </c>
      <c r="U436" s="1">
        <v>0.0</v>
      </c>
      <c r="V436" s="1">
        <v>0.0</v>
      </c>
      <c r="W436" s="1" t="s">
        <v>26</v>
      </c>
    </row>
    <row r="437" ht="15.75" customHeight="1">
      <c r="A437" s="1" t="s">
        <v>473</v>
      </c>
      <c r="B437" s="1" t="s">
        <v>24</v>
      </c>
      <c r="C437" s="1">
        <v>0.0</v>
      </c>
      <c r="D437" s="1" t="s">
        <v>26</v>
      </c>
      <c r="E437" s="1" t="s">
        <v>26</v>
      </c>
      <c r="F437" s="1">
        <v>26.0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1">
        <v>44.45</v>
      </c>
      <c r="T437" s="1">
        <v>1183.8</v>
      </c>
      <c r="U437" s="1">
        <v>0.0</v>
      </c>
      <c r="V437" s="1">
        <v>0.0</v>
      </c>
      <c r="W437" s="1" t="s">
        <v>26</v>
      </c>
    </row>
    <row r="438" ht="15.75" customHeight="1">
      <c r="A438" s="1" t="s">
        <v>474</v>
      </c>
      <c r="B438" s="1" t="s">
        <v>32</v>
      </c>
      <c r="C438" s="1">
        <v>0.0</v>
      </c>
      <c r="D438" s="1" t="s">
        <v>25</v>
      </c>
      <c r="E438" s="1" t="s">
        <v>26</v>
      </c>
      <c r="F438" s="1">
        <v>36.0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1">
        <v>20.85</v>
      </c>
      <c r="T438" s="1">
        <v>720.05</v>
      </c>
      <c r="U438" s="1">
        <v>0.0</v>
      </c>
      <c r="V438" s="1">
        <v>0.0</v>
      </c>
      <c r="W438" s="1" t="s">
        <v>26</v>
      </c>
    </row>
    <row r="439" ht="15.75" customHeight="1">
      <c r="A439" s="1" t="s">
        <v>475</v>
      </c>
      <c r="B439" s="1" t="s">
        <v>32</v>
      </c>
      <c r="C439" s="1">
        <v>0.0</v>
      </c>
      <c r="D439" s="1" t="s">
        <v>25</v>
      </c>
      <c r="E439" s="1" t="s">
        <v>25</v>
      </c>
      <c r="F439" s="1">
        <v>72.0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1">
        <v>114.05</v>
      </c>
      <c r="T439" s="1">
        <v>8468.2</v>
      </c>
      <c r="U439" s="1">
        <v>0.0</v>
      </c>
      <c r="V439" s="1">
        <v>0.0</v>
      </c>
      <c r="W439" s="1" t="s">
        <v>26</v>
      </c>
    </row>
    <row r="440" ht="15.75" customHeight="1">
      <c r="A440" s="1" t="s">
        <v>476</v>
      </c>
      <c r="B440" s="1" t="s">
        <v>32</v>
      </c>
      <c r="C440" s="1">
        <v>0.0</v>
      </c>
      <c r="D440" s="1" t="s">
        <v>25</v>
      </c>
      <c r="E440" s="1" t="s">
        <v>26</v>
      </c>
      <c r="F440" s="1">
        <v>35.0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1">
        <v>89.85</v>
      </c>
      <c r="T440" s="1">
        <v>3161.2</v>
      </c>
      <c r="U440" s="1">
        <v>0.0</v>
      </c>
      <c r="V440" s="1">
        <v>0.0</v>
      </c>
      <c r="W440" s="1" t="s">
        <v>26</v>
      </c>
    </row>
    <row r="441" ht="15.75" customHeight="1">
      <c r="A441" s="1" t="s">
        <v>477</v>
      </c>
      <c r="B441" s="1" t="s">
        <v>32</v>
      </c>
      <c r="C441" s="1">
        <v>0.0</v>
      </c>
      <c r="D441" s="1" t="s">
        <v>26</v>
      </c>
      <c r="E441" s="1" t="s">
        <v>26</v>
      </c>
      <c r="F441" s="1">
        <v>1.0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1">
        <v>55.05</v>
      </c>
      <c r="T441" s="1">
        <v>55.05</v>
      </c>
      <c r="U441" s="1">
        <v>0.0</v>
      </c>
      <c r="V441" s="1">
        <v>0.0</v>
      </c>
      <c r="W441" s="1" t="s">
        <v>26</v>
      </c>
    </row>
    <row r="442" ht="15.75" customHeight="1">
      <c r="A442" s="1" t="s">
        <v>478</v>
      </c>
      <c r="B442" s="1" t="s">
        <v>24</v>
      </c>
      <c r="C442" s="1">
        <v>0.0</v>
      </c>
      <c r="D442" s="1" t="s">
        <v>25</v>
      </c>
      <c r="E442" s="1" t="s">
        <v>25</v>
      </c>
      <c r="F442" s="1">
        <v>16.0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1">
        <v>112.95</v>
      </c>
      <c r="T442" s="1">
        <v>1882.55</v>
      </c>
      <c r="U442" s="1">
        <v>0.0</v>
      </c>
      <c r="V442" s="1">
        <v>0.0</v>
      </c>
      <c r="W442" s="1" t="s">
        <v>26</v>
      </c>
    </row>
    <row r="443" ht="15.75" customHeight="1">
      <c r="A443" s="1" t="s">
        <v>479</v>
      </c>
      <c r="B443" s="1" t="s">
        <v>24</v>
      </c>
      <c r="C443" s="1">
        <v>1.0</v>
      </c>
      <c r="D443" s="1" t="s">
        <v>26</v>
      </c>
      <c r="E443" s="1" t="s">
        <v>26</v>
      </c>
      <c r="F443" s="1">
        <v>49.0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1">
        <v>101.55</v>
      </c>
      <c r="T443" s="1">
        <v>5070.4</v>
      </c>
      <c r="U443" s="1">
        <v>0.0</v>
      </c>
      <c r="V443" s="1">
        <v>0.0</v>
      </c>
      <c r="W443" s="1" t="s">
        <v>26</v>
      </c>
    </row>
    <row r="444" ht="15.75" customHeight="1">
      <c r="A444" s="1" t="s">
        <v>480</v>
      </c>
      <c r="B444" s="1" t="s">
        <v>24</v>
      </c>
      <c r="C444" s="1">
        <v>0.0</v>
      </c>
      <c r="D444" s="1" t="s">
        <v>25</v>
      </c>
      <c r="E444" s="1" t="s">
        <v>26</v>
      </c>
      <c r="F444" s="1">
        <v>54.0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1">
        <v>114.65</v>
      </c>
      <c r="T444" s="1">
        <v>6049.5</v>
      </c>
      <c r="U444" s="1">
        <v>0.0</v>
      </c>
      <c r="V444" s="1">
        <v>0.0</v>
      </c>
      <c r="W444" s="1" t="s">
        <v>26</v>
      </c>
    </row>
    <row r="445" ht="15.75" customHeight="1">
      <c r="A445" s="1" t="s">
        <v>481</v>
      </c>
      <c r="B445" s="1" t="s">
        <v>24</v>
      </c>
      <c r="C445" s="1">
        <v>0.0</v>
      </c>
      <c r="D445" s="1" t="s">
        <v>26</v>
      </c>
      <c r="E445" s="1" t="s">
        <v>25</v>
      </c>
      <c r="F445" s="1">
        <v>18.0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1">
        <v>64.8</v>
      </c>
      <c r="T445" s="1">
        <v>1166.7</v>
      </c>
      <c r="U445" s="1">
        <v>0.0</v>
      </c>
      <c r="V445" s="1">
        <v>1.0</v>
      </c>
      <c r="W445" s="1" t="s">
        <v>26</v>
      </c>
    </row>
    <row r="446" ht="15.75" customHeight="1">
      <c r="A446" s="1" t="s">
        <v>482</v>
      </c>
      <c r="B446" s="1" t="s">
        <v>24</v>
      </c>
      <c r="C446" s="1">
        <v>0.0</v>
      </c>
      <c r="D446" s="1" t="s">
        <v>25</v>
      </c>
      <c r="E446" s="1" t="s">
        <v>26</v>
      </c>
      <c r="F446" s="1">
        <v>36.0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1">
        <v>80.4</v>
      </c>
      <c r="T446" s="1">
        <v>2937.65</v>
      </c>
      <c r="U446" s="1">
        <v>0.0</v>
      </c>
      <c r="V446" s="1">
        <v>0.0</v>
      </c>
      <c r="W446" s="1" t="s">
        <v>26</v>
      </c>
    </row>
    <row r="447" ht="15.75" customHeight="1">
      <c r="A447" s="1" t="s">
        <v>483</v>
      </c>
      <c r="B447" s="1" t="s">
        <v>24</v>
      </c>
      <c r="C447" s="1">
        <v>0.0</v>
      </c>
      <c r="D447" s="1" t="s">
        <v>26</v>
      </c>
      <c r="E447" s="1" t="s">
        <v>26</v>
      </c>
      <c r="F447" s="1">
        <v>60.0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1">
        <v>105.9</v>
      </c>
      <c r="T447" s="1">
        <v>6396.45</v>
      </c>
      <c r="U447" s="1">
        <v>0.0</v>
      </c>
      <c r="V447" s="1">
        <v>7.0</v>
      </c>
      <c r="W447" s="1" t="s">
        <v>25</v>
      </c>
    </row>
    <row r="448" ht="15.75" customHeight="1">
      <c r="A448" s="1" t="s">
        <v>484</v>
      </c>
      <c r="B448" s="1" t="s">
        <v>24</v>
      </c>
      <c r="C448" s="1">
        <v>0.0</v>
      </c>
      <c r="D448" s="1" t="s">
        <v>26</v>
      </c>
      <c r="E448" s="1" t="s">
        <v>26</v>
      </c>
      <c r="F448" s="1">
        <v>1.0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1">
        <v>69.55</v>
      </c>
      <c r="T448" s="1">
        <v>69.55</v>
      </c>
      <c r="U448" s="1">
        <v>0.0</v>
      </c>
      <c r="V448" s="1">
        <v>0.0</v>
      </c>
      <c r="W448" s="1" t="s">
        <v>25</v>
      </c>
    </row>
    <row r="449" ht="15.75" customHeight="1">
      <c r="A449" s="1" t="s">
        <v>485</v>
      </c>
      <c r="B449" s="1" t="s">
        <v>24</v>
      </c>
      <c r="C449" s="1">
        <v>0.0</v>
      </c>
      <c r="D449" s="1" t="s">
        <v>25</v>
      </c>
      <c r="E449" s="1" t="s">
        <v>25</v>
      </c>
      <c r="F449" s="1">
        <v>52.0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1">
        <v>25.05</v>
      </c>
      <c r="T449" s="1">
        <v>1270.25</v>
      </c>
      <c r="U449" s="1">
        <v>0.0</v>
      </c>
      <c r="V449" s="1">
        <v>0.0</v>
      </c>
      <c r="W449" s="1" t="s">
        <v>26</v>
      </c>
    </row>
    <row r="450" ht="15.75" customHeight="1">
      <c r="A450" s="1" t="s">
        <v>486</v>
      </c>
      <c r="B450" s="1" t="s">
        <v>32</v>
      </c>
      <c r="C450" s="1">
        <v>0.0</v>
      </c>
      <c r="D450" s="1" t="s">
        <v>25</v>
      </c>
      <c r="E450" s="1" t="s">
        <v>25</v>
      </c>
      <c r="F450" s="1">
        <v>8.0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1">
        <v>94.75</v>
      </c>
      <c r="T450" s="1">
        <v>759.55</v>
      </c>
      <c r="U450" s="1">
        <v>2.0</v>
      </c>
      <c r="V450" s="1">
        <v>0.0</v>
      </c>
      <c r="W450" s="1" t="s">
        <v>26</v>
      </c>
    </row>
    <row r="451" ht="15.75" customHeight="1">
      <c r="A451" s="1" t="s">
        <v>487</v>
      </c>
      <c r="B451" s="1" t="s">
        <v>32</v>
      </c>
      <c r="C451" s="1">
        <v>0.0</v>
      </c>
      <c r="D451" s="1" t="s">
        <v>25</v>
      </c>
      <c r="E451" s="1" t="s">
        <v>25</v>
      </c>
      <c r="F451" s="1">
        <v>72.0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1">
        <v>105.5</v>
      </c>
      <c r="T451" s="1">
        <v>7611.55</v>
      </c>
      <c r="U451" s="1">
        <v>2.0</v>
      </c>
      <c r="V451" s="1">
        <v>0.0</v>
      </c>
      <c r="W451" s="1" t="s">
        <v>26</v>
      </c>
    </row>
    <row r="452" ht="15.75" customHeight="1">
      <c r="A452" s="1" t="s">
        <v>488</v>
      </c>
      <c r="B452" s="1" t="s">
        <v>24</v>
      </c>
      <c r="C452" s="1">
        <v>0.0</v>
      </c>
      <c r="D452" s="1" t="s">
        <v>26</v>
      </c>
      <c r="E452" s="1" t="s">
        <v>26</v>
      </c>
      <c r="F452" s="1">
        <v>64.0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1">
        <v>24.7</v>
      </c>
      <c r="T452" s="1">
        <v>1642.75</v>
      </c>
      <c r="U452" s="1">
        <v>5.0</v>
      </c>
      <c r="V452" s="1">
        <v>0.0</v>
      </c>
      <c r="W452" s="1" t="s">
        <v>26</v>
      </c>
    </row>
    <row r="453" ht="15.75" customHeight="1">
      <c r="A453" s="1" t="s">
        <v>489</v>
      </c>
      <c r="B453" s="1" t="s">
        <v>24</v>
      </c>
      <c r="C453" s="1">
        <v>1.0</v>
      </c>
      <c r="D453" s="1" t="s">
        <v>26</v>
      </c>
      <c r="E453" s="1" t="s">
        <v>26</v>
      </c>
      <c r="F453" s="1">
        <v>22.0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1">
        <v>69.75</v>
      </c>
      <c r="T453" s="1">
        <v>1545.4</v>
      </c>
      <c r="U453" s="1">
        <v>1.0</v>
      </c>
      <c r="V453" s="1">
        <v>0.0</v>
      </c>
      <c r="W453" s="1" t="s">
        <v>26</v>
      </c>
    </row>
    <row r="454" ht="15.75" customHeight="1">
      <c r="A454" s="1" t="s">
        <v>490</v>
      </c>
      <c r="B454" s="1" t="s">
        <v>32</v>
      </c>
      <c r="C454" s="1">
        <v>0.0</v>
      </c>
      <c r="D454" s="1" t="s">
        <v>25</v>
      </c>
      <c r="E454" s="1" t="s">
        <v>26</v>
      </c>
      <c r="F454" s="1">
        <v>60.0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1">
        <v>60.2</v>
      </c>
      <c r="T454" s="1">
        <v>3582.4</v>
      </c>
      <c r="U454" s="1">
        <v>3.0</v>
      </c>
      <c r="V454" s="1">
        <v>0.0</v>
      </c>
      <c r="W454" s="1" t="s">
        <v>26</v>
      </c>
    </row>
    <row r="455" ht="15.75" customHeight="1">
      <c r="A455" s="1" t="s">
        <v>491</v>
      </c>
      <c r="B455" s="1" t="s">
        <v>24</v>
      </c>
      <c r="C455" s="1">
        <v>0.0</v>
      </c>
      <c r="D455" s="1" t="s">
        <v>25</v>
      </c>
      <c r="E455" s="1" t="s">
        <v>25</v>
      </c>
      <c r="F455" s="1">
        <v>28.0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1">
        <v>81.05</v>
      </c>
      <c r="T455" s="1">
        <v>2227.1</v>
      </c>
      <c r="U455" s="1">
        <v>0.0</v>
      </c>
      <c r="V455" s="1">
        <v>0.0</v>
      </c>
      <c r="W455" s="1" t="s">
        <v>25</v>
      </c>
    </row>
    <row r="456" ht="15.75" customHeight="1">
      <c r="A456" s="1" t="s">
        <v>492</v>
      </c>
      <c r="B456" s="1" t="s">
        <v>24</v>
      </c>
      <c r="C456" s="1">
        <v>0.0</v>
      </c>
      <c r="D456" s="1" t="s">
        <v>25</v>
      </c>
      <c r="E456" s="1" t="s">
        <v>26</v>
      </c>
      <c r="F456" s="1">
        <v>61.0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1">
        <v>24.4</v>
      </c>
      <c r="T456" s="1">
        <v>1417.9</v>
      </c>
      <c r="U456" s="1">
        <v>0.0</v>
      </c>
      <c r="V456" s="1">
        <v>0.0</v>
      </c>
      <c r="W456" s="1" t="s">
        <v>26</v>
      </c>
    </row>
    <row r="457" ht="15.75" customHeight="1">
      <c r="A457" s="1" t="s">
        <v>493</v>
      </c>
      <c r="B457" s="1" t="s">
        <v>24</v>
      </c>
      <c r="C457" s="1">
        <v>0.0</v>
      </c>
      <c r="D457" s="1" t="s">
        <v>26</v>
      </c>
      <c r="E457" s="1" t="s">
        <v>26</v>
      </c>
      <c r="F457" s="1">
        <v>24.0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1">
        <v>104.15</v>
      </c>
      <c r="T457" s="1">
        <v>2494.65</v>
      </c>
      <c r="U457" s="1">
        <v>0.0</v>
      </c>
      <c r="V457" s="1">
        <v>0.0</v>
      </c>
      <c r="W457" s="1" t="s">
        <v>26</v>
      </c>
    </row>
    <row r="458" ht="15.75" customHeight="1">
      <c r="A458" s="1" t="s">
        <v>494</v>
      </c>
      <c r="B458" s="1" t="s">
        <v>32</v>
      </c>
      <c r="C458" s="1">
        <v>0.0</v>
      </c>
      <c r="D458" s="1" t="s">
        <v>25</v>
      </c>
      <c r="E458" s="1" t="s">
        <v>25</v>
      </c>
      <c r="F458" s="1">
        <v>28.0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1">
        <v>92.9</v>
      </c>
      <c r="T458" s="1">
        <v>2768.35</v>
      </c>
      <c r="U458" s="1">
        <v>0.0</v>
      </c>
      <c r="V458" s="1">
        <v>0.0</v>
      </c>
      <c r="W458" s="1" t="s">
        <v>26</v>
      </c>
    </row>
    <row r="459" ht="15.75" customHeight="1">
      <c r="A459" s="1" t="s">
        <v>495</v>
      </c>
      <c r="B459" s="1" t="s">
        <v>24</v>
      </c>
      <c r="C459" s="1">
        <v>0.0</v>
      </c>
      <c r="D459" s="1" t="s">
        <v>25</v>
      </c>
      <c r="E459" s="1" t="s">
        <v>25</v>
      </c>
      <c r="F459" s="1">
        <v>30.0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1">
        <v>80.8</v>
      </c>
      <c r="T459" s="1">
        <v>2369.3</v>
      </c>
      <c r="U459" s="1">
        <v>0.0</v>
      </c>
      <c r="V459" s="1">
        <v>0.0</v>
      </c>
      <c r="W459" s="1" t="s">
        <v>26</v>
      </c>
    </row>
    <row r="460" ht="15.75" customHeight="1">
      <c r="A460" s="1" t="s">
        <v>496</v>
      </c>
      <c r="B460" s="1" t="s">
        <v>32</v>
      </c>
      <c r="C460" s="1">
        <v>0.0</v>
      </c>
      <c r="D460" s="1" t="s">
        <v>25</v>
      </c>
      <c r="E460" s="1" t="s">
        <v>26</v>
      </c>
      <c r="F460" s="1">
        <v>2.0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1">
        <v>20.0</v>
      </c>
      <c r="T460" s="1">
        <v>38.0</v>
      </c>
      <c r="U460" s="1">
        <v>0.0</v>
      </c>
      <c r="V460" s="1">
        <v>0.0</v>
      </c>
      <c r="W460" s="1" t="s">
        <v>26</v>
      </c>
    </row>
    <row r="461" ht="15.75" customHeight="1">
      <c r="A461" s="1" t="s">
        <v>497</v>
      </c>
      <c r="B461" s="1" t="s">
        <v>32</v>
      </c>
      <c r="C461" s="1">
        <v>0.0</v>
      </c>
      <c r="D461" s="1" t="s">
        <v>26</v>
      </c>
      <c r="E461" s="1" t="s">
        <v>26</v>
      </c>
      <c r="F461" s="1">
        <v>1.0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1">
        <v>75.1</v>
      </c>
      <c r="T461" s="1">
        <v>75.1</v>
      </c>
      <c r="U461" s="1">
        <v>0.0</v>
      </c>
      <c r="V461" s="1">
        <v>0.0</v>
      </c>
      <c r="W461" s="1" t="s">
        <v>26</v>
      </c>
    </row>
    <row r="462" ht="15.75" customHeight="1">
      <c r="A462" s="1" t="s">
        <v>498</v>
      </c>
      <c r="B462" s="1" t="s">
        <v>32</v>
      </c>
      <c r="C462" s="1">
        <v>0.0</v>
      </c>
      <c r="D462" s="1" t="s">
        <v>26</v>
      </c>
      <c r="E462" s="1" t="s">
        <v>25</v>
      </c>
      <c r="F462" s="1">
        <v>6.0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1">
        <v>19.65</v>
      </c>
      <c r="T462" s="1">
        <v>100.9</v>
      </c>
      <c r="U462" s="1">
        <v>0.0</v>
      </c>
      <c r="V462" s="1">
        <v>0.0</v>
      </c>
      <c r="W462" s="1" t="s">
        <v>26</v>
      </c>
    </row>
    <row r="463" ht="15.75" customHeight="1">
      <c r="A463" s="1" t="s">
        <v>499</v>
      </c>
      <c r="B463" s="1" t="s">
        <v>24</v>
      </c>
      <c r="C463" s="1">
        <v>0.0</v>
      </c>
      <c r="D463" s="1" t="s">
        <v>25</v>
      </c>
      <c r="E463" s="1" t="s">
        <v>26</v>
      </c>
      <c r="F463" s="1">
        <v>24.0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1">
        <v>69.45</v>
      </c>
      <c r="T463" s="1">
        <v>1614.05</v>
      </c>
      <c r="U463" s="1">
        <v>0.0</v>
      </c>
      <c r="V463" s="1">
        <v>0.0</v>
      </c>
      <c r="W463" s="1" t="s">
        <v>26</v>
      </c>
    </row>
    <row r="464" ht="15.75" customHeight="1">
      <c r="A464" s="1" t="s">
        <v>500</v>
      </c>
      <c r="B464" s="1" t="s">
        <v>32</v>
      </c>
      <c r="C464" s="1">
        <v>0.0</v>
      </c>
      <c r="D464" s="1" t="s">
        <v>25</v>
      </c>
      <c r="E464" s="1" t="s">
        <v>25</v>
      </c>
      <c r="F464" s="1">
        <v>4.0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1">
        <v>101.15</v>
      </c>
      <c r="T464" s="1">
        <v>385.9</v>
      </c>
      <c r="U464" s="1">
        <v>0.0</v>
      </c>
      <c r="V464" s="1">
        <v>0.0</v>
      </c>
      <c r="W464" s="1" t="s">
        <v>25</v>
      </c>
    </row>
    <row r="465" ht="15.75" customHeight="1">
      <c r="A465" s="1" t="s">
        <v>501</v>
      </c>
      <c r="B465" s="1" t="s">
        <v>32</v>
      </c>
      <c r="C465" s="1">
        <v>0.0</v>
      </c>
      <c r="D465" s="1" t="s">
        <v>26</v>
      </c>
      <c r="E465" s="1" t="s">
        <v>26</v>
      </c>
      <c r="F465" s="1">
        <v>7.0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1">
        <v>99.8</v>
      </c>
      <c r="T465" s="1">
        <v>673.25</v>
      </c>
      <c r="U465" s="1">
        <v>0.0</v>
      </c>
      <c r="V465" s="1">
        <v>0.0</v>
      </c>
      <c r="W465" s="1" t="s">
        <v>25</v>
      </c>
    </row>
    <row r="466" ht="15.75" customHeight="1">
      <c r="A466" s="1" t="s">
        <v>502</v>
      </c>
      <c r="B466" s="1" t="s">
        <v>32</v>
      </c>
      <c r="C466" s="1">
        <v>1.0</v>
      </c>
      <c r="D466" s="1" t="s">
        <v>25</v>
      </c>
      <c r="E466" s="1" t="s">
        <v>26</v>
      </c>
      <c r="F466" s="1">
        <v>72.0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1">
        <v>116.05</v>
      </c>
      <c r="T466" s="1">
        <v>8404.9</v>
      </c>
      <c r="U466" s="1">
        <v>0.0</v>
      </c>
      <c r="V466" s="1">
        <v>6.0</v>
      </c>
      <c r="W466" s="1" t="s">
        <v>26</v>
      </c>
    </row>
    <row r="467" ht="15.75" customHeight="1">
      <c r="A467" s="1" t="s">
        <v>503</v>
      </c>
      <c r="B467" s="1" t="s">
        <v>32</v>
      </c>
      <c r="C467" s="1">
        <v>0.0</v>
      </c>
      <c r="D467" s="1" t="s">
        <v>26</v>
      </c>
      <c r="E467" s="1" t="s">
        <v>26</v>
      </c>
      <c r="F467" s="1">
        <v>70.0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1">
        <v>40.05</v>
      </c>
      <c r="T467" s="1">
        <v>2799.75</v>
      </c>
      <c r="U467" s="1">
        <v>0.0</v>
      </c>
      <c r="V467" s="1">
        <v>0.0</v>
      </c>
      <c r="W467" s="1" t="s">
        <v>26</v>
      </c>
    </row>
    <row r="468" ht="15.75" customHeight="1">
      <c r="A468" s="1" t="s">
        <v>504</v>
      </c>
      <c r="B468" s="1" t="s">
        <v>32</v>
      </c>
      <c r="C468" s="1">
        <v>1.0</v>
      </c>
      <c r="D468" s="1" t="s">
        <v>25</v>
      </c>
      <c r="E468" s="1" t="s">
        <v>26</v>
      </c>
      <c r="F468" s="1">
        <v>64.0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1">
        <v>102.1</v>
      </c>
      <c r="T468" s="1">
        <v>6538.45</v>
      </c>
      <c r="U468" s="1">
        <v>0.0</v>
      </c>
      <c r="V468" s="1">
        <v>0.0</v>
      </c>
      <c r="W468" s="1" t="s">
        <v>26</v>
      </c>
    </row>
    <row r="469" ht="15.75" customHeight="1">
      <c r="A469" s="1" t="s">
        <v>505</v>
      </c>
      <c r="B469" s="1" t="s">
        <v>32</v>
      </c>
      <c r="C469" s="1">
        <v>0.0</v>
      </c>
      <c r="D469" s="1" t="s">
        <v>25</v>
      </c>
      <c r="E469" s="1" t="s">
        <v>25</v>
      </c>
      <c r="F469" s="1">
        <v>72.0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1">
        <v>89.7</v>
      </c>
      <c r="T469" s="1">
        <v>6588.95</v>
      </c>
      <c r="U469" s="1">
        <v>2.0</v>
      </c>
      <c r="V469" s="1">
        <v>0.0</v>
      </c>
      <c r="W469" s="1" t="s">
        <v>26</v>
      </c>
    </row>
    <row r="470" ht="15.75" customHeight="1">
      <c r="A470" s="1" t="s">
        <v>506</v>
      </c>
      <c r="B470" s="1" t="s">
        <v>24</v>
      </c>
      <c r="C470" s="1">
        <v>0.0</v>
      </c>
      <c r="D470" s="1" t="s">
        <v>26</v>
      </c>
      <c r="E470" s="1" t="s">
        <v>25</v>
      </c>
      <c r="F470" s="1">
        <v>44.0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1">
        <v>19.9</v>
      </c>
      <c r="T470" s="1">
        <v>868.1</v>
      </c>
      <c r="U470" s="1">
        <v>0.0</v>
      </c>
      <c r="V470" s="1">
        <v>0.0</v>
      </c>
      <c r="W470" s="1" t="s">
        <v>26</v>
      </c>
    </row>
    <row r="471" ht="15.75" customHeight="1">
      <c r="A471" s="1" t="s">
        <v>507</v>
      </c>
      <c r="B471" s="1" t="s">
        <v>24</v>
      </c>
      <c r="C471" s="1">
        <v>0.0</v>
      </c>
      <c r="D471" s="1" t="s">
        <v>25</v>
      </c>
      <c r="E471" s="1" t="s">
        <v>25</v>
      </c>
      <c r="F471" s="1">
        <v>13.0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1">
        <v>55.95</v>
      </c>
      <c r="T471" s="1">
        <v>734.35</v>
      </c>
      <c r="U471" s="1">
        <v>0.0</v>
      </c>
      <c r="V471" s="1">
        <v>0.0</v>
      </c>
      <c r="W471" s="1" t="s">
        <v>25</v>
      </c>
    </row>
    <row r="472" ht="15.75" customHeight="1">
      <c r="A472" s="1" t="s">
        <v>508</v>
      </c>
      <c r="B472" s="1" t="s">
        <v>24</v>
      </c>
      <c r="C472" s="1">
        <v>1.0</v>
      </c>
      <c r="D472" s="1" t="s">
        <v>26</v>
      </c>
      <c r="E472" s="1" t="s">
        <v>26</v>
      </c>
      <c r="F472" s="1">
        <v>17.0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1">
        <v>20.65</v>
      </c>
      <c r="T472" s="1">
        <v>330.6</v>
      </c>
      <c r="U472" s="1">
        <v>0.0</v>
      </c>
      <c r="V472" s="1">
        <v>0.0</v>
      </c>
      <c r="W472" s="1" t="s">
        <v>26</v>
      </c>
    </row>
    <row r="473" ht="15.75" customHeight="1">
      <c r="A473" s="1" t="s">
        <v>509</v>
      </c>
      <c r="B473" s="1" t="s">
        <v>32</v>
      </c>
      <c r="C473" s="1">
        <v>0.0</v>
      </c>
      <c r="D473" s="1" t="s">
        <v>26</v>
      </c>
      <c r="E473" s="1" t="s">
        <v>26</v>
      </c>
      <c r="F473" s="1">
        <v>1.0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1">
        <v>55.0</v>
      </c>
      <c r="T473" s="1">
        <v>55.0</v>
      </c>
      <c r="U473" s="1">
        <v>0.0</v>
      </c>
      <c r="V473" s="1">
        <v>0.0</v>
      </c>
      <c r="W473" s="1" t="s">
        <v>25</v>
      </c>
    </row>
    <row r="474" ht="15.75" customHeight="1">
      <c r="A474" s="1" t="s">
        <v>510</v>
      </c>
      <c r="B474" s="1" t="s">
        <v>32</v>
      </c>
      <c r="C474" s="1">
        <v>0.0</v>
      </c>
      <c r="D474" s="1" t="s">
        <v>25</v>
      </c>
      <c r="E474" s="1" t="s">
        <v>26</v>
      </c>
      <c r="F474" s="1">
        <v>9.0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1">
        <v>70.05</v>
      </c>
      <c r="T474" s="1">
        <v>564.4</v>
      </c>
      <c r="U474" s="1">
        <v>0.0</v>
      </c>
      <c r="V474" s="1">
        <v>0.0</v>
      </c>
      <c r="W474" s="1" t="s">
        <v>26</v>
      </c>
    </row>
    <row r="475" ht="15.75" customHeight="1">
      <c r="A475" s="1" t="s">
        <v>511</v>
      </c>
      <c r="B475" s="1" t="s">
        <v>32</v>
      </c>
      <c r="C475" s="1">
        <v>0.0</v>
      </c>
      <c r="D475" s="1" t="s">
        <v>25</v>
      </c>
      <c r="E475" s="1" t="s">
        <v>26</v>
      </c>
      <c r="F475" s="1">
        <v>24.0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1">
        <v>53.6</v>
      </c>
      <c r="T475" s="1">
        <v>1315.35</v>
      </c>
      <c r="U475" s="1">
        <v>0.0</v>
      </c>
      <c r="V475" s="1">
        <v>0.0</v>
      </c>
      <c r="W475" s="1" t="s">
        <v>26</v>
      </c>
    </row>
    <row r="476" ht="15.75" customHeight="1">
      <c r="A476" s="1" t="s">
        <v>512</v>
      </c>
      <c r="B476" s="1" t="s">
        <v>24</v>
      </c>
      <c r="C476" s="1">
        <v>0.0</v>
      </c>
      <c r="D476" s="1" t="s">
        <v>25</v>
      </c>
      <c r="E476" s="1" t="s">
        <v>25</v>
      </c>
      <c r="F476" s="1">
        <v>1.0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1">
        <v>74.7</v>
      </c>
      <c r="T476" s="1">
        <v>74.7</v>
      </c>
      <c r="U476" s="1">
        <v>0.0</v>
      </c>
      <c r="V476" s="1">
        <v>0.0</v>
      </c>
      <c r="W476" s="1" t="s">
        <v>25</v>
      </c>
    </row>
    <row r="477" ht="15.75" customHeight="1">
      <c r="A477" s="1" t="s">
        <v>513</v>
      </c>
      <c r="B477" s="1" t="s">
        <v>32</v>
      </c>
      <c r="C477" s="1">
        <v>0.0</v>
      </c>
      <c r="D477" s="1" t="s">
        <v>26</v>
      </c>
      <c r="E477" s="1" t="s">
        <v>26</v>
      </c>
      <c r="F477" s="1">
        <v>24.0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1">
        <v>80.25</v>
      </c>
      <c r="T477" s="1">
        <v>1861.5</v>
      </c>
      <c r="U477" s="1">
        <v>0.0</v>
      </c>
      <c r="V477" s="1">
        <v>0.0</v>
      </c>
      <c r="W477" s="1" t="s">
        <v>25</v>
      </c>
    </row>
    <row r="478" ht="15.75" customHeight="1">
      <c r="A478" s="1" t="s">
        <v>514</v>
      </c>
      <c r="B478" s="1" t="s">
        <v>32</v>
      </c>
      <c r="C478" s="1">
        <v>1.0</v>
      </c>
      <c r="D478" s="1" t="s">
        <v>25</v>
      </c>
      <c r="E478" s="1" t="s">
        <v>25</v>
      </c>
      <c r="F478" s="1">
        <v>35.0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1">
        <v>76.05</v>
      </c>
      <c r="T478" s="1">
        <v>2747.2</v>
      </c>
      <c r="U478" s="1">
        <v>0.0</v>
      </c>
      <c r="V478" s="1">
        <v>0.0</v>
      </c>
      <c r="W478" s="1" t="s">
        <v>26</v>
      </c>
    </row>
    <row r="479" ht="15.75" customHeight="1">
      <c r="A479" s="1" t="s">
        <v>515</v>
      </c>
      <c r="B479" s="1" t="s">
        <v>24</v>
      </c>
      <c r="C479" s="1">
        <v>0.0</v>
      </c>
      <c r="D479" s="1" t="s">
        <v>25</v>
      </c>
      <c r="E479" s="1" t="s">
        <v>25</v>
      </c>
      <c r="F479" s="1">
        <v>7.0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1">
        <v>75.7</v>
      </c>
      <c r="T479" s="1">
        <v>554.05</v>
      </c>
      <c r="U479" s="1">
        <v>2.0</v>
      </c>
      <c r="V479" s="1">
        <v>0.0</v>
      </c>
      <c r="W479" s="1" t="s">
        <v>26</v>
      </c>
    </row>
    <row r="480" ht="15.75" customHeight="1">
      <c r="A480" s="1" t="s">
        <v>516</v>
      </c>
      <c r="B480" s="1" t="s">
        <v>32</v>
      </c>
      <c r="C480" s="1">
        <v>0.0</v>
      </c>
      <c r="D480" s="1" t="s">
        <v>26</v>
      </c>
      <c r="E480" s="1" t="s">
        <v>26</v>
      </c>
      <c r="F480" s="1">
        <v>5.0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1">
        <v>96.1</v>
      </c>
      <c r="T480" s="1">
        <v>453.4</v>
      </c>
      <c r="U480" s="1">
        <v>0.0</v>
      </c>
      <c r="V480" s="1">
        <v>0.0</v>
      </c>
      <c r="W480" s="1" t="s">
        <v>25</v>
      </c>
    </row>
    <row r="481" ht="15.75" customHeight="1">
      <c r="A481" s="1" t="s">
        <v>517</v>
      </c>
      <c r="B481" s="1" t="s">
        <v>24</v>
      </c>
      <c r="C481" s="1">
        <v>0.0</v>
      </c>
      <c r="D481" s="1" t="s">
        <v>26</v>
      </c>
      <c r="E481" s="1" t="s">
        <v>25</v>
      </c>
      <c r="F481" s="1">
        <v>15.0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1">
        <v>69.0</v>
      </c>
      <c r="T481" s="1">
        <v>994.8</v>
      </c>
      <c r="U481" s="1">
        <v>0.0</v>
      </c>
      <c r="V481" s="1">
        <v>0.0</v>
      </c>
      <c r="W481" s="1" t="s">
        <v>25</v>
      </c>
    </row>
    <row r="482" ht="15.75" customHeight="1">
      <c r="A482" s="1" t="s">
        <v>518</v>
      </c>
      <c r="B482" s="1" t="s">
        <v>32</v>
      </c>
      <c r="C482" s="1">
        <v>0.0</v>
      </c>
      <c r="D482" s="1" t="s">
        <v>25</v>
      </c>
      <c r="E482" s="1" t="s">
        <v>25</v>
      </c>
      <c r="F482" s="1">
        <v>11.0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1">
        <v>19.65</v>
      </c>
      <c r="T482" s="1">
        <v>225.75</v>
      </c>
      <c r="U482" s="1">
        <v>0.0</v>
      </c>
      <c r="V482" s="1">
        <v>0.0</v>
      </c>
      <c r="W482" s="1" t="s">
        <v>26</v>
      </c>
    </row>
    <row r="483" ht="15.75" customHeight="1">
      <c r="A483" s="1" t="s">
        <v>519</v>
      </c>
      <c r="B483" s="1" t="s">
        <v>24</v>
      </c>
      <c r="C483" s="1">
        <v>0.0</v>
      </c>
      <c r="D483" s="1" t="s">
        <v>25</v>
      </c>
      <c r="E483" s="1" t="s">
        <v>26</v>
      </c>
      <c r="F483" s="1">
        <v>48.0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1">
        <v>45.3</v>
      </c>
      <c r="T483" s="1">
        <v>2145.0</v>
      </c>
      <c r="U483" s="1">
        <v>0.0</v>
      </c>
      <c r="V483" s="1">
        <v>5.0</v>
      </c>
      <c r="W483" s="1" t="s">
        <v>25</v>
      </c>
    </row>
    <row r="484" ht="15.75" customHeight="1">
      <c r="A484" s="1" t="s">
        <v>520</v>
      </c>
      <c r="B484" s="1" t="s">
        <v>24</v>
      </c>
      <c r="C484" s="1">
        <v>1.0</v>
      </c>
      <c r="D484" s="1" t="s">
        <v>26</v>
      </c>
      <c r="E484" s="1" t="s">
        <v>26</v>
      </c>
      <c r="F484" s="1">
        <v>20.0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1">
        <v>81.45</v>
      </c>
      <c r="T484" s="1">
        <v>1671.6</v>
      </c>
      <c r="U484" s="1">
        <v>0.0</v>
      </c>
      <c r="V484" s="1">
        <v>0.0</v>
      </c>
      <c r="W484" s="1" t="s">
        <v>26</v>
      </c>
    </row>
    <row r="485" ht="15.75" customHeight="1">
      <c r="A485" s="1" t="s">
        <v>521</v>
      </c>
      <c r="B485" s="1" t="s">
        <v>24</v>
      </c>
      <c r="C485" s="1">
        <v>0.0</v>
      </c>
      <c r="D485" s="1" t="s">
        <v>25</v>
      </c>
      <c r="E485" s="1" t="s">
        <v>26</v>
      </c>
      <c r="F485" s="1">
        <v>72.0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1">
        <v>108.5</v>
      </c>
      <c r="T485" s="1">
        <v>8003.8</v>
      </c>
      <c r="U485" s="1">
        <v>3.0</v>
      </c>
      <c r="V485" s="1">
        <v>0.0</v>
      </c>
      <c r="W485" s="1" t="s">
        <v>26</v>
      </c>
    </row>
    <row r="486" ht="15.75" customHeight="1">
      <c r="A486" s="1" t="s">
        <v>522</v>
      </c>
      <c r="B486" s="1" t="s">
        <v>24</v>
      </c>
      <c r="C486" s="1">
        <v>0.0</v>
      </c>
      <c r="D486" s="1" t="s">
        <v>25</v>
      </c>
      <c r="E486" s="1" t="s">
        <v>25</v>
      </c>
      <c r="F486" s="1">
        <v>8.0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1">
        <v>83.55</v>
      </c>
      <c r="T486" s="1">
        <v>680.05</v>
      </c>
      <c r="U486" s="1">
        <v>0.0</v>
      </c>
      <c r="V486" s="1">
        <v>2.0</v>
      </c>
      <c r="W486" s="1" t="s">
        <v>25</v>
      </c>
    </row>
    <row r="487" ht="15.75" customHeight="1">
      <c r="A487" s="1" t="s">
        <v>523</v>
      </c>
      <c r="B487" s="1" t="s">
        <v>32</v>
      </c>
      <c r="C487" s="1">
        <v>0.0</v>
      </c>
      <c r="D487" s="1" t="s">
        <v>25</v>
      </c>
      <c r="E487" s="1" t="s">
        <v>25</v>
      </c>
      <c r="F487" s="1">
        <v>72.0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1">
        <v>84.5</v>
      </c>
      <c r="T487" s="1">
        <v>6130.85</v>
      </c>
      <c r="U487" s="1">
        <v>0.0</v>
      </c>
      <c r="V487" s="1">
        <v>0.0</v>
      </c>
      <c r="W487" s="1" t="s">
        <v>26</v>
      </c>
    </row>
    <row r="488" ht="15.75" customHeight="1">
      <c r="A488" s="1" t="s">
        <v>524</v>
      </c>
      <c r="B488" s="1" t="s">
        <v>24</v>
      </c>
      <c r="C488" s="1">
        <v>0.0</v>
      </c>
      <c r="D488" s="1" t="s">
        <v>26</v>
      </c>
      <c r="E488" s="1" t="s">
        <v>26</v>
      </c>
      <c r="F488" s="1">
        <v>15.0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1">
        <v>100.15</v>
      </c>
      <c r="T488" s="1">
        <v>1415.0</v>
      </c>
      <c r="U488" s="1">
        <v>0.0</v>
      </c>
      <c r="V488" s="1">
        <v>0.0</v>
      </c>
      <c r="W488" s="1" t="s">
        <v>26</v>
      </c>
    </row>
    <row r="489" ht="15.75" customHeight="1">
      <c r="A489" s="1" t="s">
        <v>525</v>
      </c>
      <c r="B489" s="1" t="s">
        <v>32</v>
      </c>
      <c r="C489" s="1">
        <v>0.0</v>
      </c>
      <c r="D489" s="1" t="s">
        <v>26</v>
      </c>
      <c r="E489" s="1" t="s">
        <v>26</v>
      </c>
      <c r="F489" s="1">
        <v>72.0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1">
        <v>88.6</v>
      </c>
      <c r="T489" s="1">
        <v>6201.95</v>
      </c>
      <c r="U489" s="1">
        <v>0.0</v>
      </c>
      <c r="V489" s="1">
        <v>2.0</v>
      </c>
      <c r="W489" s="1" t="s">
        <v>26</v>
      </c>
    </row>
    <row r="490" ht="15.75" customHeight="1">
      <c r="A490" s="1" t="s">
        <v>526</v>
      </c>
      <c r="B490" s="1" t="s">
        <v>24</v>
      </c>
      <c r="C490" s="1">
        <v>0.0</v>
      </c>
      <c r="D490" s="1" t="s">
        <v>25</v>
      </c>
      <c r="E490" s="1" t="s">
        <v>25</v>
      </c>
      <c r="F490" s="1">
        <v>0.0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1">
        <v>52.55</v>
      </c>
      <c r="T490" s="1" t="s">
        <v>527</v>
      </c>
      <c r="U490" s="1">
        <v>0.0</v>
      </c>
      <c r="V490" s="1">
        <v>0.0</v>
      </c>
      <c r="W490" s="1" t="s">
        <v>26</v>
      </c>
    </row>
    <row r="491" ht="15.75" customHeight="1">
      <c r="A491" s="1" t="s">
        <v>528</v>
      </c>
      <c r="B491" s="1" t="s">
        <v>32</v>
      </c>
      <c r="C491" s="1">
        <v>0.0</v>
      </c>
      <c r="D491" s="1" t="s">
        <v>26</v>
      </c>
      <c r="E491" s="1" t="s">
        <v>25</v>
      </c>
      <c r="F491" s="1">
        <v>1.0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1">
        <v>74.35</v>
      </c>
      <c r="T491" s="1">
        <v>74.35</v>
      </c>
      <c r="U491" s="1">
        <v>3.0</v>
      </c>
      <c r="V491" s="1">
        <v>0.0</v>
      </c>
      <c r="W491" s="1" t="s">
        <v>25</v>
      </c>
    </row>
    <row r="492" ht="15.75" customHeight="1">
      <c r="A492" s="1" t="s">
        <v>529</v>
      </c>
      <c r="B492" s="1" t="s">
        <v>32</v>
      </c>
      <c r="C492" s="1">
        <v>0.0</v>
      </c>
      <c r="D492" s="1" t="s">
        <v>25</v>
      </c>
      <c r="E492" s="1" t="s">
        <v>25</v>
      </c>
      <c r="F492" s="1">
        <v>63.0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1">
        <v>104.8</v>
      </c>
      <c r="T492" s="1">
        <v>6597.25</v>
      </c>
      <c r="U492" s="1">
        <v>0.0</v>
      </c>
      <c r="V492" s="1">
        <v>0.0</v>
      </c>
      <c r="W492" s="1" t="s">
        <v>26</v>
      </c>
    </row>
    <row r="493" ht="15.75" customHeight="1">
      <c r="A493" s="1" t="s">
        <v>530</v>
      </c>
      <c r="B493" s="1" t="s">
        <v>24</v>
      </c>
      <c r="C493" s="1">
        <v>0.0</v>
      </c>
      <c r="D493" s="1" t="s">
        <v>26</v>
      </c>
      <c r="E493" s="1" t="s">
        <v>26</v>
      </c>
      <c r="F493" s="1">
        <v>2.0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1">
        <v>59.0</v>
      </c>
      <c r="T493" s="1">
        <v>114.15</v>
      </c>
      <c r="U493" s="1">
        <v>0.0</v>
      </c>
      <c r="V493" s="1">
        <v>0.0</v>
      </c>
      <c r="W493" s="1" t="s">
        <v>26</v>
      </c>
    </row>
    <row r="494" ht="15.75" customHeight="1">
      <c r="A494" s="1" t="s">
        <v>531</v>
      </c>
      <c r="B494" s="1" t="s">
        <v>24</v>
      </c>
      <c r="C494" s="1">
        <v>0.0</v>
      </c>
      <c r="D494" s="1" t="s">
        <v>25</v>
      </c>
      <c r="E494" s="1" t="s">
        <v>26</v>
      </c>
      <c r="F494" s="1">
        <v>2.0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1">
        <v>74.4</v>
      </c>
      <c r="T494" s="1">
        <v>139.4</v>
      </c>
      <c r="U494" s="1">
        <v>0.0</v>
      </c>
      <c r="V494" s="1">
        <v>0.0</v>
      </c>
      <c r="W494" s="1" t="s">
        <v>25</v>
      </c>
    </row>
    <row r="495" ht="15.75" customHeight="1">
      <c r="A495" s="1" t="s">
        <v>532</v>
      </c>
      <c r="B495" s="1" t="s">
        <v>32</v>
      </c>
      <c r="C495" s="1">
        <v>1.0</v>
      </c>
      <c r="D495" s="1" t="s">
        <v>25</v>
      </c>
      <c r="E495" s="1" t="s">
        <v>26</v>
      </c>
      <c r="F495" s="1">
        <v>61.0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1">
        <v>64.05</v>
      </c>
      <c r="T495" s="1">
        <v>3902.6</v>
      </c>
      <c r="U495" s="1">
        <v>0.0</v>
      </c>
      <c r="V495" s="1">
        <v>0.0</v>
      </c>
      <c r="W495" s="1" t="s">
        <v>26</v>
      </c>
    </row>
    <row r="496" ht="15.75" customHeight="1">
      <c r="A496" s="1" t="s">
        <v>533</v>
      </c>
      <c r="B496" s="1" t="s">
        <v>32</v>
      </c>
      <c r="C496" s="1">
        <v>0.0</v>
      </c>
      <c r="D496" s="1" t="s">
        <v>26</v>
      </c>
      <c r="E496" s="1" t="s">
        <v>26</v>
      </c>
      <c r="F496" s="1">
        <v>1.0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1">
        <v>20.4</v>
      </c>
      <c r="T496" s="1">
        <v>20.4</v>
      </c>
      <c r="U496" s="1">
        <v>0.0</v>
      </c>
      <c r="V496" s="1">
        <v>0.0</v>
      </c>
      <c r="W496" s="1" t="s">
        <v>26</v>
      </c>
    </row>
    <row r="497" ht="15.75" customHeight="1">
      <c r="A497" s="1" t="s">
        <v>534</v>
      </c>
      <c r="B497" s="1" t="s">
        <v>32</v>
      </c>
      <c r="C497" s="1">
        <v>0.0</v>
      </c>
      <c r="D497" s="1" t="s">
        <v>26</v>
      </c>
      <c r="E497" s="1" t="s">
        <v>26</v>
      </c>
      <c r="F497" s="1">
        <v>22.0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1">
        <v>43.75</v>
      </c>
      <c r="T497" s="1">
        <v>903.6</v>
      </c>
      <c r="U497" s="1">
        <v>0.0</v>
      </c>
      <c r="V497" s="1">
        <v>0.0</v>
      </c>
      <c r="W497" s="1" t="s">
        <v>25</v>
      </c>
    </row>
    <row r="498" ht="15.75" customHeight="1">
      <c r="A498" s="1" t="s">
        <v>535</v>
      </c>
      <c r="B498" s="1" t="s">
        <v>32</v>
      </c>
      <c r="C498" s="1">
        <v>0.0</v>
      </c>
      <c r="D498" s="1" t="s">
        <v>25</v>
      </c>
      <c r="E498" s="1" t="s">
        <v>26</v>
      </c>
      <c r="F498" s="1">
        <v>28.0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1">
        <v>60.9</v>
      </c>
      <c r="T498" s="1">
        <v>1785.65</v>
      </c>
      <c r="U498" s="1">
        <v>0.0</v>
      </c>
      <c r="V498" s="1">
        <v>0.0</v>
      </c>
      <c r="W498" s="1" t="s">
        <v>26</v>
      </c>
    </row>
    <row r="499" ht="15.75" customHeight="1">
      <c r="A499" s="1" t="s">
        <v>536</v>
      </c>
      <c r="B499" s="1" t="s">
        <v>24</v>
      </c>
      <c r="C499" s="1">
        <v>0.0</v>
      </c>
      <c r="D499" s="1" t="s">
        <v>25</v>
      </c>
      <c r="E499" s="1" t="s">
        <v>26</v>
      </c>
      <c r="F499" s="1">
        <v>70.0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1">
        <v>19.8</v>
      </c>
      <c r="T499" s="1">
        <v>1397.65</v>
      </c>
      <c r="U499" s="1">
        <v>0.0</v>
      </c>
      <c r="V499" s="1">
        <v>0.0</v>
      </c>
      <c r="W499" s="1" t="s">
        <v>26</v>
      </c>
    </row>
    <row r="500" ht="15.75" customHeight="1">
      <c r="A500" s="1" t="s">
        <v>537</v>
      </c>
      <c r="B500" s="1" t="s">
        <v>24</v>
      </c>
      <c r="C500" s="1">
        <v>1.0</v>
      </c>
      <c r="D500" s="1" t="s">
        <v>26</v>
      </c>
      <c r="E500" s="1" t="s">
        <v>26</v>
      </c>
      <c r="F500" s="1">
        <v>5.0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1">
        <v>28.45</v>
      </c>
      <c r="T500" s="1">
        <v>131.05</v>
      </c>
      <c r="U500" s="1">
        <v>0.0</v>
      </c>
      <c r="V500" s="1">
        <v>0.0</v>
      </c>
      <c r="W500" s="1" t="s">
        <v>25</v>
      </c>
    </row>
    <row r="501" ht="15.75" customHeight="1">
      <c r="A501" s="1" t="s">
        <v>538</v>
      </c>
      <c r="B501" s="1" t="s">
        <v>24</v>
      </c>
      <c r="C501" s="1">
        <v>0.0</v>
      </c>
      <c r="D501" s="1" t="s">
        <v>26</v>
      </c>
      <c r="E501" s="1" t="s">
        <v>26</v>
      </c>
      <c r="F501" s="1">
        <v>12.0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1">
        <v>99.7</v>
      </c>
      <c r="T501" s="1">
        <v>1238.45</v>
      </c>
      <c r="U501" s="1">
        <v>2.0</v>
      </c>
      <c r="V501" s="1">
        <v>1.0</v>
      </c>
      <c r="W501" s="1" t="s">
        <v>25</v>
      </c>
    </row>
    <row r="502" ht="15.75" customHeight="1">
      <c r="A502" s="1" t="s">
        <v>539</v>
      </c>
      <c r="B502" s="1" t="s">
        <v>32</v>
      </c>
      <c r="C502" s="1">
        <v>0.0</v>
      </c>
      <c r="D502" s="1" t="s">
        <v>26</v>
      </c>
      <c r="E502" s="1" t="s">
        <v>26</v>
      </c>
      <c r="F502" s="1">
        <v>34.0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1">
        <v>116.25</v>
      </c>
      <c r="T502" s="1">
        <v>3899.05</v>
      </c>
      <c r="U502" s="1">
        <v>0.0</v>
      </c>
      <c r="V502" s="1">
        <v>0.0</v>
      </c>
      <c r="W502" s="1" t="s">
        <v>26</v>
      </c>
    </row>
    <row r="503" ht="15.75" customHeight="1">
      <c r="A503" s="1" t="s">
        <v>540</v>
      </c>
      <c r="B503" s="1" t="s">
        <v>24</v>
      </c>
      <c r="C503" s="1">
        <v>1.0</v>
      </c>
      <c r="D503" s="1" t="s">
        <v>25</v>
      </c>
      <c r="E503" s="1" t="s">
        <v>26</v>
      </c>
      <c r="F503" s="1">
        <v>71.0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1">
        <v>80.7</v>
      </c>
      <c r="T503" s="1">
        <v>5676.0</v>
      </c>
      <c r="U503" s="1">
        <v>2.0</v>
      </c>
      <c r="V503" s="1">
        <v>0.0</v>
      </c>
      <c r="W503" s="1" t="s">
        <v>26</v>
      </c>
    </row>
    <row r="504" ht="15.75" customHeight="1">
      <c r="A504" s="1" t="s">
        <v>541</v>
      </c>
      <c r="B504" s="1" t="s">
        <v>24</v>
      </c>
      <c r="C504" s="1">
        <v>0.0</v>
      </c>
      <c r="D504" s="1" t="s">
        <v>25</v>
      </c>
      <c r="E504" s="1" t="s">
        <v>25</v>
      </c>
      <c r="F504" s="1">
        <v>70.0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1">
        <v>65.2</v>
      </c>
      <c r="T504" s="1">
        <v>4543.15</v>
      </c>
      <c r="U504" s="1">
        <v>0.0</v>
      </c>
      <c r="V504" s="1">
        <v>0.0</v>
      </c>
      <c r="W504" s="1" t="s">
        <v>26</v>
      </c>
    </row>
    <row r="505" ht="15.75" customHeight="1">
      <c r="A505" s="1" t="s">
        <v>542</v>
      </c>
      <c r="B505" s="1" t="s">
        <v>24</v>
      </c>
      <c r="C505" s="1">
        <v>0.0</v>
      </c>
      <c r="D505" s="1" t="s">
        <v>25</v>
      </c>
      <c r="E505" s="1" t="s">
        <v>25</v>
      </c>
      <c r="F505" s="1">
        <v>52.0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1">
        <v>84.05</v>
      </c>
      <c r="T505" s="1">
        <v>4326.8</v>
      </c>
      <c r="U505" s="1">
        <v>0.0</v>
      </c>
      <c r="V505" s="1">
        <v>0.0</v>
      </c>
      <c r="W505" s="1" t="s">
        <v>26</v>
      </c>
    </row>
    <row r="506" ht="15.75" customHeight="1">
      <c r="A506" s="1" t="s">
        <v>543</v>
      </c>
      <c r="B506" s="1" t="s">
        <v>32</v>
      </c>
      <c r="C506" s="1">
        <v>0.0</v>
      </c>
      <c r="D506" s="1" t="s">
        <v>26</v>
      </c>
      <c r="E506" s="1" t="s">
        <v>25</v>
      </c>
      <c r="F506" s="1">
        <v>69.0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1">
        <v>79.45</v>
      </c>
      <c r="T506" s="1">
        <v>5502.55</v>
      </c>
      <c r="U506" s="1">
        <v>5.0</v>
      </c>
      <c r="V506" s="1">
        <v>0.0</v>
      </c>
      <c r="W506" s="1" t="s">
        <v>26</v>
      </c>
    </row>
    <row r="507" ht="15.75" customHeight="1">
      <c r="A507" s="1" t="s">
        <v>544</v>
      </c>
      <c r="B507" s="1" t="s">
        <v>24</v>
      </c>
      <c r="C507" s="1">
        <v>1.0</v>
      </c>
      <c r="D507" s="1" t="s">
        <v>26</v>
      </c>
      <c r="E507" s="1" t="s">
        <v>26</v>
      </c>
      <c r="F507" s="1">
        <v>20.0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1">
        <v>94.1</v>
      </c>
      <c r="T507" s="1">
        <v>1782.4</v>
      </c>
      <c r="U507" s="1">
        <v>0.0</v>
      </c>
      <c r="V507" s="1">
        <v>3.0</v>
      </c>
      <c r="W507" s="1" t="s">
        <v>25</v>
      </c>
    </row>
    <row r="508" ht="15.75" customHeight="1">
      <c r="A508" s="1" t="s">
        <v>545</v>
      </c>
      <c r="B508" s="1" t="s">
        <v>32</v>
      </c>
      <c r="C508" s="1">
        <v>0.0</v>
      </c>
      <c r="D508" s="1" t="s">
        <v>26</v>
      </c>
      <c r="E508" s="1" t="s">
        <v>25</v>
      </c>
      <c r="F508" s="1">
        <v>11.0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1">
        <v>78.0</v>
      </c>
      <c r="T508" s="1">
        <v>851.8</v>
      </c>
      <c r="U508" s="1">
        <v>1.0</v>
      </c>
      <c r="V508" s="1">
        <v>0.0</v>
      </c>
      <c r="W508" s="1" t="s">
        <v>26</v>
      </c>
    </row>
    <row r="509" ht="15.75" customHeight="1">
      <c r="A509" s="1" t="s">
        <v>546</v>
      </c>
      <c r="B509" s="1" t="s">
        <v>32</v>
      </c>
      <c r="C509" s="1">
        <v>0.0</v>
      </c>
      <c r="D509" s="1" t="s">
        <v>25</v>
      </c>
      <c r="E509" s="1" t="s">
        <v>26</v>
      </c>
      <c r="F509" s="1">
        <v>2.0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1">
        <v>94.2</v>
      </c>
      <c r="T509" s="1">
        <v>167.5</v>
      </c>
      <c r="U509" s="1">
        <v>0.0</v>
      </c>
      <c r="V509" s="1">
        <v>1.0</v>
      </c>
      <c r="W509" s="1" t="s">
        <v>25</v>
      </c>
    </row>
    <row r="510" ht="15.75" customHeight="1">
      <c r="A510" s="1" t="s">
        <v>547</v>
      </c>
      <c r="B510" s="1" t="s">
        <v>24</v>
      </c>
      <c r="C510" s="1">
        <v>0.0</v>
      </c>
      <c r="D510" s="1" t="s">
        <v>25</v>
      </c>
      <c r="E510" s="1" t="s">
        <v>25</v>
      </c>
      <c r="F510" s="1">
        <v>6.0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1">
        <v>80.5</v>
      </c>
      <c r="T510" s="1">
        <v>502.85</v>
      </c>
      <c r="U510" s="1">
        <v>2.0</v>
      </c>
      <c r="V510" s="1">
        <v>0.0</v>
      </c>
      <c r="W510" s="1" t="s">
        <v>25</v>
      </c>
    </row>
    <row r="511" ht="15.75" customHeight="1">
      <c r="A511" s="1" t="s">
        <v>548</v>
      </c>
      <c r="B511" s="1" t="s">
        <v>24</v>
      </c>
      <c r="C511" s="1">
        <v>0.0</v>
      </c>
      <c r="D511" s="1" t="s">
        <v>26</v>
      </c>
      <c r="E511" s="1" t="s">
        <v>26</v>
      </c>
      <c r="F511" s="1">
        <v>1.0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1">
        <v>19.85</v>
      </c>
      <c r="T511" s="1">
        <v>19.85</v>
      </c>
      <c r="U511" s="1">
        <v>0.0</v>
      </c>
      <c r="V511" s="1">
        <v>0.0</v>
      </c>
      <c r="W511" s="1" t="s">
        <v>26</v>
      </c>
    </row>
    <row r="512" ht="15.75" customHeight="1">
      <c r="A512" s="1" t="s">
        <v>549</v>
      </c>
      <c r="B512" s="1" t="s">
        <v>32</v>
      </c>
      <c r="C512" s="1">
        <v>1.0</v>
      </c>
      <c r="D512" s="1" t="s">
        <v>25</v>
      </c>
      <c r="E512" s="1" t="s">
        <v>25</v>
      </c>
      <c r="F512" s="1">
        <v>20.0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1">
        <v>94.3</v>
      </c>
      <c r="T512" s="1">
        <v>1818.3</v>
      </c>
      <c r="U512" s="1">
        <v>0.0</v>
      </c>
      <c r="V512" s="1">
        <v>0.0</v>
      </c>
      <c r="W512" s="1" t="s">
        <v>26</v>
      </c>
    </row>
    <row r="513" ht="15.75" customHeight="1">
      <c r="A513" s="1" t="s">
        <v>550</v>
      </c>
      <c r="B513" s="1" t="s">
        <v>32</v>
      </c>
      <c r="C513" s="1">
        <v>0.0</v>
      </c>
      <c r="D513" s="1" t="s">
        <v>26</v>
      </c>
      <c r="E513" s="1" t="s">
        <v>26</v>
      </c>
      <c r="F513" s="1">
        <v>61.0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1">
        <v>106.45</v>
      </c>
      <c r="T513" s="1">
        <v>6300.15</v>
      </c>
      <c r="U513" s="1">
        <v>0.0</v>
      </c>
      <c r="V513" s="1">
        <v>0.0</v>
      </c>
      <c r="W513" s="1" t="s">
        <v>26</v>
      </c>
    </row>
    <row r="514" ht="15.75" customHeight="1">
      <c r="A514" s="1" t="s">
        <v>551</v>
      </c>
      <c r="B514" s="1" t="s">
        <v>24</v>
      </c>
      <c r="C514" s="1">
        <v>1.0</v>
      </c>
      <c r="D514" s="1" t="s">
        <v>25</v>
      </c>
      <c r="E514" s="1" t="s">
        <v>26</v>
      </c>
      <c r="F514" s="1">
        <v>5.0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1">
        <v>74.35</v>
      </c>
      <c r="T514" s="1">
        <v>334.8</v>
      </c>
      <c r="U514" s="1">
        <v>0.0</v>
      </c>
      <c r="V514" s="1">
        <v>0.0</v>
      </c>
      <c r="W514" s="1" t="s">
        <v>25</v>
      </c>
    </row>
    <row r="515" ht="15.75" customHeight="1">
      <c r="A515" s="1" t="s">
        <v>552</v>
      </c>
      <c r="B515" s="1" t="s">
        <v>24</v>
      </c>
      <c r="C515" s="1">
        <v>0.0</v>
      </c>
      <c r="D515" s="1" t="s">
        <v>26</v>
      </c>
      <c r="E515" s="1" t="s">
        <v>26</v>
      </c>
      <c r="F515" s="1">
        <v>56.0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1">
        <v>105.45</v>
      </c>
      <c r="T515" s="1">
        <v>5916.95</v>
      </c>
      <c r="U515" s="1">
        <v>0.0</v>
      </c>
      <c r="V515" s="1">
        <v>0.0</v>
      </c>
      <c r="W515" s="1" t="s">
        <v>26</v>
      </c>
    </row>
    <row r="516" ht="15.75" customHeight="1">
      <c r="A516" s="1" t="s">
        <v>553</v>
      </c>
      <c r="B516" s="1" t="s">
        <v>32</v>
      </c>
      <c r="C516" s="1">
        <v>0.0</v>
      </c>
      <c r="D516" s="1" t="s">
        <v>26</v>
      </c>
      <c r="E516" s="1" t="s">
        <v>26</v>
      </c>
      <c r="F516" s="1">
        <v>30.0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1">
        <v>95.0</v>
      </c>
      <c r="T516" s="1">
        <v>2852.4</v>
      </c>
      <c r="U516" s="1">
        <v>4.0</v>
      </c>
      <c r="V516" s="1">
        <v>0.0</v>
      </c>
      <c r="W516" s="1" t="s">
        <v>26</v>
      </c>
    </row>
    <row r="517" ht="15.75" customHeight="1">
      <c r="A517" s="1" t="s">
        <v>554</v>
      </c>
      <c r="B517" s="1" t="s">
        <v>32</v>
      </c>
      <c r="C517" s="1">
        <v>0.0</v>
      </c>
      <c r="D517" s="1" t="s">
        <v>26</v>
      </c>
      <c r="E517" s="1" t="s">
        <v>26</v>
      </c>
      <c r="F517" s="1">
        <v>40.0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1">
        <v>104.8</v>
      </c>
      <c r="T517" s="1">
        <v>4131.95</v>
      </c>
      <c r="U517" s="1">
        <v>0.0</v>
      </c>
      <c r="V517" s="1">
        <v>4.0</v>
      </c>
      <c r="W517" s="1" t="s">
        <v>25</v>
      </c>
    </row>
    <row r="518" ht="15.75" customHeight="1">
      <c r="A518" s="1" t="s">
        <v>555</v>
      </c>
      <c r="B518" s="1" t="s">
        <v>24</v>
      </c>
      <c r="C518" s="1">
        <v>0.0</v>
      </c>
      <c r="D518" s="1" t="s">
        <v>26</v>
      </c>
      <c r="E518" s="1" t="s">
        <v>26</v>
      </c>
      <c r="F518" s="1">
        <v>28.0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1">
        <v>54.3</v>
      </c>
      <c r="T518" s="1">
        <v>1546.3</v>
      </c>
      <c r="U518" s="1">
        <v>0.0</v>
      </c>
      <c r="V518" s="1">
        <v>0.0</v>
      </c>
      <c r="W518" s="1" t="s">
        <v>26</v>
      </c>
    </row>
    <row r="519" ht="15.75" customHeight="1">
      <c r="A519" s="1" t="s">
        <v>556</v>
      </c>
      <c r="B519" s="1" t="s">
        <v>24</v>
      </c>
      <c r="C519" s="1">
        <v>1.0</v>
      </c>
      <c r="D519" s="1" t="s">
        <v>25</v>
      </c>
      <c r="E519" s="1" t="s">
        <v>26</v>
      </c>
      <c r="F519" s="1">
        <v>5.0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1">
        <v>70.05</v>
      </c>
      <c r="T519" s="1">
        <v>302.6</v>
      </c>
      <c r="U519" s="1">
        <v>0.0</v>
      </c>
      <c r="V519" s="1">
        <v>0.0</v>
      </c>
      <c r="W519" s="1" t="s">
        <v>26</v>
      </c>
    </row>
    <row r="520" ht="15.75" customHeight="1">
      <c r="A520" s="1" t="s">
        <v>557</v>
      </c>
      <c r="B520" s="1" t="s">
        <v>24</v>
      </c>
      <c r="C520" s="1">
        <v>1.0</v>
      </c>
      <c r="D520" s="1" t="s">
        <v>25</v>
      </c>
      <c r="E520" s="1" t="s">
        <v>26</v>
      </c>
      <c r="F520" s="1">
        <v>27.0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1">
        <v>75.2</v>
      </c>
      <c r="T520" s="1">
        <v>1929.35</v>
      </c>
      <c r="U520" s="1">
        <v>1.0</v>
      </c>
      <c r="V520" s="1">
        <v>0.0</v>
      </c>
      <c r="W520" s="1" t="s">
        <v>25</v>
      </c>
    </row>
    <row r="521" ht="15.75" customHeight="1">
      <c r="A521" s="1" t="s">
        <v>558</v>
      </c>
      <c r="B521" s="1" t="s">
        <v>32</v>
      </c>
      <c r="C521" s="1">
        <v>0.0</v>
      </c>
      <c r="D521" s="1" t="s">
        <v>26</v>
      </c>
      <c r="E521" s="1" t="s">
        <v>26</v>
      </c>
      <c r="F521" s="1">
        <v>12.0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1">
        <v>20.05</v>
      </c>
      <c r="T521" s="1">
        <v>265.45</v>
      </c>
      <c r="U521" s="1">
        <v>0.0</v>
      </c>
      <c r="V521" s="1">
        <v>0.0</v>
      </c>
      <c r="W521" s="1" t="s">
        <v>26</v>
      </c>
    </row>
    <row r="522" ht="15.75" customHeight="1">
      <c r="A522" s="1" t="s">
        <v>559</v>
      </c>
      <c r="B522" s="1" t="s">
        <v>32</v>
      </c>
      <c r="C522" s="1">
        <v>0.0</v>
      </c>
      <c r="D522" s="1" t="s">
        <v>25</v>
      </c>
      <c r="E522" s="1" t="s">
        <v>25</v>
      </c>
      <c r="F522" s="1">
        <v>67.0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1">
        <v>105.4</v>
      </c>
      <c r="T522" s="1">
        <v>6989.45</v>
      </c>
      <c r="U522" s="1">
        <v>0.0</v>
      </c>
      <c r="V522" s="1">
        <v>0.0</v>
      </c>
      <c r="W522" s="1" t="s">
        <v>26</v>
      </c>
    </row>
    <row r="523" ht="15.75" customHeight="1">
      <c r="A523" s="1" t="s">
        <v>560</v>
      </c>
      <c r="B523" s="1" t="s">
        <v>32</v>
      </c>
      <c r="C523" s="1">
        <v>1.0</v>
      </c>
      <c r="D523" s="1" t="s">
        <v>25</v>
      </c>
      <c r="E523" s="1" t="s">
        <v>26</v>
      </c>
      <c r="F523" s="1">
        <v>29.0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1">
        <v>51.6</v>
      </c>
      <c r="T523" s="1">
        <v>1442.0</v>
      </c>
      <c r="U523" s="1">
        <v>2.0</v>
      </c>
      <c r="V523" s="1">
        <v>0.0</v>
      </c>
      <c r="W523" s="1" t="s">
        <v>26</v>
      </c>
    </row>
    <row r="524" ht="15.75" customHeight="1">
      <c r="A524" s="1" t="s">
        <v>561</v>
      </c>
      <c r="B524" s="1" t="s">
        <v>32</v>
      </c>
      <c r="C524" s="1">
        <v>0.0</v>
      </c>
      <c r="D524" s="1" t="s">
        <v>25</v>
      </c>
      <c r="E524" s="1" t="s">
        <v>25</v>
      </c>
      <c r="F524" s="1">
        <v>55.0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1">
        <v>85.5</v>
      </c>
      <c r="T524" s="1">
        <v>4713.4</v>
      </c>
      <c r="U524" s="1">
        <v>0.0</v>
      </c>
      <c r="V524" s="1">
        <v>0.0</v>
      </c>
      <c r="W524" s="1" t="s">
        <v>26</v>
      </c>
    </row>
    <row r="525" ht="15.75" customHeight="1">
      <c r="A525" s="1" t="s">
        <v>562</v>
      </c>
      <c r="B525" s="1" t="s">
        <v>24</v>
      </c>
      <c r="C525" s="1">
        <v>0.0</v>
      </c>
      <c r="D525" s="1" t="s">
        <v>26</v>
      </c>
      <c r="E525" s="1" t="s">
        <v>26</v>
      </c>
      <c r="F525" s="1">
        <v>23.0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1">
        <v>75.6</v>
      </c>
      <c r="T525" s="1">
        <v>1758.6</v>
      </c>
      <c r="U525" s="1">
        <v>0.0</v>
      </c>
      <c r="V525" s="1">
        <v>0.0</v>
      </c>
      <c r="W525" s="1" t="s">
        <v>25</v>
      </c>
    </row>
    <row r="526" ht="15.75" customHeight="1">
      <c r="A526" s="1" t="s">
        <v>563</v>
      </c>
      <c r="B526" s="1" t="s">
        <v>32</v>
      </c>
      <c r="C526" s="1">
        <v>0.0</v>
      </c>
      <c r="D526" s="1" t="s">
        <v>25</v>
      </c>
      <c r="E526" s="1" t="s">
        <v>26</v>
      </c>
      <c r="F526" s="1">
        <v>34.0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1">
        <v>100.05</v>
      </c>
      <c r="T526" s="1">
        <v>3480.0</v>
      </c>
      <c r="U526" s="1">
        <v>0.0</v>
      </c>
      <c r="V526" s="1">
        <v>3.0</v>
      </c>
      <c r="W526" s="1" t="s">
        <v>25</v>
      </c>
    </row>
    <row r="527" ht="15.75" customHeight="1">
      <c r="A527" s="1" t="s">
        <v>564</v>
      </c>
      <c r="B527" s="1" t="s">
        <v>32</v>
      </c>
      <c r="C527" s="1">
        <v>0.0</v>
      </c>
      <c r="D527" s="1" t="s">
        <v>26</v>
      </c>
      <c r="E527" s="1" t="s">
        <v>26</v>
      </c>
      <c r="F527" s="1">
        <v>52.0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1">
        <v>91.25</v>
      </c>
      <c r="T527" s="1">
        <v>4738.3</v>
      </c>
      <c r="U527" s="1">
        <v>0.0</v>
      </c>
      <c r="V527" s="1">
        <v>0.0</v>
      </c>
      <c r="W527" s="1" t="s">
        <v>26</v>
      </c>
    </row>
    <row r="528" ht="15.75" customHeight="1">
      <c r="A528" s="1" t="s">
        <v>565</v>
      </c>
      <c r="B528" s="1" t="s">
        <v>32</v>
      </c>
      <c r="C528" s="1">
        <v>1.0</v>
      </c>
      <c r="D528" s="1" t="s">
        <v>25</v>
      </c>
      <c r="E528" s="1" t="s">
        <v>25</v>
      </c>
      <c r="F528" s="1">
        <v>72.0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1">
        <v>115.75</v>
      </c>
      <c r="T528" s="1">
        <v>8399.15</v>
      </c>
      <c r="U528" s="1">
        <v>0.0</v>
      </c>
      <c r="V528" s="1">
        <v>0.0</v>
      </c>
      <c r="W528" s="1" t="s">
        <v>26</v>
      </c>
    </row>
    <row r="529" ht="15.75" customHeight="1">
      <c r="A529" s="1" t="s">
        <v>566</v>
      </c>
      <c r="B529" s="1" t="s">
        <v>32</v>
      </c>
      <c r="C529" s="1">
        <v>0.0</v>
      </c>
      <c r="D529" s="1" t="s">
        <v>25</v>
      </c>
      <c r="E529" s="1" t="s">
        <v>25</v>
      </c>
      <c r="F529" s="1">
        <v>58.0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1">
        <v>94.7</v>
      </c>
      <c r="T529" s="1">
        <v>5430.35</v>
      </c>
      <c r="U529" s="1">
        <v>0.0</v>
      </c>
      <c r="V529" s="1">
        <v>0.0</v>
      </c>
      <c r="W529" s="1" t="s">
        <v>26</v>
      </c>
    </row>
    <row r="530" ht="15.75" customHeight="1">
      <c r="A530" s="1" t="s">
        <v>567</v>
      </c>
      <c r="B530" s="1" t="s">
        <v>32</v>
      </c>
      <c r="C530" s="1">
        <v>0.0</v>
      </c>
      <c r="D530" s="1" t="s">
        <v>25</v>
      </c>
      <c r="E530" s="1" t="s">
        <v>25</v>
      </c>
      <c r="F530" s="1">
        <v>35.0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1">
        <v>19.6</v>
      </c>
      <c r="T530" s="1">
        <v>686.95</v>
      </c>
      <c r="U530" s="1">
        <v>2.0</v>
      </c>
      <c r="V530" s="1">
        <v>0.0</v>
      </c>
      <c r="W530" s="1" t="s">
        <v>26</v>
      </c>
    </row>
    <row r="531" ht="15.75" customHeight="1">
      <c r="A531" s="1" t="s">
        <v>568</v>
      </c>
      <c r="B531" s="1" t="s">
        <v>24</v>
      </c>
      <c r="C531" s="1">
        <v>1.0</v>
      </c>
      <c r="D531" s="1" t="s">
        <v>26</v>
      </c>
      <c r="E531" s="1" t="s">
        <v>26</v>
      </c>
      <c r="F531" s="1">
        <v>56.0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1">
        <v>99.9</v>
      </c>
      <c r="T531" s="1">
        <v>5706.3</v>
      </c>
      <c r="U531" s="1">
        <v>0.0</v>
      </c>
      <c r="V531" s="1">
        <v>0.0</v>
      </c>
      <c r="W531" s="1" t="s">
        <v>26</v>
      </c>
    </row>
    <row r="532" ht="15.75" customHeight="1">
      <c r="A532" s="1" t="s">
        <v>569</v>
      </c>
      <c r="B532" s="1" t="s">
        <v>24</v>
      </c>
      <c r="C532" s="1">
        <v>0.0</v>
      </c>
      <c r="D532" s="1" t="s">
        <v>25</v>
      </c>
      <c r="E532" s="1" t="s">
        <v>25</v>
      </c>
      <c r="F532" s="1">
        <v>24.0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1">
        <v>21.1</v>
      </c>
      <c r="T532" s="1">
        <v>490.65</v>
      </c>
      <c r="U532" s="1">
        <v>0.0</v>
      </c>
      <c r="V532" s="1">
        <v>0.0</v>
      </c>
      <c r="W532" s="1" t="s">
        <v>26</v>
      </c>
    </row>
    <row r="533" ht="15.75" customHeight="1">
      <c r="A533" s="1" t="s">
        <v>570</v>
      </c>
      <c r="B533" s="1" t="s">
        <v>32</v>
      </c>
      <c r="C533" s="1">
        <v>0.0</v>
      </c>
      <c r="D533" s="1" t="s">
        <v>25</v>
      </c>
      <c r="E533" s="1" t="s">
        <v>25</v>
      </c>
      <c r="F533" s="1">
        <v>70.0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1">
        <v>20.05</v>
      </c>
      <c r="T533" s="1">
        <v>1360.25</v>
      </c>
      <c r="U533" s="1">
        <v>0.0</v>
      </c>
      <c r="V533" s="1">
        <v>6.0</v>
      </c>
      <c r="W533" s="1" t="s">
        <v>26</v>
      </c>
    </row>
    <row r="534" ht="15.75" customHeight="1">
      <c r="A534" s="1" t="s">
        <v>571</v>
      </c>
      <c r="B534" s="1" t="s">
        <v>32</v>
      </c>
      <c r="C534" s="1">
        <v>0.0</v>
      </c>
      <c r="D534" s="1" t="s">
        <v>26</v>
      </c>
      <c r="E534" s="1" t="s">
        <v>26</v>
      </c>
      <c r="F534" s="1">
        <v>2.0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1">
        <v>79.95</v>
      </c>
      <c r="T534" s="1">
        <v>174.45</v>
      </c>
      <c r="U534" s="1">
        <v>0.0</v>
      </c>
      <c r="V534" s="1">
        <v>0.0</v>
      </c>
      <c r="W534" s="1" t="s">
        <v>26</v>
      </c>
    </row>
    <row r="535" ht="15.75" customHeight="1">
      <c r="A535" s="1" t="s">
        <v>572</v>
      </c>
      <c r="B535" s="1" t="s">
        <v>32</v>
      </c>
      <c r="C535" s="1">
        <v>1.0</v>
      </c>
      <c r="D535" s="1" t="s">
        <v>25</v>
      </c>
      <c r="E535" s="1" t="s">
        <v>25</v>
      </c>
      <c r="F535" s="1">
        <v>68.0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1">
        <v>107.15</v>
      </c>
      <c r="T535" s="1">
        <v>7379.8</v>
      </c>
      <c r="U535" s="1">
        <v>0.0</v>
      </c>
      <c r="V535" s="1">
        <v>0.0</v>
      </c>
      <c r="W535" s="1" t="s">
        <v>26</v>
      </c>
    </row>
    <row r="536" ht="15.75" customHeight="1">
      <c r="A536" s="1" t="s">
        <v>573</v>
      </c>
      <c r="B536" s="1" t="s">
        <v>24</v>
      </c>
      <c r="C536" s="1">
        <v>0.0</v>
      </c>
      <c r="D536" s="1" t="s">
        <v>26</v>
      </c>
      <c r="E536" s="1" t="s">
        <v>26</v>
      </c>
      <c r="F536" s="1">
        <v>1.0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1">
        <v>85.0</v>
      </c>
      <c r="T536" s="1">
        <v>85.0</v>
      </c>
      <c r="U536" s="1">
        <v>0.0</v>
      </c>
      <c r="V536" s="1">
        <v>0.0</v>
      </c>
      <c r="W536" s="1" t="s">
        <v>25</v>
      </c>
    </row>
    <row r="537" ht="15.75" customHeight="1">
      <c r="A537" s="1" t="s">
        <v>574</v>
      </c>
      <c r="B537" s="1" t="s">
        <v>32</v>
      </c>
      <c r="C537" s="1">
        <v>0.0</v>
      </c>
      <c r="D537" s="1" t="s">
        <v>26</v>
      </c>
      <c r="E537" s="1" t="s">
        <v>26</v>
      </c>
      <c r="F537" s="1">
        <v>12.0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1">
        <v>89.55</v>
      </c>
      <c r="T537" s="1">
        <v>1021.75</v>
      </c>
      <c r="U537" s="1">
        <v>0.0</v>
      </c>
      <c r="V537" s="1">
        <v>0.0</v>
      </c>
      <c r="W537" s="1" t="s">
        <v>26</v>
      </c>
    </row>
    <row r="538" ht="15.75" customHeight="1">
      <c r="A538" s="1" t="s">
        <v>575</v>
      </c>
      <c r="B538" s="1" t="s">
        <v>24</v>
      </c>
      <c r="C538" s="1">
        <v>0.0</v>
      </c>
      <c r="D538" s="1" t="s">
        <v>25</v>
      </c>
      <c r="E538" s="1" t="s">
        <v>26</v>
      </c>
      <c r="F538" s="1">
        <v>63.0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1">
        <v>81.55</v>
      </c>
      <c r="T538" s="1">
        <v>5029.05</v>
      </c>
      <c r="U538" s="1">
        <v>1.0</v>
      </c>
      <c r="V538" s="1">
        <v>0.0</v>
      </c>
      <c r="W538" s="1" t="s">
        <v>26</v>
      </c>
    </row>
    <row r="539" ht="15.75" customHeight="1">
      <c r="A539" s="1" t="s">
        <v>576</v>
      </c>
      <c r="B539" s="1" t="s">
        <v>24</v>
      </c>
      <c r="C539" s="1">
        <v>0.0</v>
      </c>
      <c r="D539" s="1" t="s">
        <v>25</v>
      </c>
      <c r="E539" s="1" t="s">
        <v>25</v>
      </c>
      <c r="F539" s="1">
        <v>33.0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1">
        <v>58.45</v>
      </c>
      <c r="T539" s="1">
        <v>1955.4</v>
      </c>
      <c r="U539" s="1">
        <v>0.0</v>
      </c>
      <c r="V539" s="1">
        <v>0.0</v>
      </c>
      <c r="W539" s="1" t="s">
        <v>26</v>
      </c>
    </row>
    <row r="540" ht="15.75" customHeight="1">
      <c r="A540" s="1" t="s">
        <v>577</v>
      </c>
      <c r="B540" s="1" t="s">
        <v>24</v>
      </c>
      <c r="C540" s="1">
        <v>0.0</v>
      </c>
      <c r="D540" s="1" t="s">
        <v>25</v>
      </c>
      <c r="E540" s="1" t="s">
        <v>26</v>
      </c>
      <c r="F540" s="1">
        <v>69.0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1">
        <v>95.65</v>
      </c>
      <c r="T540" s="1">
        <v>6744.2</v>
      </c>
      <c r="U540" s="1">
        <v>0.0</v>
      </c>
      <c r="V540" s="1">
        <v>0.0</v>
      </c>
      <c r="W540" s="1" t="s">
        <v>26</v>
      </c>
    </row>
    <row r="541" ht="15.75" customHeight="1">
      <c r="A541" s="1" t="s">
        <v>578</v>
      </c>
      <c r="B541" s="1" t="s">
        <v>24</v>
      </c>
      <c r="C541" s="1">
        <v>0.0</v>
      </c>
      <c r="D541" s="1" t="s">
        <v>25</v>
      </c>
      <c r="E541" s="1" t="s">
        <v>25</v>
      </c>
      <c r="F541" s="1">
        <v>60.0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1">
        <v>80.6</v>
      </c>
      <c r="T541" s="1">
        <v>4946.7</v>
      </c>
      <c r="U541" s="1">
        <v>0.0</v>
      </c>
      <c r="V541" s="1">
        <v>0.0</v>
      </c>
      <c r="W541" s="1" t="s">
        <v>26</v>
      </c>
    </row>
    <row r="542" ht="15.75" customHeight="1">
      <c r="A542" s="1" t="s">
        <v>579</v>
      </c>
      <c r="B542" s="1" t="s">
        <v>24</v>
      </c>
      <c r="C542" s="1">
        <v>0.0</v>
      </c>
      <c r="D542" s="1" t="s">
        <v>25</v>
      </c>
      <c r="E542" s="1" t="s">
        <v>25</v>
      </c>
      <c r="F542" s="1">
        <v>72.0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1">
        <v>113.1</v>
      </c>
      <c r="T542" s="1">
        <v>8248.5</v>
      </c>
      <c r="U542" s="1">
        <v>0.0</v>
      </c>
      <c r="V542" s="1">
        <v>0.0</v>
      </c>
      <c r="W542" s="1" t="s">
        <v>26</v>
      </c>
    </row>
    <row r="543" ht="15.75" customHeight="1">
      <c r="A543" s="1" t="s">
        <v>580</v>
      </c>
      <c r="B543" s="1" t="s">
        <v>24</v>
      </c>
      <c r="C543" s="1">
        <v>0.0</v>
      </c>
      <c r="D543" s="1" t="s">
        <v>26</v>
      </c>
      <c r="E543" s="1" t="s">
        <v>26</v>
      </c>
      <c r="F543" s="1">
        <v>11.0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1">
        <v>58.95</v>
      </c>
      <c r="T543" s="1">
        <v>601.6</v>
      </c>
      <c r="U543" s="1">
        <v>0.0</v>
      </c>
      <c r="V543" s="1">
        <v>0.0</v>
      </c>
      <c r="W543" s="1" t="s">
        <v>26</v>
      </c>
    </row>
    <row r="544" ht="15.75" customHeight="1">
      <c r="A544" s="1" t="s">
        <v>581</v>
      </c>
      <c r="B544" s="1" t="s">
        <v>24</v>
      </c>
      <c r="C544" s="1">
        <v>0.0</v>
      </c>
      <c r="D544" s="1" t="s">
        <v>26</v>
      </c>
      <c r="E544" s="1" t="s">
        <v>26</v>
      </c>
      <c r="F544" s="1">
        <v>1.0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1">
        <v>19.55</v>
      </c>
      <c r="T544" s="1">
        <v>19.55</v>
      </c>
      <c r="U544" s="1">
        <v>0.0</v>
      </c>
      <c r="V544" s="1">
        <v>0.0</v>
      </c>
      <c r="W544" s="1" t="s">
        <v>26</v>
      </c>
    </row>
    <row r="545" ht="15.75" customHeight="1">
      <c r="A545" s="1" t="s">
        <v>582</v>
      </c>
      <c r="B545" s="1" t="s">
        <v>32</v>
      </c>
      <c r="C545" s="1">
        <v>0.0</v>
      </c>
      <c r="D545" s="1" t="s">
        <v>26</v>
      </c>
      <c r="E545" s="1" t="s">
        <v>26</v>
      </c>
      <c r="F545" s="1">
        <v>10.0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1">
        <v>86.05</v>
      </c>
      <c r="T545" s="1">
        <v>834.1</v>
      </c>
      <c r="U545" s="1">
        <v>0.0</v>
      </c>
      <c r="V545" s="1">
        <v>0.0</v>
      </c>
      <c r="W545" s="1" t="s">
        <v>25</v>
      </c>
    </row>
    <row r="546" ht="15.75" customHeight="1">
      <c r="A546" s="1" t="s">
        <v>583</v>
      </c>
      <c r="B546" s="1" t="s">
        <v>32</v>
      </c>
      <c r="C546" s="1">
        <v>0.0</v>
      </c>
      <c r="D546" s="1" t="s">
        <v>26</v>
      </c>
      <c r="E546" s="1" t="s">
        <v>26</v>
      </c>
      <c r="F546" s="1">
        <v>13.0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1">
        <v>45.55</v>
      </c>
      <c r="T546" s="1">
        <v>597.0</v>
      </c>
      <c r="U546" s="1">
        <v>0.0</v>
      </c>
      <c r="V546" s="1">
        <v>2.0</v>
      </c>
      <c r="W546" s="1" t="s">
        <v>25</v>
      </c>
    </row>
    <row r="547" ht="15.75" customHeight="1">
      <c r="A547" s="1" t="s">
        <v>584</v>
      </c>
      <c r="B547" s="1" t="s">
        <v>32</v>
      </c>
      <c r="C547" s="1">
        <v>0.0</v>
      </c>
      <c r="D547" s="1" t="s">
        <v>25</v>
      </c>
      <c r="E547" s="1" t="s">
        <v>25</v>
      </c>
      <c r="F547" s="1">
        <v>34.0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1">
        <v>78.95</v>
      </c>
      <c r="T547" s="1">
        <v>2647.2</v>
      </c>
      <c r="U547" s="1">
        <v>5.0</v>
      </c>
      <c r="V547" s="1">
        <v>0.0</v>
      </c>
      <c r="W547" s="1" t="s">
        <v>26</v>
      </c>
    </row>
    <row r="548" ht="15.75" customHeight="1">
      <c r="A548" s="1" t="s">
        <v>585</v>
      </c>
      <c r="B548" s="1" t="s">
        <v>32</v>
      </c>
      <c r="C548" s="1">
        <v>0.0</v>
      </c>
      <c r="D548" s="1" t="s">
        <v>25</v>
      </c>
      <c r="E548" s="1" t="s">
        <v>25</v>
      </c>
      <c r="F548" s="1">
        <v>39.0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1">
        <v>86.3</v>
      </c>
      <c r="T548" s="1">
        <v>3266.0</v>
      </c>
      <c r="U548" s="1">
        <v>5.0</v>
      </c>
      <c r="V548" s="1">
        <v>3.0</v>
      </c>
      <c r="W548" s="1" t="s">
        <v>25</v>
      </c>
    </row>
    <row r="549" ht="15.75" customHeight="1">
      <c r="A549" s="1" t="s">
        <v>586</v>
      </c>
      <c r="B549" s="1" t="s">
        <v>24</v>
      </c>
      <c r="C549" s="1">
        <v>0.0</v>
      </c>
      <c r="D549" s="1" t="s">
        <v>26</v>
      </c>
      <c r="E549" s="1" t="s">
        <v>26</v>
      </c>
      <c r="F549" s="1">
        <v>65.0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1">
        <v>105.05</v>
      </c>
      <c r="T549" s="1">
        <v>6744.25</v>
      </c>
      <c r="U549" s="1">
        <v>0.0</v>
      </c>
      <c r="V549" s="1">
        <v>0.0</v>
      </c>
      <c r="W549" s="1" t="s">
        <v>26</v>
      </c>
    </row>
    <row r="550" ht="15.75" customHeight="1">
      <c r="A550" s="1" t="s">
        <v>587</v>
      </c>
      <c r="B550" s="1" t="s">
        <v>32</v>
      </c>
      <c r="C550" s="1">
        <v>1.0</v>
      </c>
      <c r="D550" s="1" t="s">
        <v>25</v>
      </c>
      <c r="E550" s="1" t="s">
        <v>26</v>
      </c>
      <c r="F550" s="1">
        <v>50.0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1">
        <v>101.9</v>
      </c>
      <c r="T550" s="1">
        <v>5265.5</v>
      </c>
      <c r="U550" s="1">
        <v>0.0</v>
      </c>
      <c r="V550" s="1">
        <v>4.0</v>
      </c>
      <c r="W550" s="1" t="s">
        <v>26</v>
      </c>
    </row>
    <row r="551" ht="15.75" customHeight="1">
      <c r="A551" s="1" t="s">
        <v>588</v>
      </c>
      <c r="B551" s="1" t="s">
        <v>32</v>
      </c>
      <c r="C551" s="1">
        <v>0.0</v>
      </c>
      <c r="D551" s="1" t="s">
        <v>26</v>
      </c>
      <c r="E551" s="1" t="s">
        <v>26</v>
      </c>
      <c r="F551" s="1">
        <v>15.0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1">
        <v>19.75</v>
      </c>
      <c r="T551" s="1">
        <v>311.6</v>
      </c>
      <c r="U551" s="1">
        <v>0.0</v>
      </c>
      <c r="V551" s="1">
        <v>1.0</v>
      </c>
      <c r="W551" s="1" t="s">
        <v>26</v>
      </c>
    </row>
    <row r="552" ht="15.75" customHeight="1">
      <c r="A552" s="1" t="s">
        <v>589</v>
      </c>
      <c r="B552" s="1" t="s">
        <v>32</v>
      </c>
      <c r="C552" s="1">
        <v>0.0</v>
      </c>
      <c r="D552" s="1" t="s">
        <v>25</v>
      </c>
      <c r="E552" s="1" t="s">
        <v>25</v>
      </c>
      <c r="F552" s="1">
        <v>72.0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1">
        <v>110.3</v>
      </c>
      <c r="T552" s="1">
        <v>7966.9</v>
      </c>
      <c r="U552" s="1">
        <v>2.0</v>
      </c>
      <c r="V552" s="1">
        <v>0.0</v>
      </c>
      <c r="W552" s="1" t="s">
        <v>26</v>
      </c>
    </row>
    <row r="553" ht="15.75" customHeight="1">
      <c r="A553" s="1" t="s">
        <v>590</v>
      </c>
      <c r="B553" s="1" t="s">
        <v>24</v>
      </c>
      <c r="C553" s="1">
        <v>0.0</v>
      </c>
      <c r="D553" s="1" t="s">
        <v>25</v>
      </c>
      <c r="E553" s="1" t="s">
        <v>25</v>
      </c>
      <c r="F553" s="1">
        <v>72.0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1">
        <v>115.6</v>
      </c>
      <c r="T553" s="1">
        <v>8220.4</v>
      </c>
      <c r="U553" s="1">
        <v>0.0</v>
      </c>
      <c r="V553" s="1">
        <v>4.0</v>
      </c>
      <c r="W553" s="1" t="s">
        <v>26</v>
      </c>
    </row>
    <row r="554" ht="15.75" customHeight="1">
      <c r="A554" s="1" t="s">
        <v>591</v>
      </c>
      <c r="B554" s="1" t="s">
        <v>32</v>
      </c>
      <c r="C554" s="1">
        <v>0.0</v>
      </c>
      <c r="D554" s="1" t="s">
        <v>25</v>
      </c>
      <c r="E554" s="1" t="s">
        <v>25</v>
      </c>
      <c r="F554" s="1">
        <v>55.0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1">
        <v>19.35</v>
      </c>
      <c r="T554" s="1">
        <v>1153.25</v>
      </c>
      <c r="U554" s="1">
        <v>0.0</v>
      </c>
      <c r="V554" s="1">
        <v>0.0</v>
      </c>
      <c r="W554" s="1" t="s">
        <v>26</v>
      </c>
    </row>
    <row r="555" ht="15.75" customHeight="1">
      <c r="A555" s="1" t="s">
        <v>592</v>
      </c>
      <c r="B555" s="1" t="s">
        <v>24</v>
      </c>
      <c r="C555" s="1">
        <v>0.0</v>
      </c>
      <c r="D555" s="1" t="s">
        <v>25</v>
      </c>
      <c r="E555" s="1" t="s">
        <v>25</v>
      </c>
      <c r="F555" s="1">
        <v>23.0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1">
        <v>25.6</v>
      </c>
      <c r="T555" s="1">
        <v>514.75</v>
      </c>
      <c r="U555" s="1">
        <v>0.0</v>
      </c>
      <c r="V555" s="1">
        <v>0.0</v>
      </c>
      <c r="W555" s="1" t="s">
        <v>26</v>
      </c>
    </row>
    <row r="556" ht="15.75" customHeight="1">
      <c r="A556" s="1" t="s">
        <v>593</v>
      </c>
      <c r="B556" s="1" t="s">
        <v>32</v>
      </c>
      <c r="C556" s="1">
        <v>0.0</v>
      </c>
      <c r="D556" s="1" t="s">
        <v>26</v>
      </c>
      <c r="E556" s="1" t="s">
        <v>26</v>
      </c>
      <c r="F556" s="1">
        <v>32.0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1">
        <v>80.35</v>
      </c>
      <c r="T556" s="1">
        <v>2596.15</v>
      </c>
      <c r="U556" s="1">
        <v>0.0</v>
      </c>
      <c r="V556" s="1">
        <v>0.0</v>
      </c>
      <c r="W556" s="1" t="s">
        <v>25</v>
      </c>
    </row>
    <row r="557" ht="15.75" customHeight="1">
      <c r="A557" s="1" t="s">
        <v>594</v>
      </c>
      <c r="B557" s="1" t="s">
        <v>24</v>
      </c>
      <c r="C557" s="1">
        <v>0.0</v>
      </c>
      <c r="D557" s="1" t="s">
        <v>25</v>
      </c>
      <c r="E557" s="1" t="s">
        <v>25</v>
      </c>
      <c r="F557" s="1">
        <v>56.0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1">
        <v>68.75</v>
      </c>
      <c r="T557" s="1">
        <v>3808.0</v>
      </c>
      <c r="U557" s="1">
        <v>0.0</v>
      </c>
      <c r="V557" s="1">
        <v>0.0</v>
      </c>
      <c r="W557" s="1" t="s">
        <v>26</v>
      </c>
    </row>
    <row r="558" ht="15.75" customHeight="1">
      <c r="A558" s="1" t="s">
        <v>595</v>
      </c>
      <c r="B558" s="1" t="s">
        <v>24</v>
      </c>
      <c r="C558" s="1">
        <v>0.0</v>
      </c>
      <c r="D558" s="1" t="s">
        <v>26</v>
      </c>
      <c r="E558" s="1" t="s">
        <v>26</v>
      </c>
      <c r="F558" s="1">
        <v>1.0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1">
        <v>19.9</v>
      </c>
      <c r="T558" s="1">
        <v>19.9</v>
      </c>
      <c r="U558" s="1">
        <v>0.0</v>
      </c>
      <c r="V558" s="1">
        <v>0.0</v>
      </c>
      <c r="W558" s="1" t="s">
        <v>26</v>
      </c>
    </row>
    <row r="559" ht="15.75" customHeight="1">
      <c r="A559" s="1" t="s">
        <v>596</v>
      </c>
      <c r="B559" s="1" t="s">
        <v>32</v>
      </c>
      <c r="C559" s="1">
        <v>0.0</v>
      </c>
      <c r="D559" s="1" t="s">
        <v>26</v>
      </c>
      <c r="E559" s="1" t="s">
        <v>26</v>
      </c>
      <c r="F559" s="1">
        <v>38.0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1">
        <v>70.6</v>
      </c>
      <c r="T559" s="1">
        <v>2708.2</v>
      </c>
      <c r="U559" s="1">
        <v>0.0</v>
      </c>
      <c r="V559" s="1">
        <v>0.0</v>
      </c>
      <c r="W559" s="1" t="s">
        <v>26</v>
      </c>
    </row>
    <row r="560" ht="15.75" customHeight="1">
      <c r="A560" s="1" t="s">
        <v>597</v>
      </c>
      <c r="B560" s="1" t="s">
        <v>32</v>
      </c>
      <c r="C560" s="1">
        <v>0.0</v>
      </c>
      <c r="D560" s="1" t="s">
        <v>26</v>
      </c>
      <c r="E560" s="1" t="s">
        <v>26</v>
      </c>
      <c r="F560" s="1">
        <v>11.0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1">
        <v>70.2</v>
      </c>
      <c r="T560" s="1">
        <v>760.05</v>
      </c>
      <c r="U560" s="1">
        <v>1.0</v>
      </c>
      <c r="V560" s="1">
        <v>0.0</v>
      </c>
      <c r="W560" s="1" t="s">
        <v>26</v>
      </c>
    </row>
    <row r="561" ht="15.75" customHeight="1">
      <c r="A561" s="1" t="s">
        <v>598</v>
      </c>
      <c r="B561" s="1" t="s">
        <v>32</v>
      </c>
      <c r="C561" s="1">
        <v>0.0</v>
      </c>
      <c r="D561" s="1" t="s">
        <v>26</v>
      </c>
      <c r="E561" s="1" t="s">
        <v>26</v>
      </c>
      <c r="F561" s="1">
        <v>1.0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1">
        <v>49.3</v>
      </c>
      <c r="T561" s="1">
        <v>49.3</v>
      </c>
      <c r="U561" s="1">
        <v>2.0</v>
      </c>
      <c r="V561" s="1">
        <v>0.0</v>
      </c>
      <c r="W561" s="1" t="s">
        <v>26</v>
      </c>
    </row>
    <row r="562" ht="15.75" customHeight="1">
      <c r="A562" s="1" t="s">
        <v>599</v>
      </c>
      <c r="B562" s="1" t="s">
        <v>32</v>
      </c>
      <c r="C562" s="1">
        <v>0.0</v>
      </c>
      <c r="D562" s="1" t="s">
        <v>25</v>
      </c>
      <c r="E562" s="1" t="s">
        <v>26</v>
      </c>
      <c r="F562" s="1">
        <v>56.0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1">
        <v>107.25</v>
      </c>
      <c r="T562" s="1">
        <v>6033.3</v>
      </c>
      <c r="U562" s="1">
        <v>0.0</v>
      </c>
      <c r="V562" s="1">
        <v>0.0</v>
      </c>
      <c r="W562" s="1" t="s">
        <v>26</v>
      </c>
    </row>
    <row r="563" ht="15.75" customHeight="1">
      <c r="A563" s="1" t="s">
        <v>600</v>
      </c>
      <c r="B563" s="1" t="s">
        <v>32</v>
      </c>
      <c r="C563" s="1">
        <v>0.0</v>
      </c>
      <c r="D563" s="1" t="s">
        <v>25</v>
      </c>
      <c r="E563" s="1" t="s">
        <v>26</v>
      </c>
      <c r="F563" s="1">
        <v>3.0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1">
        <v>23.6</v>
      </c>
      <c r="T563" s="1">
        <v>89.05</v>
      </c>
      <c r="U563" s="1">
        <v>0.0</v>
      </c>
      <c r="V563" s="1">
        <v>0.0</v>
      </c>
      <c r="W563" s="1" t="s">
        <v>26</v>
      </c>
    </row>
    <row r="564" ht="15.75" customHeight="1">
      <c r="A564" s="1" t="s">
        <v>601</v>
      </c>
      <c r="B564" s="1" t="s">
        <v>32</v>
      </c>
      <c r="C564" s="1">
        <v>0.0</v>
      </c>
      <c r="D564" s="1" t="s">
        <v>25</v>
      </c>
      <c r="E564" s="1" t="s">
        <v>25</v>
      </c>
      <c r="F564" s="1">
        <v>7.0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1">
        <v>69.7</v>
      </c>
      <c r="T564" s="1">
        <v>516.15</v>
      </c>
      <c r="U564" s="1">
        <v>0.0</v>
      </c>
      <c r="V564" s="1">
        <v>0.0</v>
      </c>
      <c r="W564" s="1" t="s">
        <v>26</v>
      </c>
    </row>
    <row r="565" ht="15.75" customHeight="1">
      <c r="A565" s="1" t="s">
        <v>602</v>
      </c>
      <c r="B565" s="1" t="s">
        <v>32</v>
      </c>
      <c r="C565" s="1">
        <v>0.0</v>
      </c>
      <c r="D565" s="1" t="s">
        <v>25</v>
      </c>
      <c r="E565" s="1" t="s">
        <v>25</v>
      </c>
      <c r="F565" s="1">
        <v>59.0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1">
        <v>99.5</v>
      </c>
      <c r="T565" s="1">
        <v>5861.75</v>
      </c>
      <c r="U565" s="1">
        <v>0.0</v>
      </c>
      <c r="V565" s="1">
        <v>0.0</v>
      </c>
      <c r="W565" s="1" t="s">
        <v>26</v>
      </c>
    </row>
    <row r="566" ht="15.75" customHeight="1">
      <c r="A566" s="1" t="s">
        <v>603</v>
      </c>
      <c r="B566" s="1" t="s">
        <v>32</v>
      </c>
      <c r="C566" s="1">
        <v>0.0</v>
      </c>
      <c r="D566" s="1" t="s">
        <v>26</v>
      </c>
      <c r="E566" s="1" t="s">
        <v>26</v>
      </c>
      <c r="F566" s="1">
        <v>7.0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1">
        <v>64.3</v>
      </c>
      <c r="T566" s="1">
        <v>445.95</v>
      </c>
      <c r="U566" s="1">
        <v>0.0</v>
      </c>
      <c r="V566" s="1">
        <v>0.0</v>
      </c>
      <c r="W566" s="1" t="s">
        <v>26</v>
      </c>
    </row>
    <row r="567" ht="15.75" customHeight="1">
      <c r="A567" s="1" t="s">
        <v>604</v>
      </c>
      <c r="B567" s="1" t="s">
        <v>32</v>
      </c>
      <c r="C567" s="1">
        <v>0.0</v>
      </c>
      <c r="D567" s="1" t="s">
        <v>25</v>
      </c>
      <c r="E567" s="1" t="s">
        <v>25</v>
      </c>
      <c r="F567" s="1">
        <v>71.0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1">
        <v>70.85</v>
      </c>
      <c r="T567" s="1">
        <v>4973.4</v>
      </c>
      <c r="U567" s="1">
        <v>0.0</v>
      </c>
      <c r="V567" s="1">
        <v>0.0</v>
      </c>
      <c r="W567" s="1" t="s">
        <v>26</v>
      </c>
    </row>
    <row r="568" ht="15.75" customHeight="1">
      <c r="A568" s="1" t="s">
        <v>605</v>
      </c>
      <c r="B568" s="1" t="s">
        <v>32</v>
      </c>
      <c r="C568" s="1">
        <v>0.0</v>
      </c>
      <c r="D568" s="1" t="s">
        <v>25</v>
      </c>
      <c r="E568" s="1" t="s">
        <v>25</v>
      </c>
      <c r="F568" s="1">
        <v>15.0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1">
        <v>101.9</v>
      </c>
      <c r="T568" s="1">
        <v>1667.25</v>
      </c>
      <c r="U568" s="1">
        <v>0.0</v>
      </c>
      <c r="V568" s="1">
        <v>0.0</v>
      </c>
      <c r="W568" s="1" t="s">
        <v>26</v>
      </c>
    </row>
    <row r="569" ht="15.75" customHeight="1">
      <c r="A569" s="1" t="s">
        <v>606</v>
      </c>
      <c r="B569" s="1" t="s">
        <v>32</v>
      </c>
      <c r="C569" s="1">
        <v>0.0</v>
      </c>
      <c r="D569" s="1" t="s">
        <v>25</v>
      </c>
      <c r="E569" s="1" t="s">
        <v>26</v>
      </c>
      <c r="F569" s="1">
        <v>71.0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1">
        <v>73.5</v>
      </c>
      <c r="T569" s="1">
        <v>5357.75</v>
      </c>
      <c r="U569" s="1">
        <v>0.0</v>
      </c>
      <c r="V569" s="1">
        <v>0.0</v>
      </c>
      <c r="W569" s="1" t="s">
        <v>26</v>
      </c>
    </row>
    <row r="570" ht="15.75" customHeight="1">
      <c r="A570" s="1" t="s">
        <v>607</v>
      </c>
      <c r="B570" s="1" t="s">
        <v>24</v>
      </c>
      <c r="C570" s="1">
        <v>0.0</v>
      </c>
      <c r="D570" s="1" t="s">
        <v>26</v>
      </c>
      <c r="E570" s="1" t="s">
        <v>26</v>
      </c>
      <c r="F570" s="1">
        <v>35.0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1">
        <v>100.25</v>
      </c>
      <c r="T570" s="1">
        <v>3527.6</v>
      </c>
      <c r="U570" s="1">
        <v>0.0</v>
      </c>
      <c r="V570" s="1">
        <v>4.0</v>
      </c>
      <c r="W570" s="1" t="s">
        <v>25</v>
      </c>
    </row>
    <row r="571" ht="15.75" customHeight="1">
      <c r="A571" s="1" t="s">
        <v>608</v>
      </c>
      <c r="B571" s="1" t="s">
        <v>24</v>
      </c>
      <c r="C571" s="1">
        <v>0.0</v>
      </c>
      <c r="D571" s="1" t="s">
        <v>26</v>
      </c>
      <c r="E571" s="1" t="s">
        <v>26</v>
      </c>
      <c r="F571" s="1">
        <v>11.0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1">
        <v>40.4</v>
      </c>
      <c r="T571" s="1">
        <v>422.6</v>
      </c>
      <c r="U571" s="1">
        <v>0.0</v>
      </c>
      <c r="V571" s="1">
        <v>0.0</v>
      </c>
      <c r="W571" s="1" t="s">
        <v>26</v>
      </c>
    </row>
    <row r="572" ht="15.75" customHeight="1">
      <c r="A572" s="1" t="s">
        <v>609</v>
      </c>
      <c r="B572" s="1" t="s">
        <v>24</v>
      </c>
      <c r="C572" s="1">
        <v>0.0</v>
      </c>
      <c r="D572" s="1" t="s">
        <v>25</v>
      </c>
      <c r="E572" s="1" t="s">
        <v>25</v>
      </c>
      <c r="F572" s="1">
        <v>60.0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1">
        <v>19.25</v>
      </c>
      <c r="T572" s="1">
        <v>1103.25</v>
      </c>
      <c r="U572" s="1">
        <v>0.0</v>
      </c>
      <c r="V572" s="1">
        <v>0.0</v>
      </c>
      <c r="W572" s="1" t="s">
        <v>26</v>
      </c>
    </row>
    <row r="573" ht="15.75" customHeight="1">
      <c r="A573" s="1" t="s">
        <v>610</v>
      </c>
      <c r="B573" s="1" t="s">
        <v>32</v>
      </c>
      <c r="C573" s="1">
        <v>1.0</v>
      </c>
      <c r="D573" s="1" t="s">
        <v>26</v>
      </c>
      <c r="E573" s="1" t="s">
        <v>26</v>
      </c>
      <c r="F573" s="1">
        <v>47.0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1">
        <v>59.6</v>
      </c>
      <c r="T573" s="1">
        <v>2754.0</v>
      </c>
      <c r="U573" s="1">
        <v>0.0</v>
      </c>
      <c r="V573" s="1">
        <v>0.0</v>
      </c>
      <c r="W573" s="1" t="s">
        <v>26</v>
      </c>
    </row>
    <row r="574" ht="15.75" customHeight="1">
      <c r="A574" s="1" t="s">
        <v>611</v>
      </c>
      <c r="B574" s="1" t="s">
        <v>24</v>
      </c>
      <c r="C574" s="1">
        <v>0.0</v>
      </c>
      <c r="D574" s="1" t="s">
        <v>26</v>
      </c>
      <c r="E574" s="1" t="s">
        <v>26</v>
      </c>
      <c r="F574" s="1">
        <v>11.0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1">
        <v>64.9</v>
      </c>
      <c r="T574" s="1">
        <v>697.25</v>
      </c>
      <c r="U574" s="1">
        <v>0.0</v>
      </c>
      <c r="V574" s="1">
        <v>0.0</v>
      </c>
      <c r="W574" s="1" t="s">
        <v>26</v>
      </c>
    </row>
    <row r="575" ht="15.75" customHeight="1">
      <c r="A575" s="1" t="s">
        <v>612</v>
      </c>
      <c r="B575" s="1" t="s">
        <v>32</v>
      </c>
      <c r="C575" s="1">
        <v>0.0</v>
      </c>
      <c r="D575" s="1" t="s">
        <v>25</v>
      </c>
      <c r="E575" s="1" t="s">
        <v>26</v>
      </c>
      <c r="F575" s="1">
        <v>56.0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1">
        <v>100.3</v>
      </c>
      <c r="T575" s="1">
        <v>5614.45</v>
      </c>
      <c r="U575" s="1">
        <v>0.0</v>
      </c>
      <c r="V575" s="1">
        <v>5.0</v>
      </c>
      <c r="W575" s="1" t="s">
        <v>25</v>
      </c>
    </row>
    <row r="576" ht="15.75" customHeight="1">
      <c r="A576" s="1" t="s">
        <v>613</v>
      </c>
      <c r="B576" s="1" t="s">
        <v>24</v>
      </c>
      <c r="C576" s="1">
        <v>1.0</v>
      </c>
      <c r="D576" s="1" t="s">
        <v>25</v>
      </c>
      <c r="E576" s="1" t="s">
        <v>26</v>
      </c>
      <c r="F576" s="1">
        <v>28.0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1">
        <v>110.85</v>
      </c>
      <c r="T576" s="1">
        <v>3204.4</v>
      </c>
      <c r="U576" s="1">
        <v>0.0</v>
      </c>
      <c r="V576" s="1">
        <v>0.0</v>
      </c>
      <c r="W576" s="1" t="s">
        <v>26</v>
      </c>
    </row>
    <row r="577" ht="15.75" customHeight="1">
      <c r="A577" s="1" t="s">
        <v>614</v>
      </c>
      <c r="B577" s="1" t="s">
        <v>32</v>
      </c>
      <c r="C577" s="1">
        <v>0.0</v>
      </c>
      <c r="D577" s="1" t="s">
        <v>25</v>
      </c>
      <c r="E577" s="1" t="s">
        <v>26</v>
      </c>
      <c r="F577" s="1">
        <v>61.0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1">
        <v>81.05</v>
      </c>
      <c r="T577" s="1">
        <v>4747.65</v>
      </c>
      <c r="U577" s="1">
        <v>4.0</v>
      </c>
      <c r="V577" s="1">
        <v>0.0</v>
      </c>
      <c r="W577" s="1" t="s">
        <v>26</v>
      </c>
    </row>
    <row r="578" ht="15.75" customHeight="1">
      <c r="A578" s="1" t="s">
        <v>615</v>
      </c>
      <c r="B578" s="1" t="s">
        <v>32</v>
      </c>
      <c r="C578" s="1">
        <v>0.0</v>
      </c>
      <c r="D578" s="1" t="s">
        <v>25</v>
      </c>
      <c r="E578" s="1" t="s">
        <v>25</v>
      </c>
      <c r="F578" s="1">
        <v>31.0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1">
        <v>98.05</v>
      </c>
      <c r="T578" s="1">
        <v>3082.1</v>
      </c>
      <c r="U578" s="1">
        <v>0.0</v>
      </c>
      <c r="V578" s="1">
        <v>0.0</v>
      </c>
      <c r="W578" s="1" t="s">
        <v>26</v>
      </c>
    </row>
    <row r="579" ht="15.75" customHeight="1">
      <c r="A579" s="1" t="s">
        <v>616</v>
      </c>
      <c r="B579" s="1" t="s">
        <v>32</v>
      </c>
      <c r="C579" s="1">
        <v>0.0</v>
      </c>
      <c r="D579" s="1" t="s">
        <v>26</v>
      </c>
      <c r="E579" s="1" t="s">
        <v>26</v>
      </c>
      <c r="F579" s="1">
        <v>9.0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1">
        <v>70.5</v>
      </c>
      <c r="T579" s="1">
        <v>597.9</v>
      </c>
      <c r="U579" s="1">
        <v>0.0</v>
      </c>
      <c r="V579" s="1">
        <v>0.0</v>
      </c>
      <c r="W579" s="1" t="s">
        <v>26</v>
      </c>
    </row>
    <row r="580" ht="15.75" customHeight="1">
      <c r="A580" s="1" t="s">
        <v>617</v>
      </c>
      <c r="B580" s="1" t="s">
        <v>32</v>
      </c>
      <c r="C580" s="1">
        <v>1.0</v>
      </c>
      <c r="D580" s="1" t="s">
        <v>25</v>
      </c>
      <c r="E580" s="1" t="s">
        <v>26</v>
      </c>
      <c r="F580" s="1">
        <v>35.0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1">
        <v>94.55</v>
      </c>
      <c r="T580" s="1">
        <v>3365.4</v>
      </c>
      <c r="U580" s="1">
        <v>5.0</v>
      </c>
      <c r="V580" s="1">
        <v>0.0</v>
      </c>
      <c r="W580" s="1" t="s">
        <v>26</v>
      </c>
    </row>
    <row r="581" ht="15.75" customHeight="1">
      <c r="A581" s="1" t="s">
        <v>618</v>
      </c>
      <c r="B581" s="1" t="s">
        <v>32</v>
      </c>
      <c r="C581" s="1">
        <v>0.0</v>
      </c>
      <c r="D581" s="1" t="s">
        <v>26</v>
      </c>
      <c r="E581" s="1" t="s">
        <v>26</v>
      </c>
      <c r="F581" s="1">
        <v>2.0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1">
        <v>19.65</v>
      </c>
      <c r="T581" s="1">
        <v>38.8</v>
      </c>
      <c r="U581" s="1">
        <v>0.0</v>
      </c>
      <c r="V581" s="1">
        <v>0.0</v>
      </c>
      <c r="W581" s="1" t="s">
        <v>26</v>
      </c>
    </row>
    <row r="582" ht="15.75" customHeight="1">
      <c r="A582" s="1" t="s">
        <v>619</v>
      </c>
      <c r="B582" s="1" t="s">
        <v>24</v>
      </c>
      <c r="C582" s="1">
        <v>0.0</v>
      </c>
      <c r="D582" s="1" t="s">
        <v>25</v>
      </c>
      <c r="E582" s="1" t="s">
        <v>25</v>
      </c>
      <c r="F582" s="1">
        <v>12.0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1">
        <v>19.0</v>
      </c>
      <c r="T582" s="1">
        <v>233.55</v>
      </c>
      <c r="U582" s="1">
        <v>0.0</v>
      </c>
      <c r="V582" s="1">
        <v>0.0</v>
      </c>
      <c r="W582" s="1" t="s">
        <v>25</v>
      </c>
    </row>
    <row r="583" ht="15.75" customHeight="1">
      <c r="A583" s="1" t="s">
        <v>620</v>
      </c>
      <c r="B583" s="1" t="s">
        <v>24</v>
      </c>
      <c r="C583" s="1">
        <v>0.0</v>
      </c>
      <c r="D583" s="1" t="s">
        <v>26</v>
      </c>
      <c r="E583" s="1" t="s">
        <v>26</v>
      </c>
      <c r="F583" s="1">
        <v>1.0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1">
        <v>75.3</v>
      </c>
      <c r="T583" s="1">
        <v>75.3</v>
      </c>
      <c r="U583" s="1">
        <v>0.0</v>
      </c>
      <c r="V583" s="1">
        <v>0.0</v>
      </c>
      <c r="W583" s="1" t="s">
        <v>25</v>
      </c>
    </row>
    <row r="584" ht="15.75" customHeight="1">
      <c r="A584" s="1" t="s">
        <v>621</v>
      </c>
      <c r="B584" s="1" t="s">
        <v>24</v>
      </c>
      <c r="C584" s="1">
        <v>1.0</v>
      </c>
      <c r="D584" s="1" t="s">
        <v>26</v>
      </c>
      <c r="E584" s="1" t="s">
        <v>26</v>
      </c>
      <c r="F584" s="1">
        <v>4.0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1">
        <v>89.2</v>
      </c>
      <c r="T584" s="1">
        <v>346.2</v>
      </c>
      <c r="U584" s="1">
        <v>0.0</v>
      </c>
      <c r="V584" s="1">
        <v>0.0</v>
      </c>
      <c r="W584" s="1" t="s">
        <v>25</v>
      </c>
    </row>
    <row r="585" ht="15.75" customHeight="1">
      <c r="A585" s="1" t="s">
        <v>622</v>
      </c>
      <c r="B585" s="1" t="s">
        <v>24</v>
      </c>
      <c r="C585" s="1">
        <v>0.0</v>
      </c>
      <c r="D585" s="1" t="s">
        <v>25</v>
      </c>
      <c r="E585" s="1" t="s">
        <v>25</v>
      </c>
      <c r="F585" s="1">
        <v>1.0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1">
        <v>19.0</v>
      </c>
      <c r="T585" s="1">
        <v>19.0</v>
      </c>
      <c r="U585" s="1">
        <v>0.0</v>
      </c>
      <c r="V585" s="1">
        <v>0.0</v>
      </c>
      <c r="W585" s="1" t="s">
        <v>26</v>
      </c>
    </row>
    <row r="586" ht="15.75" customHeight="1">
      <c r="A586" s="1" t="s">
        <v>623</v>
      </c>
      <c r="B586" s="1" t="s">
        <v>24</v>
      </c>
      <c r="C586" s="1">
        <v>0.0</v>
      </c>
      <c r="D586" s="1" t="s">
        <v>26</v>
      </c>
      <c r="E586" s="1" t="s">
        <v>26</v>
      </c>
      <c r="F586" s="1">
        <v>3.0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1">
        <v>20.0</v>
      </c>
      <c r="T586" s="1">
        <v>61.7</v>
      </c>
      <c r="U586" s="1">
        <v>0.0</v>
      </c>
      <c r="V586" s="1">
        <v>0.0</v>
      </c>
      <c r="W586" s="1" t="s">
        <v>26</v>
      </c>
    </row>
    <row r="587" ht="15.75" customHeight="1">
      <c r="A587" s="1" t="s">
        <v>624</v>
      </c>
      <c r="B587" s="1" t="s">
        <v>24</v>
      </c>
      <c r="C587" s="1">
        <v>1.0</v>
      </c>
      <c r="D587" s="1" t="s">
        <v>26</v>
      </c>
      <c r="E587" s="1" t="s">
        <v>26</v>
      </c>
      <c r="F587" s="1">
        <v>1.0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1">
        <v>85.7</v>
      </c>
      <c r="T587" s="1">
        <v>85.7</v>
      </c>
      <c r="U587" s="1">
        <v>0.0</v>
      </c>
      <c r="V587" s="1">
        <v>0.0</v>
      </c>
      <c r="W587" s="1" t="s">
        <v>25</v>
      </c>
    </row>
    <row r="588" ht="15.75" customHeight="1">
      <c r="A588" s="1" t="s">
        <v>625</v>
      </c>
      <c r="B588" s="1" t="s">
        <v>32</v>
      </c>
      <c r="C588" s="1">
        <v>0.0</v>
      </c>
      <c r="D588" s="1" t="s">
        <v>26</v>
      </c>
      <c r="E588" s="1" t="s">
        <v>26</v>
      </c>
      <c r="F588" s="1">
        <v>52.0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1">
        <v>63.25</v>
      </c>
      <c r="T588" s="1">
        <v>3342.45</v>
      </c>
      <c r="U588" s="1">
        <v>0.0</v>
      </c>
      <c r="V588" s="1">
        <v>0.0</v>
      </c>
      <c r="W588" s="1" t="s">
        <v>26</v>
      </c>
    </row>
    <row r="589" ht="15.75" customHeight="1">
      <c r="A589" s="1" t="s">
        <v>626</v>
      </c>
      <c r="B589" s="1" t="s">
        <v>32</v>
      </c>
      <c r="C589" s="1">
        <v>0.0</v>
      </c>
      <c r="D589" s="1" t="s">
        <v>25</v>
      </c>
      <c r="E589" s="1" t="s">
        <v>25</v>
      </c>
      <c r="F589" s="1">
        <v>5.0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1">
        <v>20.1</v>
      </c>
      <c r="T589" s="1">
        <v>85.1</v>
      </c>
      <c r="U589" s="1">
        <v>0.0</v>
      </c>
      <c r="V589" s="1">
        <v>0.0</v>
      </c>
      <c r="W589" s="1" t="s">
        <v>26</v>
      </c>
    </row>
    <row r="590" ht="15.75" customHeight="1">
      <c r="A590" s="1" t="s">
        <v>627</v>
      </c>
      <c r="B590" s="1" t="s">
        <v>32</v>
      </c>
      <c r="C590" s="1">
        <v>0.0</v>
      </c>
      <c r="D590" s="1" t="s">
        <v>25</v>
      </c>
      <c r="E590" s="1" t="s">
        <v>26</v>
      </c>
      <c r="F590" s="1">
        <v>72.0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1">
        <v>99.15</v>
      </c>
      <c r="T590" s="1">
        <v>7422.1</v>
      </c>
      <c r="U590" s="1">
        <v>0.0</v>
      </c>
      <c r="V590" s="1">
        <v>0.0</v>
      </c>
      <c r="W590" s="1" t="s">
        <v>26</v>
      </c>
    </row>
    <row r="591" ht="15.75" customHeight="1">
      <c r="A591" s="1" t="s">
        <v>628</v>
      </c>
      <c r="B591" s="1" t="s">
        <v>32</v>
      </c>
      <c r="C591" s="1">
        <v>0.0</v>
      </c>
      <c r="D591" s="1" t="s">
        <v>25</v>
      </c>
      <c r="E591" s="1" t="s">
        <v>25</v>
      </c>
      <c r="F591" s="1">
        <v>71.0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1">
        <v>90.4</v>
      </c>
      <c r="T591" s="1">
        <v>6668.05</v>
      </c>
      <c r="U591" s="1">
        <v>0.0</v>
      </c>
      <c r="V591" s="1">
        <v>0.0</v>
      </c>
      <c r="W591" s="1" t="s">
        <v>26</v>
      </c>
    </row>
    <row r="592" ht="15.75" customHeight="1">
      <c r="A592" s="1" t="s">
        <v>629</v>
      </c>
      <c r="B592" s="1" t="s">
        <v>32</v>
      </c>
      <c r="C592" s="1">
        <v>0.0</v>
      </c>
      <c r="D592" s="1" t="s">
        <v>25</v>
      </c>
      <c r="E592" s="1" t="s">
        <v>26</v>
      </c>
      <c r="F592" s="1">
        <v>72.0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1">
        <v>111.9</v>
      </c>
      <c r="T592" s="1">
        <v>8071.05</v>
      </c>
      <c r="U592" s="1">
        <v>0.0</v>
      </c>
      <c r="V592" s="1">
        <v>0.0</v>
      </c>
      <c r="W592" s="1" t="s">
        <v>26</v>
      </c>
    </row>
    <row r="593" ht="15.75" customHeight="1">
      <c r="A593" s="1" t="s">
        <v>630</v>
      </c>
      <c r="B593" s="1" t="s">
        <v>32</v>
      </c>
      <c r="C593" s="1">
        <v>0.0</v>
      </c>
      <c r="D593" s="1" t="s">
        <v>25</v>
      </c>
      <c r="E593" s="1" t="s">
        <v>25</v>
      </c>
      <c r="F593" s="1">
        <v>46.0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1">
        <v>24.9</v>
      </c>
      <c r="T593" s="1">
        <v>1174.8</v>
      </c>
      <c r="U593" s="1">
        <v>3.0</v>
      </c>
      <c r="V593" s="1">
        <v>0.0</v>
      </c>
      <c r="W593" s="1" t="s">
        <v>26</v>
      </c>
    </row>
    <row r="594" ht="15.75" customHeight="1">
      <c r="A594" s="1" t="s">
        <v>631</v>
      </c>
      <c r="B594" s="1" t="s">
        <v>32</v>
      </c>
      <c r="C594" s="1">
        <v>0.0</v>
      </c>
      <c r="D594" s="1" t="s">
        <v>25</v>
      </c>
      <c r="E594" s="1" t="s">
        <v>25</v>
      </c>
      <c r="F594" s="1">
        <v>63.0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1">
        <v>83.5</v>
      </c>
      <c r="T594" s="1">
        <v>5435.0</v>
      </c>
      <c r="U594" s="1">
        <v>0.0</v>
      </c>
      <c r="V594" s="1">
        <v>2.0</v>
      </c>
      <c r="W594" s="1" t="s">
        <v>26</v>
      </c>
    </row>
    <row r="595" ht="15.75" customHeight="1">
      <c r="A595" s="1" t="s">
        <v>632</v>
      </c>
      <c r="B595" s="1" t="s">
        <v>32</v>
      </c>
      <c r="C595" s="1">
        <v>0.0</v>
      </c>
      <c r="D595" s="1" t="s">
        <v>26</v>
      </c>
      <c r="E595" s="1" t="s">
        <v>26</v>
      </c>
      <c r="F595" s="1">
        <v>30.0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1">
        <v>84.3</v>
      </c>
      <c r="T595" s="1">
        <v>2438.6</v>
      </c>
      <c r="U595" s="1">
        <v>0.0</v>
      </c>
      <c r="V595" s="1">
        <v>0.0</v>
      </c>
      <c r="W595" s="1" t="s">
        <v>26</v>
      </c>
    </row>
    <row r="596" ht="15.75" customHeight="1">
      <c r="A596" s="1" t="s">
        <v>633</v>
      </c>
      <c r="B596" s="1" t="s">
        <v>32</v>
      </c>
      <c r="C596" s="1">
        <v>0.0</v>
      </c>
      <c r="D596" s="1" t="s">
        <v>26</v>
      </c>
      <c r="E596" s="1" t="s">
        <v>26</v>
      </c>
      <c r="F596" s="1">
        <v>1.0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1">
        <v>45.6</v>
      </c>
      <c r="T596" s="1">
        <v>45.6</v>
      </c>
      <c r="U596" s="1">
        <v>0.0</v>
      </c>
      <c r="V596" s="1">
        <v>0.0</v>
      </c>
      <c r="W596" s="1" t="s">
        <v>26</v>
      </c>
    </row>
    <row r="597" ht="15.75" customHeight="1">
      <c r="A597" s="1" t="s">
        <v>634</v>
      </c>
      <c r="B597" s="1" t="s">
        <v>24</v>
      </c>
      <c r="C597" s="1">
        <v>0.0</v>
      </c>
      <c r="D597" s="1" t="s">
        <v>26</v>
      </c>
      <c r="E597" s="1" t="s">
        <v>26</v>
      </c>
      <c r="F597" s="1">
        <v>12.0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1">
        <v>61.65</v>
      </c>
      <c r="T597" s="1">
        <v>713.75</v>
      </c>
      <c r="U597" s="1">
        <v>0.0</v>
      </c>
      <c r="V597" s="1">
        <v>1.0</v>
      </c>
      <c r="W597" s="1" t="s">
        <v>25</v>
      </c>
    </row>
    <row r="598" ht="15.75" customHeight="1">
      <c r="A598" s="1" t="s">
        <v>635</v>
      </c>
      <c r="B598" s="1" t="s">
        <v>32</v>
      </c>
      <c r="C598" s="1">
        <v>0.0</v>
      </c>
      <c r="D598" s="1" t="s">
        <v>26</v>
      </c>
      <c r="E598" s="1" t="s">
        <v>26</v>
      </c>
      <c r="F598" s="1">
        <v>16.0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1">
        <v>54.85</v>
      </c>
      <c r="T598" s="1">
        <v>916.15</v>
      </c>
      <c r="U598" s="1">
        <v>0.0</v>
      </c>
      <c r="V598" s="1">
        <v>0.0</v>
      </c>
      <c r="W598" s="1" t="s">
        <v>26</v>
      </c>
    </row>
    <row r="599" ht="15.75" customHeight="1">
      <c r="A599" s="1" t="s">
        <v>636</v>
      </c>
      <c r="B599" s="1" t="s">
        <v>32</v>
      </c>
      <c r="C599" s="1">
        <v>0.0</v>
      </c>
      <c r="D599" s="1" t="s">
        <v>26</v>
      </c>
      <c r="E599" s="1" t="s">
        <v>26</v>
      </c>
      <c r="F599" s="1">
        <v>4.0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1">
        <v>65.55</v>
      </c>
      <c r="T599" s="1">
        <v>237.2</v>
      </c>
      <c r="U599" s="1">
        <v>0.0</v>
      </c>
      <c r="V599" s="1">
        <v>0.0</v>
      </c>
      <c r="W599" s="1" t="s">
        <v>26</v>
      </c>
    </row>
    <row r="600" ht="15.75" customHeight="1">
      <c r="A600" s="1" t="s">
        <v>637</v>
      </c>
      <c r="B600" s="1" t="s">
        <v>32</v>
      </c>
      <c r="C600" s="1">
        <v>0.0</v>
      </c>
      <c r="D600" s="1" t="s">
        <v>25</v>
      </c>
      <c r="E600" s="1" t="s">
        <v>26</v>
      </c>
      <c r="F600" s="1">
        <v>51.0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1">
        <v>90.35</v>
      </c>
      <c r="T600" s="1">
        <v>4614.55</v>
      </c>
      <c r="U600" s="1">
        <v>0.0</v>
      </c>
      <c r="V600" s="1">
        <v>0.0</v>
      </c>
      <c r="W600" s="1" t="s">
        <v>26</v>
      </c>
    </row>
    <row r="601" ht="15.75" customHeight="1">
      <c r="A601" s="1" t="s">
        <v>638</v>
      </c>
      <c r="B601" s="1" t="s">
        <v>32</v>
      </c>
      <c r="C601" s="1">
        <v>0.0</v>
      </c>
      <c r="D601" s="1" t="s">
        <v>25</v>
      </c>
      <c r="E601" s="1" t="s">
        <v>26</v>
      </c>
      <c r="F601" s="1">
        <v>65.0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1">
        <v>20.4</v>
      </c>
      <c r="T601" s="1">
        <v>1414.45</v>
      </c>
      <c r="U601" s="1">
        <v>0.0</v>
      </c>
      <c r="V601" s="1">
        <v>0.0</v>
      </c>
      <c r="W601" s="1" t="s">
        <v>26</v>
      </c>
    </row>
    <row r="602" ht="15.75" customHeight="1">
      <c r="A602" s="1" t="s">
        <v>639</v>
      </c>
      <c r="B602" s="1" t="s">
        <v>32</v>
      </c>
      <c r="C602" s="1">
        <v>0.0</v>
      </c>
      <c r="D602" s="1" t="s">
        <v>26</v>
      </c>
      <c r="E602" s="1" t="s">
        <v>26</v>
      </c>
      <c r="F602" s="1">
        <v>16.0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1">
        <v>74.55</v>
      </c>
      <c r="T602" s="1">
        <v>1170.5</v>
      </c>
      <c r="U602" s="1">
        <v>0.0</v>
      </c>
      <c r="V602" s="1">
        <v>0.0</v>
      </c>
      <c r="W602" s="1" t="s">
        <v>26</v>
      </c>
    </row>
    <row r="603" ht="15.75" customHeight="1">
      <c r="A603" s="1" t="s">
        <v>640</v>
      </c>
      <c r="B603" s="1" t="s">
        <v>32</v>
      </c>
      <c r="C603" s="1">
        <v>0.0</v>
      </c>
      <c r="D603" s="1" t="s">
        <v>26</v>
      </c>
      <c r="E603" s="1" t="s">
        <v>26</v>
      </c>
      <c r="F603" s="1">
        <v>2.0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1">
        <v>19.95</v>
      </c>
      <c r="T603" s="1">
        <v>47.7</v>
      </c>
      <c r="U603" s="1">
        <v>0.0</v>
      </c>
      <c r="V603" s="1">
        <v>0.0</v>
      </c>
      <c r="W603" s="1" t="s">
        <v>26</v>
      </c>
    </row>
    <row r="604" ht="15.75" customHeight="1">
      <c r="A604" s="1" t="s">
        <v>641</v>
      </c>
      <c r="B604" s="1" t="s">
        <v>24</v>
      </c>
      <c r="C604" s="1">
        <v>0.0</v>
      </c>
      <c r="D604" s="1" t="s">
        <v>25</v>
      </c>
      <c r="E604" s="1" t="s">
        <v>25</v>
      </c>
      <c r="F604" s="1">
        <v>66.0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1">
        <v>74.25</v>
      </c>
      <c r="T604" s="1">
        <v>4859.25</v>
      </c>
      <c r="U604" s="1">
        <v>0.0</v>
      </c>
      <c r="V604" s="1">
        <v>0.0</v>
      </c>
      <c r="W604" s="1" t="s">
        <v>26</v>
      </c>
    </row>
    <row r="605" ht="15.75" customHeight="1">
      <c r="A605" s="1" t="s">
        <v>642</v>
      </c>
      <c r="B605" s="1" t="s">
        <v>32</v>
      </c>
      <c r="C605" s="1">
        <v>0.0</v>
      </c>
      <c r="D605" s="1" t="s">
        <v>26</v>
      </c>
      <c r="E605" s="1" t="s">
        <v>26</v>
      </c>
      <c r="F605" s="1">
        <v>46.0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1">
        <v>108.65</v>
      </c>
      <c r="T605" s="1">
        <v>4903.2</v>
      </c>
      <c r="U605" s="1">
        <v>0.0</v>
      </c>
      <c r="V605" s="1">
        <v>0.0</v>
      </c>
      <c r="W605" s="1" t="s">
        <v>26</v>
      </c>
    </row>
    <row r="606" ht="15.75" customHeight="1">
      <c r="A606" s="1" t="s">
        <v>643</v>
      </c>
      <c r="B606" s="1" t="s">
        <v>24</v>
      </c>
      <c r="C606" s="1">
        <v>0.0</v>
      </c>
      <c r="D606" s="1" t="s">
        <v>26</v>
      </c>
      <c r="E606" s="1" t="s">
        <v>26</v>
      </c>
      <c r="F606" s="1">
        <v>32.0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1">
        <v>109.55</v>
      </c>
      <c r="T606" s="1">
        <v>3608.0</v>
      </c>
      <c r="U606" s="1">
        <v>0.0</v>
      </c>
      <c r="V606" s="1">
        <v>0.0</v>
      </c>
      <c r="W606" s="1" t="s">
        <v>26</v>
      </c>
    </row>
    <row r="607" ht="15.75" customHeight="1">
      <c r="A607" s="1" t="s">
        <v>644</v>
      </c>
      <c r="B607" s="1" t="s">
        <v>32</v>
      </c>
      <c r="C607" s="1">
        <v>0.0</v>
      </c>
      <c r="D607" s="1" t="s">
        <v>25</v>
      </c>
      <c r="E607" s="1" t="s">
        <v>26</v>
      </c>
      <c r="F607" s="1">
        <v>72.0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1">
        <v>86.65</v>
      </c>
      <c r="T607" s="1">
        <v>6094.25</v>
      </c>
      <c r="U607" s="1">
        <v>0.0</v>
      </c>
      <c r="V607" s="1">
        <v>0.0</v>
      </c>
      <c r="W607" s="1" t="s">
        <v>26</v>
      </c>
    </row>
    <row r="608" ht="15.75" customHeight="1">
      <c r="A608" s="1" t="s">
        <v>645</v>
      </c>
      <c r="B608" s="1" t="s">
        <v>32</v>
      </c>
      <c r="C608" s="1">
        <v>0.0</v>
      </c>
      <c r="D608" s="1" t="s">
        <v>25</v>
      </c>
      <c r="E608" s="1" t="s">
        <v>25</v>
      </c>
      <c r="F608" s="1">
        <v>38.0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1">
        <v>81.0</v>
      </c>
      <c r="T608" s="1">
        <v>3084.9</v>
      </c>
      <c r="U608" s="1">
        <v>0.0</v>
      </c>
      <c r="V608" s="1">
        <v>0.0</v>
      </c>
      <c r="W608" s="1" t="s">
        <v>26</v>
      </c>
    </row>
    <row r="609" ht="15.75" customHeight="1">
      <c r="A609" s="1" t="s">
        <v>646</v>
      </c>
      <c r="B609" s="1" t="s">
        <v>32</v>
      </c>
      <c r="C609" s="1">
        <v>0.0</v>
      </c>
      <c r="D609" s="1" t="s">
        <v>26</v>
      </c>
      <c r="E609" s="1" t="s">
        <v>25</v>
      </c>
      <c r="F609" s="1">
        <v>51.0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1">
        <v>47.85</v>
      </c>
      <c r="T609" s="1">
        <v>2356.75</v>
      </c>
      <c r="U609" s="1">
        <v>0.0</v>
      </c>
      <c r="V609" s="1">
        <v>0.0</v>
      </c>
      <c r="W609" s="1" t="s">
        <v>26</v>
      </c>
    </row>
    <row r="610" ht="15.75" customHeight="1">
      <c r="A610" s="1" t="s">
        <v>647</v>
      </c>
      <c r="B610" s="1" t="s">
        <v>32</v>
      </c>
      <c r="C610" s="1">
        <v>0.0</v>
      </c>
      <c r="D610" s="1" t="s">
        <v>25</v>
      </c>
      <c r="E610" s="1" t="s">
        <v>25</v>
      </c>
      <c r="F610" s="1">
        <v>72.0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1">
        <v>114.55</v>
      </c>
      <c r="T610" s="1">
        <v>8306.05</v>
      </c>
      <c r="U610" s="1">
        <v>0.0</v>
      </c>
      <c r="V610" s="1">
        <v>0.0</v>
      </c>
      <c r="W610" s="1" t="s">
        <v>26</v>
      </c>
    </row>
    <row r="611" ht="15.75" customHeight="1">
      <c r="A611" s="1" t="s">
        <v>648</v>
      </c>
      <c r="B611" s="1" t="s">
        <v>24</v>
      </c>
      <c r="C611" s="1">
        <v>1.0</v>
      </c>
      <c r="D611" s="1" t="s">
        <v>25</v>
      </c>
      <c r="E611" s="1" t="s">
        <v>26</v>
      </c>
      <c r="F611" s="1">
        <v>65.0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1">
        <v>105.25</v>
      </c>
      <c r="T611" s="1">
        <v>6786.4</v>
      </c>
      <c r="U611" s="1">
        <v>0.0</v>
      </c>
      <c r="V611" s="1">
        <v>6.0</v>
      </c>
      <c r="W611" s="1" t="s">
        <v>25</v>
      </c>
    </row>
    <row r="612" ht="15.75" customHeight="1">
      <c r="A612" s="1" t="s">
        <v>649</v>
      </c>
      <c r="B612" s="1" t="s">
        <v>32</v>
      </c>
      <c r="C612" s="1">
        <v>0.0</v>
      </c>
      <c r="D612" s="1" t="s">
        <v>25</v>
      </c>
      <c r="E612" s="1" t="s">
        <v>25</v>
      </c>
      <c r="F612" s="1">
        <v>9.0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1">
        <v>29.95</v>
      </c>
      <c r="T612" s="1">
        <v>248.95</v>
      </c>
      <c r="U612" s="1">
        <v>0.0</v>
      </c>
      <c r="V612" s="1">
        <v>0.0</v>
      </c>
      <c r="W612" s="1" t="s">
        <v>25</v>
      </c>
    </row>
    <row r="613" ht="15.75" customHeight="1">
      <c r="A613" s="1" t="s">
        <v>650</v>
      </c>
      <c r="B613" s="1" t="s">
        <v>24</v>
      </c>
      <c r="C613" s="1">
        <v>0.0</v>
      </c>
      <c r="D613" s="1" t="s">
        <v>25</v>
      </c>
      <c r="E613" s="1" t="s">
        <v>25</v>
      </c>
      <c r="F613" s="1">
        <v>9.0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1">
        <v>65.0</v>
      </c>
      <c r="T613" s="1">
        <v>663.05</v>
      </c>
      <c r="U613" s="1">
        <v>2.0</v>
      </c>
      <c r="V613" s="1">
        <v>0.0</v>
      </c>
      <c r="W613" s="1" t="s">
        <v>25</v>
      </c>
    </row>
    <row r="614" ht="15.75" customHeight="1">
      <c r="A614" s="1" t="s">
        <v>651</v>
      </c>
      <c r="B614" s="1" t="s">
        <v>32</v>
      </c>
      <c r="C614" s="1">
        <v>0.0</v>
      </c>
      <c r="D614" s="1" t="s">
        <v>26</v>
      </c>
      <c r="E614" s="1" t="s">
        <v>25</v>
      </c>
      <c r="F614" s="1">
        <v>66.0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1">
        <v>20.55</v>
      </c>
      <c r="T614" s="1">
        <v>1357.1</v>
      </c>
      <c r="U614" s="1">
        <v>1.0</v>
      </c>
      <c r="V614" s="1">
        <v>0.0</v>
      </c>
      <c r="W614" s="1" t="s">
        <v>26</v>
      </c>
    </row>
    <row r="615" ht="15.75" customHeight="1">
      <c r="A615" s="1" t="s">
        <v>652</v>
      </c>
      <c r="B615" s="1" t="s">
        <v>24</v>
      </c>
      <c r="C615" s="1">
        <v>1.0</v>
      </c>
      <c r="D615" s="1" t="s">
        <v>26</v>
      </c>
      <c r="E615" s="1" t="s">
        <v>26</v>
      </c>
      <c r="F615" s="1">
        <v>44.0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1">
        <v>109.8</v>
      </c>
      <c r="T615" s="1">
        <v>4860.35</v>
      </c>
      <c r="U615" s="1">
        <v>4.0</v>
      </c>
      <c r="V615" s="1">
        <v>0.0</v>
      </c>
      <c r="W615" s="1" t="s">
        <v>26</v>
      </c>
    </row>
    <row r="616" ht="15.75" customHeight="1">
      <c r="A616" s="1" t="s">
        <v>653</v>
      </c>
      <c r="B616" s="1" t="s">
        <v>32</v>
      </c>
      <c r="C616" s="1">
        <v>0.0</v>
      </c>
      <c r="D616" s="1" t="s">
        <v>26</v>
      </c>
      <c r="E616" s="1" t="s">
        <v>26</v>
      </c>
      <c r="F616" s="1">
        <v>50.0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1">
        <v>69.5</v>
      </c>
      <c r="T616" s="1">
        <v>3418.2</v>
      </c>
      <c r="U616" s="1">
        <v>0.0</v>
      </c>
      <c r="V616" s="1">
        <v>0.0</v>
      </c>
      <c r="W616" s="1" t="s">
        <v>26</v>
      </c>
    </row>
    <row r="617" ht="15.75" customHeight="1">
      <c r="A617" s="1" t="s">
        <v>654</v>
      </c>
      <c r="B617" s="1" t="s">
        <v>24</v>
      </c>
      <c r="C617" s="1">
        <v>0.0</v>
      </c>
      <c r="D617" s="1" t="s">
        <v>26</v>
      </c>
      <c r="E617" s="1" t="s">
        <v>26</v>
      </c>
      <c r="F617" s="1">
        <v>15.0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1">
        <v>48.85</v>
      </c>
      <c r="T617" s="1">
        <v>631.4</v>
      </c>
      <c r="U617" s="1">
        <v>3.0</v>
      </c>
      <c r="V617" s="1">
        <v>0.0</v>
      </c>
      <c r="W617" s="1" t="s">
        <v>26</v>
      </c>
    </row>
    <row r="618" ht="15.75" customHeight="1">
      <c r="A618" s="1" t="s">
        <v>655</v>
      </c>
      <c r="B618" s="1" t="s">
        <v>32</v>
      </c>
      <c r="C618" s="1">
        <v>0.0</v>
      </c>
      <c r="D618" s="1" t="s">
        <v>26</v>
      </c>
      <c r="E618" s="1" t="s">
        <v>26</v>
      </c>
      <c r="F618" s="1">
        <v>8.0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1">
        <v>25.25</v>
      </c>
      <c r="T618" s="1">
        <v>186.3</v>
      </c>
      <c r="U618" s="1">
        <v>0.0</v>
      </c>
      <c r="V618" s="1">
        <v>0.0</v>
      </c>
      <c r="W618" s="1" t="s">
        <v>26</v>
      </c>
    </row>
    <row r="619" ht="15.75" customHeight="1">
      <c r="A619" s="1" t="s">
        <v>656</v>
      </c>
      <c r="B619" s="1" t="s">
        <v>24</v>
      </c>
      <c r="C619" s="1">
        <v>1.0</v>
      </c>
      <c r="D619" s="1" t="s">
        <v>26</v>
      </c>
      <c r="E619" s="1" t="s">
        <v>26</v>
      </c>
      <c r="F619" s="1">
        <v>66.0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1">
        <v>102.85</v>
      </c>
      <c r="T619" s="1">
        <v>6976.75</v>
      </c>
      <c r="U619" s="1">
        <v>0.0</v>
      </c>
      <c r="V619" s="1">
        <v>0.0</v>
      </c>
      <c r="W619" s="1" t="s">
        <v>26</v>
      </c>
    </row>
    <row r="620" ht="15.75" customHeight="1">
      <c r="A620" s="1" t="s">
        <v>657</v>
      </c>
      <c r="B620" s="1" t="s">
        <v>24</v>
      </c>
      <c r="C620" s="1">
        <v>0.0</v>
      </c>
      <c r="D620" s="1" t="s">
        <v>26</v>
      </c>
      <c r="E620" s="1" t="s">
        <v>26</v>
      </c>
      <c r="F620" s="1">
        <v>57.0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1">
        <v>87.55</v>
      </c>
      <c r="T620" s="1">
        <v>4884.85</v>
      </c>
      <c r="U620" s="1">
        <v>0.0</v>
      </c>
      <c r="V620" s="1">
        <v>0.0</v>
      </c>
      <c r="W620" s="1" t="s">
        <v>26</v>
      </c>
    </row>
    <row r="621" ht="15.75" customHeight="1">
      <c r="A621" s="1" t="s">
        <v>658</v>
      </c>
      <c r="B621" s="1" t="s">
        <v>24</v>
      </c>
      <c r="C621" s="1">
        <v>0.0</v>
      </c>
      <c r="D621" s="1" t="s">
        <v>26</v>
      </c>
      <c r="E621" s="1" t="s">
        <v>26</v>
      </c>
      <c r="F621" s="1">
        <v>7.0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1">
        <v>78.55</v>
      </c>
      <c r="T621" s="1">
        <v>522.95</v>
      </c>
      <c r="U621" s="1">
        <v>0.0</v>
      </c>
      <c r="V621" s="1">
        <v>0.0</v>
      </c>
      <c r="W621" s="1" t="s">
        <v>26</v>
      </c>
    </row>
    <row r="622" ht="15.75" customHeight="1">
      <c r="A622" s="1" t="s">
        <v>659</v>
      </c>
      <c r="B622" s="1" t="s">
        <v>32</v>
      </c>
      <c r="C622" s="1">
        <v>1.0</v>
      </c>
      <c r="D622" s="1" t="s">
        <v>25</v>
      </c>
      <c r="E622" s="1" t="s">
        <v>25</v>
      </c>
      <c r="F622" s="1">
        <v>10.0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1">
        <v>34.55</v>
      </c>
      <c r="T622" s="1">
        <v>362.6</v>
      </c>
      <c r="U622" s="1">
        <v>1.0</v>
      </c>
      <c r="V622" s="1">
        <v>0.0</v>
      </c>
      <c r="W622" s="1" t="s">
        <v>26</v>
      </c>
    </row>
    <row r="623" ht="15.75" customHeight="1">
      <c r="A623" s="1" t="s">
        <v>660</v>
      </c>
      <c r="B623" s="1" t="s">
        <v>24</v>
      </c>
      <c r="C623" s="1">
        <v>0.0</v>
      </c>
      <c r="D623" s="1" t="s">
        <v>26</v>
      </c>
      <c r="E623" s="1" t="s">
        <v>26</v>
      </c>
      <c r="F623" s="1">
        <v>62.0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1">
        <v>92.05</v>
      </c>
      <c r="T623" s="1">
        <v>5755.8</v>
      </c>
      <c r="U623" s="1">
        <v>3.0</v>
      </c>
      <c r="V623" s="1">
        <v>0.0</v>
      </c>
      <c r="W623" s="1" t="s">
        <v>26</v>
      </c>
    </row>
    <row r="624" ht="15.75" customHeight="1">
      <c r="A624" s="1" t="s">
        <v>661</v>
      </c>
      <c r="B624" s="1" t="s">
        <v>32</v>
      </c>
      <c r="C624" s="1">
        <v>0.0</v>
      </c>
      <c r="D624" s="1" t="s">
        <v>25</v>
      </c>
      <c r="E624" s="1" t="s">
        <v>25</v>
      </c>
      <c r="F624" s="1">
        <v>40.0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1">
        <v>85.05</v>
      </c>
      <c r="T624" s="1">
        <v>3355.65</v>
      </c>
      <c r="U624" s="1">
        <v>3.0</v>
      </c>
      <c r="V624" s="1">
        <v>0.0</v>
      </c>
      <c r="W624" s="1" t="s">
        <v>26</v>
      </c>
    </row>
    <row r="625" ht="15.75" customHeight="1">
      <c r="A625" s="1" t="s">
        <v>662</v>
      </c>
      <c r="B625" s="1" t="s">
        <v>24</v>
      </c>
      <c r="C625" s="1">
        <v>0.0</v>
      </c>
      <c r="D625" s="1" t="s">
        <v>26</v>
      </c>
      <c r="E625" s="1" t="s">
        <v>26</v>
      </c>
      <c r="F625" s="1">
        <v>20.0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1">
        <v>19.7</v>
      </c>
      <c r="T625" s="1">
        <v>406.95</v>
      </c>
      <c r="U625" s="1">
        <v>0.0</v>
      </c>
      <c r="V625" s="1">
        <v>0.0</v>
      </c>
      <c r="W625" s="1" t="s">
        <v>26</v>
      </c>
    </row>
    <row r="626" ht="15.75" customHeight="1">
      <c r="A626" s="1" t="s">
        <v>663</v>
      </c>
      <c r="B626" s="1" t="s">
        <v>24</v>
      </c>
      <c r="C626" s="1">
        <v>0.0</v>
      </c>
      <c r="D626" s="1" t="s">
        <v>26</v>
      </c>
      <c r="E626" s="1" t="s">
        <v>26</v>
      </c>
      <c r="F626" s="1">
        <v>7.0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1">
        <v>20.0</v>
      </c>
      <c r="T626" s="1">
        <v>137.6</v>
      </c>
      <c r="U626" s="1">
        <v>2.0</v>
      </c>
      <c r="V626" s="1">
        <v>0.0</v>
      </c>
      <c r="W626" s="1" t="s">
        <v>25</v>
      </c>
    </row>
    <row r="627" ht="15.75" customHeight="1">
      <c r="A627" s="1" t="s">
        <v>664</v>
      </c>
      <c r="B627" s="1" t="s">
        <v>24</v>
      </c>
      <c r="C627" s="1">
        <v>0.0</v>
      </c>
      <c r="D627" s="1" t="s">
        <v>25</v>
      </c>
      <c r="E627" s="1" t="s">
        <v>26</v>
      </c>
      <c r="F627" s="1">
        <v>25.0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1">
        <v>95.15</v>
      </c>
      <c r="T627" s="1">
        <v>2395.7</v>
      </c>
      <c r="U627" s="1">
        <v>2.0</v>
      </c>
      <c r="V627" s="1">
        <v>0.0</v>
      </c>
      <c r="W627" s="1" t="s">
        <v>26</v>
      </c>
    </row>
    <row r="628" ht="15.75" customHeight="1">
      <c r="A628" s="1" t="s">
        <v>665</v>
      </c>
      <c r="B628" s="1" t="s">
        <v>32</v>
      </c>
      <c r="C628" s="1">
        <v>0.0</v>
      </c>
      <c r="D628" s="1" t="s">
        <v>25</v>
      </c>
      <c r="E628" s="1" t="s">
        <v>26</v>
      </c>
      <c r="F628" s="1">
        <v>23.0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1">
        <v>84.25</v>
      </c>
      <c r="T628" s="1">
        <v>1968.1</v>
      </c>
      <c r="U628" s="1">
        <v>0.0</v>
      </c>
      <c r="V628" s="1">
        <v>0.0</v>
      </c>
      <c r="W628" s="1" t="s">
        <v>26</v>
      </c>
    </row>
    <row r="629" ht="15.75" customHeight="1">
      <c r="A629" s="1" t="s">
        <v>666</v>
      </c>
      <c r="B629" s="1" t="s">
        <v>24</v>
      </c>
      <c r="C629" s="1">
        <v>1.0</v>
      </c>
      <c r="D629" s="1" t="s">
        <v>25</v>
      </c>
      <c r="E629" s="1" t="s">
        <v>26</v>
      </c>
      <c r="F629" s="1">
        <v>66.0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1">
        <v>104.6</v>
      </c>
      <c r="T629" s="1">
        <v>6819.45</v>
      </c>
      <c r="U629" s="1">
        <v>0.0</v>
      </c>
      <c r="V629" s="1">
        <v>0.0</v>
      </c>
      <c r="W629" s="1" t="s">
        <v>26</v>
      </c>
    </row>
    <row r="630" ht="15.75" customHeight="1">
      <c r="A630" s="1" t="s">
        <v>667</v>
      </c>
      <c r="B630" s="1" t="s">
        <v>24</v>
      </c>
      <c r="C630" s="1">
        <v>1.0</v>
      </c>
      <c r="D630" s="1" t="s">
        <v>26</v>
      </c>
      <c r="E630" s="1" t="s">
        <v>26</v>
      </c>
      <c r="F630" s="1">
        <v>72.0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1">
        <v>111.65</v>
      </c>
      <c r="T630" s="1">
        <v>7943.45</v>
      </c>
      <c r="U630" s="1">
        <v>5.0</v>
      </c>
      <c r="V630" s="1">
        <v>0.0</v>
      </c>
      <c r="W630" s="1" t="s">
        <v>26</v>
      </c>
    </row>
    <row r="631" ht="15.75" customHeight="1">
      <c r="A631" s="1" t="s">
        <v>668</v>
      </c>
      <c r="B631" s="1" t="s">
        <v>32</v>
      </c>
      <c r="C631" s="1">
        <v>1.0</v>
      </c>
      <c r="D631" s="1" t="s">
        <v>25</v>
      </c>
      <c r="E631" s="1" t="s">
        <v>26</v>
      </c>
      <c r="F631" s="1">
        <v>49.0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1">
        <v>90.05</v>
      </c>
      <c r="T631" s="1">
        <v>4547.25</v>
      </c>
      <c r="U631" s="1">
        <v>5.0</v>
      </c>
      <c r="V631" s="1">
        <v>3.0</v>
      </c>
      <c r="W631" s="1" t="s">
        <v>25</v>
      </c>
    </row>
    <row r="632" ht="15.75" customHeight="1">
      <c r="A632" s="1" t="s">
        <v>669</v>
      </c>
      <c r="B632" s="1" t="s">
        <v>32</v>
      </c>
      <c r="C632" s="1">
        <v>1.0</v>
      </c>
      <c r="D632" s="1" t="s">
        <v>25</v>
      </c>
      <c r="E632" s="1" t="s">
        <v>25</v>
      </c>
      <c r="F632" s="1">
        <v>43.0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1">
        <v>110.75</v>
      </c>
      <c r="T632" s="1">
        <v>4687.9</v>
      </c>
      <c r="U632" s="1">
        <v>0.0</v>
      </c>
      <c r="V632" s="1">
        <v>4.0</v>
      </c>
      <c r="W632" s="1" t="s">
        <v>25</v>
      </c>
    </row>
    <row r="633" ht="15.75" customHeight="1">
      <c r="A633" s="1" t="s">
        <v>670</v>
      </c>
      <c r="B633" s="1" t="s">
        <v>24</v>
      </c>
      <c r="C633" s="1">
        <v>0.0</v>
      </c>
      <c r="D633" s="1" t="s">
        <v>25</v>
      </c>
      <c r="E633" s="1" t="s">
        <v>26</v>
      </c>
      <c r="F633" s="1">
        <v>46.0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1">
        <v>55.0</v>
      </c>
      <c r="T633" s="1">
        <v>2473.95</v>
      </c>
      <c r="U633" s="1">
        <v>0.0</v>
      </c>
      <c r="V633" s="1">
        <v>0.0</v>
      </c>
      <c r="W633" s="1" t="s">
        <v>26</v>
      </c>
    </row>
    <row r="634" ht="15.75" customHeight="1">
      <c r="A634" s="1" t="s">
        <v>671</v>
      </c>
      <c r="B634" s="1" t="s">
        <v>32</v>
      </c>
      <c r="C634" s="1">
        <v>0.0</v>
      </c>
      <c r="D634" s="1" t="s">
        <v>25</v>
      </c>
      <c r="E634" s="1" t="s">
        <v>25</v>
      </c>
      <c r="F634" s="1">
        <v>72.0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1">
        <v>89.85</v>
      </c>
      <c r="T634" s="1">
        <v>6562.9</v>
      </c>
      <c r="U634" s="1">
        <v>0.0</v>
      </c>
      <c r="V634" s="1">
        <v>0.0</v>
      </c>
      <c r="W634" s="1" t="s">
        <v>26</v>
      </c>
    </row>
    <row r="635" ht="15.75" customHeight="1">
      <c r="A635" s="1" t="s">
        <v>672</v>
      </c>
      <c r="B635" s="1" t="s">
        <v>32</v>
      </c>
      <c r="C635" s="1">
        <v>0.0</v>
      </c>
      <c r="D635" s="1" t="s">
        <v>26</v>
      </c>
      <c r="E635" s="1" t="s">
        <v>26</v>
      </c>
      <c r="F635" s="1">
        <v>10.0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1">
        <v>20.35</v>
      </c>
      <c r="T635" s="1">
        <v>176.3</v>
      </c>
      <c r="U635" s="1">
        <v>1.0</v>
      </c>
      <c r="V635" s="1">
        <v>0.0</v>
      </c>
      <c r="W635" s="1" t="s">
        <v>26</v>
      </c>
    </row>
    <row r="636" ht="15.75" customHeight="1">
      <c r="A636" s="1" t="s">
        <v>673</v>
      </c>
      <c r="B636" s="1" t="s">
        <v>24</v>
      </c>
      <c r="C636" s="1">
        <v>0.0</v>
      </c>
      <c r="D636" s="1" t="s">
        <v>26</v>
      </c>
      <c r="E636" s="1" t="s">
        <v>26</v>
      </c>
      <c r="F636" s="1">
        <v>40.0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1">
        <v>54.55</v>
      </c>
      <c r="T636" s="1">
        <v>2236.2</v>
      </c>
      <c r="U636" s="1">
        <v>0.0</v>
      </c>
      <c r="V636" s="1">
        <v>0.0</v>
      </c>
      <c r="W636" s="1" t="s">
        <v>26</v>
      </c>
    </row>
    <row r="637" ht="15.75" customHeight="1">
      <c r="A637" s="1" t="s">
        <v>674</v>
      </c>
      <c r="B637" s="1" t="s">
        <v>24</v>
      </c>
      <c r="C637" s="1">
        <v>0.0</v>
      </c>
      <c r="D637" s="1" t="s">
        <v>25</v>
      </c>
      <c r="E637" s="1" t="s">
        <v>25</v>
      </c>
      <c r="F637" s="1">
        <v>65.0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1">
        <v>105.5</v>
      </c>
      <c r="T637" s="1">
        <v>6985.65</v>
      </c>
      <c r="U637" s="1">
        <v>0.0</v>
      </c>
      <c r="V637" s="1">
        <v>6.0</v>
      </c>
      <c r="W637" s="1" t="s">
        <v>25</v>
      </c>
    </row>
    <row r="638" ht="15.75" customHeight="1">
      <c r="A638" s="1" t="s">
        <v>675</v>
      </c>
      <c r="B638" s="1" t="s">
        <v>32</v>
      </c>
      <c r="C638" s="1">
        <v>0.0</v>
      </c>
      <c r="D638" s="1" t="s">
        <v>26</v>
      </c>
      <c r="E638" s="1" t="s">
        <v>26</v>
      </c>
      <c r="F638" s="1">
        <v>31.0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1">
        <v>99.45</v>
      </c>
      <c r="T638" s="1">
        <v>3109.9</v>
      </c>
      <c r="U638" s="1">
        <v>0.0</v>
      </c>
      <c r="V638" s="1">
        <v>1.0</v>
      </c>
      <c r="W638" s="1" t="s">
        <v>26</v>
      </c>
    </row>
    <row r="639" ht="15.75" customHeight="1">
      <c r="A639" s="1" t="s">
        <v>676</v>
      </c>
      <c r="B639" s="1" t="s">
        <v>24</v>
      </c>
      <c r="C639" s="1">
        <v>0.0</v>
      </c>
      <c r="D639" s="1" t="s">
        <v>25</v>
      </c>
      <c r="E639" s="1" t="s">
        <v>26</v>
      </c>
      <c r="F639" s="1">
        <v>68.0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1">
        <v>70.9</v>
      </c>
      <c r="T639" s="1">
        <v>4911.35</v>
      </c>
      <c r="U639" s="1">
        <v>0.0</v>
      </c>
      <c r="V639" s="1">
        <v>0.0</v>
      </c>
      <c r="W639" s="1" t="s">
        <v>26</v>
      </c>
    </row>
    <row r="640" ht="15.75" customHeight="1">
      <c r="A640" s="1" t="s">
        <v>677</v>
      </c>
      <c r="B640" s="1" t="s">
        <v>32</v>
      </c>
      <c r="C640" s="1">
        <v>1.0</v>
      </c>
      <c r="D640" s="1" t="s">
        <v>25</v>
      </c>
      <c r="E640" s="1" t="s">
        <v>25</v>
      </c>
      <c r="F640" s="1">
        <v>56.0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1">
        <v>104.55</v>
      </c>
      <c r="T640" s="1">
        <v>5794.65</v>
      </c>
      <c r="U640" s="1">
        <v>0.0</v>
      </c>
      <c r="V640" s="1">
        <v>5.0</v>
      </c>
      <c r="W640" s="1" t="s">
        <v>25</v>
      </c>
    </row>
    <row r="641" ht="15.75" customHeight="1">
      <c r="A641" s="1" t="s">
        <v>678</v>
      </c>
      <c r="B641" s="1" t="s">
        <v>32</v>
      </c>
      <c r="C641" s="1">
        <v>0.0</v>
      </c>
      <c r="D641" s="1" t="s">
        <v>25</v>
      </c>
      <c r="E641" s="1" t="s">
        <v>26</v>
      </c>
      <c r="F641" s="1">
        <v>10.0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1">
        <v>85.25</v>
      </c>
      <c r="T641" s="1">
        <v>855.3</v>
      </c>
      <c r="U641" s="1">
        <v>0.0</v>
      </c>
      <c r="V641" s="1">
        <v>0.0</v>
      </c>
      <c r="W641" s="1" t="s">
        <v>25</v>
      </c>
    </row>
    <row r="642" ht="15.75" customHeight="1">
      <c r="A642" s="1" t="s">
        <v>679</v>
      </c>
      <c r="B642" s="1" t="s">
        <v>32</v>
      </c>
      <c r="C642" s="1">
        <v>0.0</v>
      </c>
      <c r="D642" s="1" t="s">
        <v>25</v>
      </c>
      <c r="E642" s="1" t="s">
        <v>25</v>
      </c>
      <c r="F642" s="1">
        <v>68.0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1">
        <v>25.4</v>
      </c>
      <c r="T642" s="1">
        <v>1620.2</v>
      </c>
      <c r="U642" s="1">
        <v>0.0</v>
      </c>
      <c r="V642" s="1">
        <v>0.0</v>
      </c>
      <c r="W642" s="1" t="s">
        <v>26</v>
      </c>
    </row>
    <row r="643" ht="15.75" customHeight="1">
      <c r="A643" s="1" t="s">
        <v>680</v>
      </c>
      <c r="B643" s="1" t="s">
        <v>24</v>
      </c>
      <c r="C643" s="1">
        <v>0.0</v>
      </c>
      <c r="D643" s="1" t="s">
        <v>25</v>
      </c>
      <c r="E643" s="1" t="s">
        <v>25</v>
      </c>
      <c r="F643" s="1">
        <v>43.0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1">
        <v>56.15</v>
      </c>
      <c r="T643" s="1">
        <v>2499.3</v>
      </c>
      <c r="U643" s="1">
        <v>0.0</v>
      </c>
      <c r="V643" s="1">
        <v>0.0</v>
      </c>
      <c r="W643" s="1" t="s">
        <v>25</v>
      </c>
    </row>
    <row r="644" ht="15.75" customHeight="1">
      <c r="A644" s="1" t="s">
        <v>681</v>
      </c>
      <c r="B644" s="1" t="s">
        <v>32</v>
      </c>
      <c r="C644" s="1">
        <v>0.0</v>
      </c>
      <c r="D644" s="1" t="s">
        <v>26</v>
      </c>
      <c r="E644" s="1" t="s">
        <v>26</v>
      </c>
      <c r="F644" s="1">
        <v>1.0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1">
        <v>89.55</v>
      </c>
      <c r="T644" s="1">
        <v>89.55</v>
      </c>
      <c r="U644" s="1">
        <v>0.0</v>
      </c>
      <c r="V644" s="1">
        <v>1.0</v>
      </c>
      <c r="W644" s="1" t="s">
        <v>25</v>
      </c>
    </row>
    <row r="645" ht="15.75" customHeight="1">
      <c r="A645" s="1" t="s">
        <v>682</v>
      </c>
      <c r="B645" s="1" t="s">
        <v>24</v>
      </c>
      <c r="C645" s="1">
        <v>1.0</v>
      </c>
      <c r="D645" s="1" t="s">
        <v>26</v>
      </c>
      <c r="E645" s="1" t="s">
        <v>26</v>
      </c>
      <c r="F645" s="1">
        <v>49.0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1">
        <v>89.85</v>
      </c>
      <c r="T645" s="1">
        <v>4287.2</v>
      </c>
      <c r="U645" s="1">
        <v>0.0</v>
      </c>
      <c r="V645" s="1">
        <v>0.0</v>
      </c>
      <c r="W645" s="1" t="s">
        <v>26</v>
      </c>
    </row>
    <row r="646" ht="15.75" customHeight="1">
      <c r="A646" s="1" t="s">
        <v>683</v>
      </c>
      <c r="B646" s="1" t="s">
        <v>24</v>
      </c>
      <c r="C646" s="1">
        <v>0.0</v>
      </c>
      <c r="D646" s="1" t="s">
        <v>25</v>
      </c>
      <c r="E646" s="1" t="s">
        <v>25</v>
      </c>
      <c r="F646" s="1">
        <v>15.0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1">
        <v>25.25</v>
      </c>
      <c r="T646" s="1">
        <v>394.85</v>
      </c>
      <c r="U646" s="1">
        <v>0.0</v>
      </c>
      <c r="V646" s="1">
        <v>0.0</v>
      </c>
      <c r="W646" s="1" t="s">
        <v>26</v>
      </c>
    </row>
    <row r="647" ht="15.75" customHeight="1">
      <c r="A647" s="1" t="s">
        <v>684</v>
      </c>
      <c r="B647" s="1" t="s">
        <v>32</v>
      </c>
      <c r="C647" s="1">
        <v>1.0</v>
      </c>
      <c r="D647" s="1" t="s">
        <v>25</v>
      </c>
      <c r="E647" s="1" t="s">
        <v>26</v>
      </c>
      <c r="F647" s="1">
        <v>20.0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1">
        <v>94.55</v>
      </c>
      <c r="T647" s="1">
        <v>1899.65</v>
      </c>
      <c r="U647" s="1">
        <v>0.0</v>
      </c>
      <c r="V647" s="1">
        <v>2.0</v>
      </c>
      <c r="W647" s="1" t="s">
        <v>25</v>
      </c>
    </row>
    <row r="648" ht="15.75" customHeight="1">
      <c r="A648" s="1" t="s">
        <v>685</v>
      </c>
      <c r="B648" s="1" t="s">
        <v>32</v>
      </c>
      <c r="C648" s="1">
        <v>0.0</v>
      </c>
      <c r="D648" s="1" t="s">
        <v>26</v>
      </c>
      <c r="E648" s="1" t="s">
        <v>26</v>
      </c>
      <c r="F648" s="1">
        <v>1.0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1">
        <v>45.7</v>
      </c>
      <c r="T648" s="1">
        <v>45.7</v>
      </c>
      <c r="U648" s="1">
        <v>0.0</v>
      </c>
      <c r="V648" s="1">
        <v>0.0</v>
      </c>
      <c r="W648" s="1" t="s">
        <v>25</v>
      </c>
    </row>
    <row r="649" ht="15.75" customHeight="1">
      <c r="A649" s="1" t="s">
        <v>686</v>
      </c>
      <c r="B649" s="1" t="s">
        <v>32</v>
      </c>
      <c r="C649" s="1">
        <v>0.0</v>
      </c>
      <c r="D649" s="1" t="s">
        <v>25</v>
      </c>
      <c r="E649" s="1" t="s">
        <v>25</v>
      </c>
      <c r="F649" s="1">
        <v>50.0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1">
        <v>69.65</v>
      </c>
      <c r="T649" s="1">
        <v>3442.15</v>
      </c>
      <c r="U649" s="1">
        <v>0.0</v>
      </c>
      <c r="V649" s="1">
        <v>0.0</v>
      </c>
      <c r="W649" s="1" t="s">
        <v>26</v>
      </c>
    </row>
    <row r="650" ht="15.75" customHeight="1">
      <c r="A650" s="1" t="s">
        <v>687</v>
      </c>
      <c r="B650" s="1" t="s">
        <v>24</v>
      </c>
      <c r="C650" s="1">
        <v>1.0</v>
      </c>
      <c r="D650" s="1" t="s">
        <v>26</v>
      </c>
      <c r="E650" s="1" t="s">
        <v>26</v>
      </c>
      <c r="F650" s="1">
        <v>2.0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1">
        <v>89.5</v>
      </c>
      <c r="T650" s="1">
        <v>161.5</v>
      </c>
      <c r="U650" s="1">
        <v>0.0</v>
      </c>
      <c r="V650" s="1">
        <v>0.0</v>
      </c>
      <c r="W650" s="1" t="s">
        <v>25</v>
      </c>
    </row>
    <row r="651" ht="15.75" customHeight="1">
      <c r="A651" s="1" t="s">
        <v>688</v>
      </c>
      <c r="B651" s="1" t="s">
        <v>32</v>
      </c>
      <c r="C651" s="1">
        <v>1.0</v>
      </c>
      <c r="D651" s="1" t="s">
        <v>26</v>
      </c>
      <c r="E651" s="1" t="s">
        <v>26</v>
      </c>
      <c r="F651" s="1">
        <v>24.0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1">
        <v>70.0</v>
      </c>
      <c r="T651" s="1">
        <v>1732.6</v>
      </c>
      <c r="U651" s="1">
        <v>2.0</v>
      </c>
      <c r="V651" s="1">
        <v>0.0</v>
      </c>
      <c r="W651" s="1" t="s">
        <v>26</v>
      </c>
    </row>
    <row r="652" ht="15.75" customHeight="1">
      <c r="A652" s="1" t="s">
        <v>689</v>
      </c>
      <c r="B652" s="1" t="s">
        <v>24</v>
      </c>
      <c r="C652" s="1">
        <v>0.0</v>
      </c>
      <c r="D652" s="1" t="s">
        <v>26</v>
      </c>
      <c r="E652" s="1" t="s">
        <v>26</v>
      </c>
      <c r="F652" s="1">
        <v>3.0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1">
        <v>69.55</v>
      </c>
      <c r="T652" s="1">
        <v>222.3</v>
      </c>
      <c r="U652" s="1">
        <v>0.0</v>
      </c>
      <c r="V652" s="1">
        <v>0.0</v>
      </c>
      <c r="W652" s="1" t="s">
        <v>25</v>
      </c>
    </row>
    <row r="653" ht="15.75" customHeight="1">
      <c r="A653" s="1" t="s">
        <v>690</v>
      </c>
      <c r="B653" s="1" t="s">
        <v>24</v>
      </c>
      <c r="C653" s="1">
        <v>0.0</v>
      </c>
      <c r="D653" s="1" t="s">
        <v>26</v>
      </c>
      <c r="E653" s="1" t="s">
        <v>26</v>
      </c>
      <c r="F653" s="1">
        <v>1.0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1">
        <v>74.6</v>
      </c>
      <c r="T653" s="1">
        <v>74.6</v>
      </c>
      <c r="U653" s="1">
        <v>2.0</v>
      </c>
      <c r="V653" s="1">
        <v>0.0</v>
      </c>
      <c r="W653" s="1" t="s">
        <v>25</v>
      </c>
    </row>
    <row r="654" ht="15.75" customHeight="1">
      <c r="A654" s="1" t="s">
        <v>691</v>
      </c>
      <c r="B654" s="1" t="s">
        <v>32</v>
      </c>
      <c r="C654" s="1">
        <v>0.0</v>
      </c>
      <c r="D654" s="1" t="s">
        <v>25</v>
      </c>
      <c r="E654" s="1" t="s">
        <v>25</v>
      </c>
      <c r="F654" s="1">
        <v>35.0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1">
        <v>20.1</v>
      </c>
      <c r="T654" s="1">
        <v>655.3</v>
      </c>
      <c r="U654" s="1">
        <v>0.0</v>
      </c>
      <c r="V654" s="1">
        <v>0.0</v>
      </c>
      <c r="W654" s="1" t="s">
        <v>26</v>
      </c>
    </row>
    <row r="655" ht="15.75" customHeight="1">
      <c r="A655" s="1" t="s">
        <v>692</v>
      </c>
      <c r="B655" s="1" t="s">
        <v>24</v>
      </c>
      <c r="C655" s="1">
        <v>0.0</v>
      </c>
      <c r="D655" s="1" t="s">
        <v>26</v>
      </c>
      <c r="E655" s="1" t="s">
        <v>26</v>
      </c>
      <c r="F655" s="1">
        <v>17.0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1">
        <v>24.8</v>
      </c>
      <c r="T655" s="1">
        <v>475.25</v>
      </c>
      <c r="U655" s="1">
        <v>0.0</v>
      </c>
      <c r="V655" s="1">
        <v>0.0</v>
      </c>
      <c r="W655" s="1" t="s">
        <v>26</v>
      </c>
    </row>
    <row r="656" ht="15.75" customHeight="1">
      <c r="A656" s="1" t="s">
        <v>693</v>
      </c>
      <c r="B656" s="1" t="s">
        <v>24</v>
      </c>
      <c r="C656" s="1">
        <v>1.0</v>
      </c>
      <c r="D656" s="1" t="s">
        <v>26</v>
      </c>
      <c r="E656" s="1" t="s">
        <v>26</v>
      </c>
      <c r="F656" s="1">
        <v>8.0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1">
        <v>19.65</v>
      </c>
      <c r="T656" s="1">
        <v>164.3</v>
      </c>
      <c r="U656" s="1">
        <v>0.0</v>
      </c>
      <c r="V656" s="1">
        <v>0.0</v>
      </c>
      <c r="W656" s="1" t="s">
        <v>25</v>
      </c>
    </row>
    <row r="657" ht="15.75" customHeight="1">
      <c r="A657" s="1" t="s">
        <v>694</v>
      </c>
      <c r="B657" s="1" t="s">
        <v>32</v>
      </c>
      <c r="C657" s="1">
        <v>0.0</v>
      </c>
      <c r="D657" s="1" t="s">
        <v>26</v>
      </c>
      <c r="E657" s="1" t="s">
        <v>26</v>
      </c>
      <c r="F657" s="1">
        <v>10.0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1">
        <v>95.1</v>
      </c>
      <c r="T657" s="1">
        <v>865.1</v>
      </c>
      <c r="U657" s="1">
        <v>4.0</v>
      </c>
      <c r="V657" s="1">
        <v>0.0</v>
      </c>
      <c r="W657" s="1" t="s">
        <v>26</v>
      </c>
    </row>
    <row r="658" ht="15.75" customHeight="1">
      <c r="A658" s="1" t="s">
        <v>695</v>
      </c>
      <c r="B658" s="1" t="s">
        <v>32</v>
      </c>
      <c r="C658" s="1">
        <v>0.0</v>
      </c>
      <c r="D658" s="1" t="s">
        <v>25</v>
      </c>
      <c r="E658" s="1" t="s">
        <v>25</v>
      </c>
      <c r="F658" s="1">
        <v>68.0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1">
        <v>88.85</v>
      </c>
      <c r="T658" s="1">
        <v>6132.7</v>
      </c>
      <c r="U658" s="1">
        <v>0.0</v>
      </c>
      <c r="V658" s="1">
        <v>0.0</v>
      </c>
      <c r="W658" s="1" t="s">
        <v>26</v>
      </c>
    </row>
    <row r="659" ht="15.75" customHeight="1">
      <c r="A659" s="1" t="s">
        <v>696</v>
      </c>
      <c r="B659" s="1" t="s">
        <v>32</v>
      </c>
      <c r="C659" s="1">
        <v>0.0</v>
      </c>
      <c r="D659" s="1" t="s">
        <v>25</v>
      </c>
      <c r="E659" s="1" t="s">
        <v>26</v>
      </c>
      <c r="F659" s="1">
        <v>45.0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1">
        <v>78.8</v>
      </c>
      <c r="T659" s="1">
        <v>3597.5</v>
      </c>
      <c r="U659" s="1">
        <v>0.0</v>
      </c>
      <c r="V659" s="1">
        <v>0.0</v>
      </c>
      <c r="W659" s="1" t="s">
        <v>26</v>
      </c>
    </row>
    <row r="660" ht="15.75" customHeight="1">
      <c r="A660" s="1" t="s">
        <v>697</v>
      </c>
      <c r="B660" s="1" t="s">
        <v>32</v>
      </c>
      <c r="C660" s="1">
        <v>0.0</v>
      </c>
      <c r="D660" s="1" t="s">
        <v>25</v>
      </c>
      <c r="E660" s="1" t="s">
        <v>25</v>
      </c>
      <c r="F660" s="1">
        <v>2.0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1">
        <v>19.85</v>
      </c>
      <c r="T660" s="1">
        <v>35.9</v>
      </c>
      <c r="U660" s="1">
        <v>0.0</v>
      </c>
      <c r="V660" s="1">
        <v>0.0</v>
      </c>
      <c r="W660" s="1" t="s">
        <v>25</v>
      </c>
    </row>
    <row r="661" ht="15.75" customHeight="1">
      <c r="A661" s="1" t="s">
        <v>698</v>
      </c>
      <c r="B661" s="1" t="s">
        <v>32</v>
      </c>
      <c r="C661" s="1">
        <v>0.0</v>
      </c>
      <c r="D661" s="1" t="s">
        <v>25</v>
      </c>
      <c r="E661" s="1" t="s">
        <v>26</v>
      </c>
      <c r="F661" s="1">
        <v>37.0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1">
        <v>20.35</v>
      </c>
      <c r="T661" s="1">
        <v>697.65</v>
      </c>
      <c r="U661" s="1">
        <v>0.0</v>
      </c>
      <c r="V661" s="1">
        <v>0.0</v>
      </c>
      <c r="W661" s="1" t="s">
        <v>26</v>
      </c>
    </row>
    <row r="662" ht="15.75" customHeight="1">
      <c r="A662" s="1" t="s">
        <v>699</v>
      </c>
      <c r="B662" s="1" t="s">
        <v>24</v>
      </c>
      <c r="C662" s="1">
        <v>0.0</v>
      </c>
      <c r="D662" s="1" t="s">
        <v>26</v>
      </c>
      <c r="E662" s="1" t="s">
        <v>26</v>
      </c>
      <c r="F662" s="1">
        <v>4.0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1">
        <v>24.25</v>
      </c>
      <c r="T662" s="1">
        <v>96.05</v>
      </c>
      <c r="U662" s="1">
        <v>2.0</v>
      </c>
      <c r="V662" s="1">
        <v>0.0</v>
      </c>
      <c r="W662" s="1" t="s">
        <v>25</v>
      </c>
    </row>
    <row r="663" ht="15.75" customHeight="1">
      <c r="A663" s="1" t="s">
        <v>700</v>
      </c>
      <c r="B663" s="1" t="s">
        <v>24</v>
      </c>
      <c r="C663" s="1">
        <v>0.0</v>
      </c>
      <c r="D663" s="1" t="s">
        <v>26</v>
      </c>
      <c r="E663" s="1" t="s">
        <v>26</v>
      </c>
      <c r="F663" s="1">
        <v>10.0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1">
        <v>45.25</v>
      </c>
      <c r="T663" s="1">
        <v>428.7</v>
      </c>
      <c r="U663" s="1">
        <v>0.0</v>
      </c>
      <c r="V663" s="1">
        <v>0.0</v>
      </c>
      <c r="W663" s="1" t="s">
        <v>26</v>
      </c>
    </row>
    <row r="664" ht="15.75" customHeight="1">
      <c r="A664" s="1" t="s">
        <v>701</v>
      </c>
      <c r="B664" s="1" t="s">
        <v>32</v>
      </c>
      <c r="C664" s="1">
        <v>0.0</v>
      </c>
      <c r="D664" s="1" t="s">
        <v>26</v>
      </c>
      <c r="E664" s="1" t="s">
        <v>26</v>
      </c>
      <c r="F664" s="1">
        <v>1.0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1">
        <v>20.05</v>
      </c>
      <c r="T664" s="1">
        <v>20.05</v>
      </c>
      <c r="U664" s="1">
        <v>0.0</v>
      </c>
      <c r="V664" s="1">
        <v>0.0</v>
      </c>
      <c r="W664" s="1" t="s">
        <v>26</v>
      </c>
    </row>
    <row r="665" ht="15.75" customHeight="1">
      <c r="A665" s="1" t="s">
        <v>702</v>
      </c>
      <c r="B665" s="1" t="s">
        <v>32</v>
      </c>
      <c r="C665" s="1">
        <v>0.0</v>
      </c>
      <c r="D665" s="1" t="s">
        <v>25</v>
      </c>
      <c r="E665" s="1" t="s">
        <v>25</v>
      </c>
      <c r="F665" s="1">
        <v>65.0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1">
        <v>69.55</v>
      </c>
      <c r="T665" s="1">
        <v>4459.15</v>
      </c>
      <c r="U665" s="1">
        <v>0.0</v>
      </c>
      <c r="V665" s="1">
        <v>0.0</v>
      </c>
      <c r="W665" s="1" t="s">
        <v>26</v>
      </c>
    </row>
    <row r="666" ht="15.75" customHeight="1">
      <c r="A666" s="1" t="s">
        <v>703</v>
      </c>
      <c r="B666" s="1" t="s">
        <v>24</v>
      </c>
      <c r="C666" s="1">
        <v>0.0</v>
      </c>
      <c r="D666" s="1" t="s">
        <v>25</v>
      </c>
      <c r="E666" s="1" t="s">
        <v>25</v>
      </c>
      <c r="F666" s="1">
        <v>57.0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1">
        <v>19.5</v>
      </c>
      <c r="T666" s="1">
        <v>1167.6</v>
      </c>
      <c r="U666" s="1">
        <v>0.0</v>
      </c>
      <c r="V666" s="1">
        <v>0.0</v>
      </c>
      <c r="W666" s="1" t="s">
        <v>26</v>
      </c>
    </row>
    <row r="667" ht="15.75" customHeight="1">
      <c r="A667" s="1" t="s">
        <v>704</v>
      </c>
      <c r="B667" s="1" t="s">
        <v>24</v>
      </c>
      <c r="C667" s="1">
        <v>0.0</v>
      </c>
      <c r="D667" s="1" t="s">
        <v>26</v>
      </c>
      <c r="E667" s="1" t="s">
        <v>26</v>
      </c>
      <c r="F667" s="1">
        <v>3.0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1">
        <v>74.75</v>
      </c>
      <c r="T667" s="1">
        <v>238.1</v>
      </c>
      <c r="U667" s="1">
        <v>0.0</v>
      </c>
      <c r="V667" s="1">
        <v>0.0</v>
      </c>
      <c r="W667" s="1" t="s">
        <v>26</v>
      </c>
    </row>
    <row r="668" ht="15.75" customHeight="1">
      <c r="A668" s="1" t="s">
        <v>705</v>
      </c>
      <c r="B668" s="1" t="s">
        <v>24</v>
      </c>
      <c r="C668" s="1">
        <v>0.0</v>
      </c>
      <c r="D668" s="1" t="s">
        <v>26</v>
      </c>
      <c r="E668" s="1" t="s">
        <v>26</v>
      </c>
      <c r="F668" s="1">
        <v>2.0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1">
        <v>69.65</v>
      </c>
      <c r="T668" s="1">
        <v>145.15</v>
      </c>
      <c r="U668" s="1">
        <v>0.0</v>
      </c>
      <c r="V668" s="1">
        <v>0.0</v>
      </c>
      <c r="W668" s="1" t="s">
        <v>25</v>
      </c>
    </row>
    <row r="669" ht="15.75" customHeight="1">
      <c r="A669" s="1" t="s">
        <v>706</v>
      </c>
      <c r="B669" s="1" t="s">
        <v>32</v>
      </c>
      <c r="C669" s="1">
        <v>0.0</v>
      </c>
      <c r="D669" s="1" t="s">
        <v>26</v>
      </c>
      <c r="E669" s="1" t="s">
        <v>26</v>
      </c>
      <c r="F669" s="1">
        <v>49.0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1">
        <v>30.2</v>
      </c>
      <c r="T669" s="1">
        <v>1453.1</v>
      </c>
      <c r="U669" s="1">
        <v>0.0</v>
      </c>
      <c r="V669" s="1">
        <v>0.0</v>
      </c>
      <c r="W669" s="1" t="s">
        <v>26</v>
      </c>
    </row>
    <row r="670" ht="15.75" customHeight="1">
      <c r="A670" s="1" t="s">
        <v>707</v>
      </c>
      <c r="B670" s="1" t="s">
        <v>24</v>
      </c>
      <c r="C670" s="1">
        <v>0.0</v>
      </c>
      <c r="D670" s="1" t="s">
        <v>26</v>
      </c>
      <c r="E670" s="1" t="s">
        <v>26</v>
      </c>
      <c r="F670" s="1">
        <v>4.0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1">
        <v>45.65</v>
      </c>
      <c r="T670" s="1">
        <v>191.05</v>
      </c>
      <c r="U670" s="1">
        <v>0.0</v>
      </c>
      <c r="V670" s="1">
        <v>0.0</v>
      </c>
      <c r="W670" s="1" t="s">
        <v>25</v>
      </c>
    </row>
    <row r="671" ht="15.75" customHeight="1">
      <c r="A671" s="1" t="s">
        <v>708</v>
      </c>
      <c r="B671" s="1" t="s">
        <v>24</v>
      </c>
      <c r="C671" s="1">
        <v>0.0</v>
      </c>
      <c r="D671" s="1" t="s">
        <v>25</v>
      </c>
      <c r="E671" s="1" t="s">
        <v>26</v>
      </c>
      <c r="F671" s="1">
        <v>70.0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1">
        <v>57.8</v>
      </c>
      <c r="T671" s="1">
        <v>4039.3</v>
      </c>
      <c r="U671" s="1">
        <v>0.0</v>
      </c>
      <c r="V671" s="1">
        <v>0.0</v>
      </c>
      <c r="W671" s="1" t="s">
        <v>26</v>
      </c>
    </row>
    <row r="672" ht="15.75" customHeight="1">
      <c r="A672" s="1" t="s">
        <v>709</v>
      </c>
      <c r="B672" s="1" t="s">
        <v>24</v>
      </c>
      <c r="C672" s="1">
        <v>0.0</v>
      </c>
      <c r="D672" s="1" t="s">
        <v>25</v>
      </c>
      <c r="E672" s="1" t="s">
        <v>25</v>
      </c>
      <c r="F672" s="1">
        <v>53.0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1">
        <v>19.85</v>
      </c>
      <c r="T672" s="1">
        <v>1039.45</v>
      </c>
      <c r="U672" s="1">
        <v>0.0</v>
      </c>
      <c r="V672" s="1">
        <v>0.0</v>
      </c>
      <c r="W672" s="1" t="s">
        <v>26</v>
      </c>
    </row>
    <row r="673" ht="15.75" customHeight="1">
      <c r="A673" s="1" t="s">
        <v>710</v>
      </c>
      <c r="B673" s="1" t="s">
        <v>32</v>
      </c>
      <c r="C673" s="1">
        <v>0.0</v>
      </c>
      <c r="D673" s="1" t="s">
        <v>25</v>
      </c>
      <c r="E673" s="1" t="s">
        <v>25</v>
      </c>
      <c r="F673" s="1">
        <v>53.0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1">
        <v>25.55</v>
      </c>
      <c r="T673" s="1">
        <v>1336.1</v>
      </c>
      <c r="U673" s="1">
        <v>0.0</v>
      </c>
      <c r="V673" s="1">
        <v>0.0</v>
      </c>
      <c r="W673" s="1" t="s">
        <v>26</v>
      </c>
    </row>
    <row r="674" ht="15.75" customHeight="1">
      <c r="A674" s="1" t="s">
        <v>711</v>
      </c>
      <c r="B674" s="1" t="s">
        <v>24</v>
      </c>
      <c r="C674" s="1">
        <v>0.0</v>
      </c>
      <c r="D674" s="1" t="s">
        <v>26</v>
      </c>
      <c r="E674" s="1" t="s">
        <v>26</v>
      </c>
      <c r="F674" s="1">
        <v>1.0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1">
        <v>75.05</v>
      </c>
      <c r="T674" s="1">
        <v>75.05</v>
      </c>
      <c r="U674" s="1">
        <v>0.0</v>
      </c>
      <c r="V674" s="1">
        <v>0.0</v>
      </c>
      <c r="W674" s="1" t="s">
        <v>25</v>
      </c>
    </row>
    <row r="675" ht="15.75" customHeight="1">
      <c r="A675" s="1" t="s">
        <v>712</v>
      </c>
      <c r="B675" s="1" t="s">
        <v>32</v>
      </c>
      <c r="C675" s="1">
        <v>0.0</v>
      </c>
      <c r="D675" s="1" t="s">
        <v>26</v>
      </c>
      <c r="E675" s="1" t="s">
        <v>26</v>
      </c>
      <c r="F675" s="1">
        <v>22.0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1">
        <v>24.85</v>
      </c>
      <c r="T675" s="1">
        <v>493.4</v>
      </c>
      <c r="U675" s="1">
        <v>0.0</v>
      </c>
      <c r="V675" s="1">
        <v>0.0</v>
      </c>
      <c r="W675" s="1" t="s">
        <v>26</v>
      </c>
    </row>
    <row r="676" ht="15.75" customHeight="1">
      <c r="A676" s="1" t="s">
        <v>713</v>
      </c>
      <c r="B676" s="1" t="s">
        <v>32</v>
      </c>
      <c r="C676" s="1">
        <v>1.0</v>
      </c>
      <c r="D676" s="1" t="s">
        <v>26</v>
      </c>
      <c r="E676" s="1" t="s">
        <v>26</v>
      </c>
      <c r="F676" s="1">
        <v>52.0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1">
        <v>49.15</v>
      </c>
      <c r="T676" s="1">
        <v>2550.9</v>
      </c>
      <c r="U676" s="1">
        <v>0.0</v>
      </c>
      <c r="V676" s="1">
        <v>5.0</v>
      </c>
      <c r="W676" s="1" t="s">
        <v>25</v>
      </c>
    </row>
    <row r="677" ht="15.75" customHeight="1">
      <c r="A677" s="1" t="s">
        <v>714</v>
      </c>
      <c r="B677" s="1" t="s">
        <v>32</v>
      </c>
      <c r="C677" s="1">
        <v>1.0</v>
      </c>
      <c r="D677" s="1" t="s">
        <v>26</v>
      </c>
      <c r="E677" s="1" t="s">
        <v>26</v>
      </c>
      <c r="F677" s="1">
        <v>65.0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1">
        <v>110.35</v>
      </c>
      <c r="T677" s="1">
        <v>7246.15</v>
      </c>
      <c r="U677" s="1">
        <v>0.0</v>
      </c>
      <c r="V677" s="1">
        <v>0.0</v>
      </c>
      <c r="W677" s="1" t="s">
        <v>26</v>
      </c>
    </row>
    <row r="678" ht="15.75" customHeight="1">
      <c r="A678" s="1" t="s">
        <v>715</v>
      </c>
      <c r="B678" s="1" t="s">
        <v>24</v>
      </c>
      <c r="C678" s="1">
        <v>0.0</v>
      </c>
      <c r="D678" s="1" t="s">
        <v>26</v>
      </c>
      <c r="E678" s="1" t="s">
        <v>26</v>
      </c>
      <c r="F678" s="1">
        <v>48.0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1">
        <v>24.55</v>
      </c>
      <c r="T678" s="1">
        <v>1203.95</v>
      </c>
      <c r="U678" s="1">
        <v>3.0</v>
      </c>
      <c r="V678" s="1">
        <v>0.0</v>
      </c>
      <c r="W678" s="1" t="s">
        <v>26</v>
      </c>
    </row>
    <row r="679" ht="15.75" customHeight="1">
      <c r="A679" s="1" t="s">
        <v>716</v>
      </c>
      <c r="B679" s="1" t="s">
        <v>24</v>
      </c>
      <c r="C679" s="1">
        <v>0.0</v>
      </c>
      <c r="D679" s="1" t="s">
        <v>26</v>
      </c>
      <c r="E679" s="1" t="s">
        <v>26</v>
      </c>
      <c r="F679" s="1">
        <v>2.0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1">
        <v>34.7</v>
      </c>
      <c r="T679" s="1">
        <v>62.25</v>
      </c>
      <c r="U679" s="1">
        <v>0.0</v>
      </c>
      <c r="V679" s="1">
        <v>0.0</v>
      </c>
      <c r="W679" s="1" t="s">
        <v>25</v>
      </c>
    </row>
    <row r="680" ht="15.75" customHeight="1">
      <c r="A680" s="1" t="s">
        <v>717</v>
      </c>
      <c r="B680" s="1" t="s">
        <v>32</v>
      </c>
      <c r="C680" s="1">
        <v>0.0</v>
      </c>
      <c r="D680" s="1" t="s">
        <v>26</v>
      </c>
      <c r="E680" s="1" t="s">
        <v>26</v>
      </c>
      <c r="F680" s="1">
        <v>3.0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1">
        <v>107.95</v>
      </c>
      <c r="T680" s="1">
        <v>313.6</v>
      </c>
      <c r="U680" s="1">
        <v>0.0</v>
      </c>
      <c r="V680" s="1">
        <v>0.0</v>
      </c>
      <c r="W680" s="1" t="s">
        <v>26</v>
      </c>
    </row>
    <row r="681" ht="15.75" customHeight="1">
      <c r="A681" s="1" t="s">
        <v>718</v>
      </c>
      <c r="B681" s="1" t="s">
        <v>32</v>
      </c>
      <c r="C681" s="1">
        <v>0.0</v>
      </c>
      <c r="D681" s="1" t="s">
        <v>25</v>
      </c>
      <c r="E681" s="1" t="s">
        <v>26</v>
      </c>
      <c r="F681" s="1">
        <v>45.0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1">
        <v>81.4</v>
      </c>
      <c r="T681" s="1">
        <v>3775.85</v>
      </c>
      <c r="U681" s="1">
        <v>3.0</v>
      </c>
      <c r="V681" s="1">
        <v>2.0</v>
      </c>
      <c r="W681" s="1" t="s">
        <v>26</v>
      </c>
    </row>
    <row r="682" ht="15.75" customHeight="1">
      <c r="A682" s="1" t="s">
        <v>719</v>
      </c>
      <c r="B682" s="1" t="s">
        <v>32</v>
      </c>
      <c r="C682" s="1">
        <v>0.0</v>
      </c>
      <c r="D682" s="1" t="s">
        <v>25</v>
      </c>
      <c r="E682" s="1" t="s">
        <v>25</v>
      </c>
      <c r="F682" s="1">
        <v>1.0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1">
        <v>80.0</v>
      </c>
      <c r="T682" s="1">
        <v>80.0</v>
      </c>
      <c r="U682" s="1">
        <v>0.0</v>
      </c>
      <c r="V682" s="1">
        <v>0.0</v>
      </c>
      <c r="W682" s="1" t="s">
        <v>25</v>
      </c>
    </row>
    <row r="683" ht="15.75" customHeight="1">
      <c r="A683" s="1" t="s">
        <v>720</v>
      </c>
      <c r="B683" s="1" t="s">
        <v>24</v>
      </c>
      <c r="C683" s="1">
        <v>0.0</v>
      </c>
      <c r="D683" s="1" t="s">
        <v>25</v>
      </c>
      <c r="E683" s="1" t="s">
        <v>25</v>
      </c>
      <c r="F683" s="1">
        <v>61.0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1">
        <v>73.8</v>
      </c>
      <c r="T683" s="1">
        <v>4616.05</v>
      </c>
      <c r="U683" s="1">
        <v>3.0</v>
      </c>
      <c r="V683" s="1">
        <v>0.0</v>
      </c>
      <c r="W683" s="1" t="s">
        <v>26</v>
      </c>
    </row>
    <row r="684" ht="15.75" customHeight="1">
      <c r="A684" s="1" t="s">
        <v>721</v>
      </c>
      <c r="B684" s="1" t="s">
        <v>32</v>
      </c>
      <c r="C684" s="1">
        <v>0.0</v>
      </c>
      <c r="D684" s="1" t="s">
        <v>26</v>
      </c>
      <c r="E684" s="1" t="s">
        <v>26</v>
      </c>
      <c r="F684" s="1">
        <v>3.0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1">
        <v>64.4</v>
      </c>
      <c r="T684" s="1">
        <v>195.65</v>
      </c>
      <c r="U684" s="1">
        <v>0.0</v>
      </c>
      <c r="V684" s="1">
        <v>0.0</v>
      </c>
      <c r="W684" s="1" t="s">
        <v>26</v>
      </c>
    </row>
    <row r="685" ht="15.75" customHeight="1">
      <c r="A685" s="1" t="s">
        <v>722</v>
      </c>
      <c r="B685" s="1" t="s">
        <v>24</v>
      </c>
      <c r="C685" s="1">
        <v>1.0</v>
      </c>
      <c r="D685" s="1" t="s">
        <v>26</v>
      </c>
      <c r="E685" s="1" t="s">
        <v>26</v>
      </c>
      <c r="F685" s="1">
        <v>40.0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1">
        <v>103.75</v>
      </c>
      <c r="T685" s="1">
        <v>4188.4</v>
      </c>
      <c r="U685" s="1">
        <v>1.0</v>
      </c>
      <c r="V685" s="1">
        <v>0.0</v>
      </c>
      <c r="W685" s="1" t="s">
        <v>26</v>
      </c>
    </row>
    <row r="686" ht="15.75" customHeight="1">
      <c r="A686" s="1" t="s">
        <v>723</v>
      </c>
      <c r="B686" s="1" t="s">
        <v>24</v>
      </c>
      <c r="C686" s="1">
        <v>0.0</v>
      </c>
      <c r="D686" s="1" t="s">
        <v>26</v>
      </c>
      <c r="E686" s="1" t="s">
        <v>26</v>
      </c>
      <c r="F686" s="1">
        <v>1.0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1">
        <v>71.1</v>
      </c>
      <c r="T686" s="1">
        <v>71.1</v>
      </c>
      <c r="U686" s="1">
        <v>2.0</v>
      </c>
      <c r="V686" s="1">
        <v>0.0</v>
      </c>
      <c r="W686" s="1" t="s">
        <v>26</v>
      </c>
    </row>
    <row r="687" ht="15.75" customHeight="1">
      <c r="A687" s="1" t="s">
        <v>724</v>
      </c>
      <c r="B687" s="1" t="s">
        <v>24</v>
      </c>
      <c r="C687" s="1">
        <v>0.0</v>
      </c>
      <c r="D687" s="1" t="s">
        <v>26</v>
      </c>
      <c r="E687" s="1" t="s">
        <v>26</v>
      </c>
      <c r="F687" s="1">
        <v>1.0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1">
        <v>49.9</v>
      </c>
      <c r="T687" s="1">
        <v>49.9</v>
      </c>
      <c r="U687" s="1">
        <v>0.0</v>
      </c>
      <c r="V687" s="1">
        <v>0.0</v>
      </c>
      <c r="W687" s="1" t="s">
        <v>26</v>
      </c>
    </row>
    <row r="688" ht="15.75" customHeight="1">
      <c r="A688" s="1" t="s">
        <v>725</v>
      </c>
      <c r="B688" s="1" t="s">
        <v>32</v>
      </c>
      <c r="C688" s="1">
        <v>0.0</v>
      </c>
      <c r="D688" s="1" t="s">
        <v>26</v>
      </c>
      <c r="E688" s="1" t="s">
        <v>26</v>
      </c>
      <c r="F688" s="1">
        <v>51.0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1">
        <v>24.6</v>
      </c>
      <c r="T688" s="1">
        <v>1266.4</v>
      </c>
      <c r="U688" s="1">
        <v>0.0</v>
      </c>
      <c r="V688" s="1">
        <v>0.0</v>
      </c>
      <c r="W688" s="1" t="s">
        <v>26</v>
      </c>
    </row>
    <row r="689" ht="15.75" customHeight="1">
      <c r="A689" s="1" t="s">
        <v>726</v>
      </c>
      <c r="B689" s="1" t="s">
        <v>32</v>
      </c>
      <c r="C689" s="1">
        <v>1.0</v>
      </c>
      <c r="D689" s="1" t="s">
        <v>26</v>
      </c>
      <c r="E689" s="1" t="s">
        <v>26</v>
      </c>
      <c r="F689" s="1">
        <v>2.0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1">
        <v>49.25</v>
      </c>
      <c r="T689" s="1">
        <v>91.1</v>
      </c>
      <c r="U689" s="1">
        <v>2.0</v>
      </c>
      <c r="V689" s="1">
        <v>0.0</v>
      </c>
      <c r="W689" s="1" t="s">
        <v>25</v>
      </c>
    </row>
    <row r="690" ht="15.75" customHeight="1">
      <c r="A690" s="1" t="s">
        <v>727</v>
      </c>
      <c r="B690" s="1" t="s">
        <v>32</v>
      </c>
      <c r="C690" s="1">
        <v>0.0</v>
      </c>
      <c r="D690" s="1" t="s">
        <v>26</v>
      </c>
      <c r="E690" s="1" t="s">
        <v>26</v>
      </c>
      <c r="F690" s="1">
        <v>52.0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1">
        <v>30.1</v>
      </c>
      <c r="T690" s="1">
        <v>1623.4</v>
      </c>
      <c r="U690" s="1">
        <v>0.0</v>
      </c>
      <c r="V690" s="1">
        <v>0.0</v>
      </c>
      <c r="W690" s="1" t="s">
        <v>26</v>
      </c>
    </row>
    <row r="691" ht="15.75" customHeight="1">
      <c r="A691" s="1" t="s">
        <v>728</v>
      </c>
      <c r="B691" s="1" t="s">
        <v>32</v>
      </c>
      <c r="C691" s="1">
        <v>0.0</v>
      </c>
      <c r="D691" s="1" t="s">
        <v>26</v>
      </c>
      <c r="E691" s="1" t="s">
        <v>26</v>
      </c>
      <c r="F691" s="1">
        <v>51.0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1">
        <v>83.4</v>
      </c>
      <c r="T691" s="1">
        <v>4149.45</v>
      </c>
      <c r="U691" s="1">
        <v>3.0</v>
      </c>
      <c r="V691" s="1">
        <v>0.0</v>
      </c>
      <c r="W691" s="1" t="s">
        <v>26</v>
      </c>
    </row>
    <row r="692" ht="15.75" customHeight="1">
      <c r="A692" s="1" t="s">
        <v>729</v>
      </c>
      <c r="B692" s="1" t="s">
        <v>32</v>
      </c>
      <c r="C692" s="1">
        <v>0.0</v>
      </c>
      <c r="D692" s="1" t="s">
        <v>26</v>
      </c>
      <c r="E692" s="1" t="s">
        <v>26</v>
      </c>
      <c r="F692" s="1">
        <v>1.0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1">
        <v>20.45</v>
      </c>
      <c r="T692" s="1">
        <v>20.45</v>
      </c>
      <c r="U692" s="1">
        <v>0.0</v>
      </c>
      <c r="V692" s="1">
        <v>0.0</v>
      </c>
      <c r="W692" s="1" t="s">
        <v>26</v>
      </c>
    </row>
    <row r="693" ht="15.75" customHeight="1">
      <c r="A693" s="1" t="s">
        <v>730</v>
      </c>
      <c r="B693" s="1" t="s">
        <v>32</v>
      </c>
      <c r="C693" s="1">
        <v>0.0</v>
      </c>
      <c r="D693" s="1" t="s">
        <v>25</v>
      </c>
      <c r="E693" s="1" t="s">
        <v>25</v>
      </c>
      <c r="F693" s="1">
        <v>31.0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1">
        <v>75.25</v>
      </c>
      <c r="T693" s="1">
        <v>2344.5</v>
      </c>
      <c r="U693" s="1">
        <v>5.0</v>
      </c>
      <c r="V693" s="1">
        <v>0.0</v>
      </c>
      <c r="W693" s="1" t="s">
        <v>26</v>
      </c>
    </row>
    <row r="694" ht="15.75" customHeight="1">
      <c r="A694" s="1" t="s">
        <v>731</v>
      </c>
      <c r="B694" s="1" t="s">
        <v>32</v>
      </c>
      <c r="C694" s="1">
        <v>0.0</v>
      </c>
      <c r="D694" s="1" t="s">
        <v>26</v>
      </c>
      <c r="E694" s="1" t="s">
        <v>25</v>
      </c>
      <c r="F694" s="1">
        <v>47.0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1">
        <v>20.55</v>
      </c>
      <c r="T694" s="1">
        <v>1013.05</v>
      </c>
      <c r="U694" s="1">
        <v>5.0</v>
      </c>
      <c r="V694" s="1">
        <v>4.0</v>
      </c>
      <c r="W694" s="1" t="s">
        <v>26</v>
      </c>
    </row>
    <row r="695" ht="15.75" customHeight="1">
      <c r="A695" s="1" t="s">
        <v>732</v>
      </c>
      <c r="B695" s="1" t="s">
        <v>24</v>
      </c>
      <c r="C695" s="1">
        <v>0.0</v>
      </c>
      <c r="D695" s="1" t="s">
        <v>26</v>
      </c>
      <c r="E695" s="1" t="s">
        <v>26</v>
      </c>
      <c r="F695" s="1">
        <v>3.0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1">
        <v>75.1</v>
      </c>
      <c r="T695" s="1">
        <v>270.7</v>
      </c>
      <c r="U695" s="1">
        <v>0.0</v>
      </c>
      <c r="V695" s="1">
        <v>0.0</v>
      </c>
      <c r="W695" s="1" t="s">
        <v>25</v>
      </c>
    </row>
    <row r="696" ht="15.75" customHeight="1">
      <c r="A696" s="1" t="s">
        <v>733</v>
      </c>
      <c r="B696" s="1" t="s">
        <v>24</v>
      </c>
      <c r="C696" s="1">
        <v>1.0</v>
      </c>
      <c r="D696" s="1" t="s">
        <v>26</v>
      </c>
      <c r="E696" s="1" t="s">
        <v>26</v>
      </c>
      <c r="F696" s="1">
        <v>22.0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1">
        <v>20.05</v>
      </c>
      <c r="T696" s="1">
        <v>417.0</v>
      </c>
      <c r="U696" s="1">
        <v>0.0</v>
      </c>
      <c r="V696" s="1">
        <v>0.0</v>
      </c>
      <c r="W696" s="1" t="s">
        <v>26</v>
      </c>
    </row>
    <row r="697" ht="15.75" customHeight="1">
      <c r="A697" s="1" t="s">
        <v>734</v>
      </c>
      <c r="B697" s="1" t="s">
        <v>24</v>
      </c>
      <c r="C697" s="1">
        <v>0.0</v>
      </c>
      <c r="D697" s="1" t="s">
        <v>25</v>
      </c>
      <c r="E697" s="1" t="s">
        <v>26</v>
      </c>
      <c r="F697" s="1">
        <v>1.0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1">
        <v>20.65</v>
      </c>
      <c r="T697" s="1">
        <v>20.65</v>
      </c>
      <c r="U697" s="1">
        <v>3.0</v>
      </c>
      <c r="V697" s="1">
        <v>0.0</v>
      </c>
      <c r="W697" s="1" t="s">
        <v>26</v>
      </c>
    </row>
    <row r="698" ht="15.75" customHeight="1">
      <c r="A698" s="1" t="s">
        <v>735</v>
      </c>
      <c r="B698" s="1" t="s">
        <v>32</v>
      </c>
      <c r="C698" s="1">
        <v>0.0</v>
      </c>
      <c r="D698" s="1" t="s">
        <v>25</v>
      </c>
      <c r="E698" s="1" t="s">
        <v>26</v>
      </c>
      <c r="F698" s="1">
        <v>72.0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1">
        <v>85.15</v>
      </c>
      <c r="T698" s="1">
        <v>6316.2</v>
      </c>
      <c r="U698" s="1">
        <v>0.0</v>
      </c>
      <c r="V698" s="1">
        <v>0.0</v>
      </c>
      <c r="W698" s="1" t="s">
        <v>26</v>
      </c>
    </row>
    <row r="699" ht="15.75" customHeight="1">
      <c r="A699" s="1" t="s">
        <v>736</v>
      </c>
      <c r="B699" s="1" t="s">
        <v>32</v>
      </c>
      <c r="C699" s="1">
        <v>0.0</v>
      </c>
      <c r="D699" s="1" t="s">
        <v>25</v>
      </c>
      <c r="E699" s="1" t="s">
        <v>25</v>
      </c>
      <c r="F699" s="1">
        <v>3.0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1">
        <v>50.15</v>
      </c>
      <c r="T699" s="1">
        <v>168.15</v>
      </c>
      <c r="U699" s="1">
        <v>0.0</v>
      </c>
      <c r="V699" s="1">
        <v>0.0</v>
      </c>
      <c r="W699" s="1" t="s">
        <v>25</v>
      </c>
    </row>
    <row r="700" ht="15.75" customHeight="1">
      <c r="A700" s="1" t="s">
        <v>737</v>
      </c>
      <c r="B700" s="1" t="s">
        <v>32</v>
      </c>
      <c r="C700" s="1">
        <v>1.0</v>
      </c>
      <c r="D700" s="1" t="s">
        <v>25</v>
      </c>
      <c r="E700" s="1" t="s">
        <v>25</v>
      </c>
      <c r="F700" s="1">
        <v>47.0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1">
        <v>84.95</v>
      </c>
      <c r="T700" s="1">
        <v>4018.05</v>
      </c>
      <c r="U700" s="1">
        <v>4.0</v>
      </c>
      <c r="V700" s="1">
        <v>0.0</v>
      </c>
      <c r="W700" s="1" t="s">
        <v>26</v>
      </c>
    </row>
    <row r="701" ht="15.75" customHeight="1">
      <c r="A701" s="1" t="s">
        <v>738</v>
      </c>
      <c r="B701" s="1" t="s">
        <v>32</v>
      </c>
      <c r="C701" s="1">
        <v>0.0</v>
      </c>
      <c r="D701" s="1" t="s">
        <v>25</v>
      </c>
      <c r="E701" s="1" t="s">
        <v>25</v>
      </c>
      <c r="F701" s="1">
        <v>72.0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1">
        <v>66.5</v>
      </c>
      <c r="T701" s="1">
        <v>4811.6</v>
      </c>
      <c r="U701" s="1">
        <v>0.0</v>
      </c>
      <c r="V701" s="1">
        <v>0.0</v>
      </c>
      <c r="W701" s="1" t="s">
        <v>26</v>
      </c>
    </row>
    <row r="702" ht="15.75" customHeight="1">
      <c r="A702" s="1" t="s">
        <v>739</v>
      </c>
      <c r="B702" s="1" t="s">
        <v>32</v>
      </c>
      <c r="C702" s="1">
        <v>0.0</v>
      </c>
      <c r="D702" s="1" t="s">
        <v>25</v>
      </c>
      <c r="E702" s="1" t="s">
        <v>25</v>
      </c>
      <c r="F702" s="1">
        <v>66.0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1">
        <v>63.3</v>
      </c>
      <c r="T702" s="1">
        <v>4189.7</v>
      </c>
      <c r="U702" s="1">
        <v>0.0</v>
      </c>
      <c r="V702" s="1">
        <v>0.0</v>
      </c>
      <c r="W702" s="1" t="s">
        <v>26</v>
      </c>
    </row>
    <row r="703" ht="15.75" customHeight="1">
      <c r="A703" s="1" t="s">
        <v>740</v>
      </c>
      <c r="B703" s="1" t="s">
        <v>32</v>
      </c>
      <c r="C703" s="1">
        <v>0.0</v>
      </c>
      <c r="D703" s="1" t="s">
        <v>26</v>
      </c>
      <c r="E703" s="1" t="s">
        <v>26</v>
      </c>
      <c r="F703" s="1">
        <v>35.0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1">
        <v>83.15</v>
      </c>
      <c r="T703" s="1">
        <v>2848.45</v>
      </c>
      <c r="U703" s="1">
        <v>0.0</v>
      </c>
      <c r="V703" s="1">
        <v>0.0</v>
      </c>
      <c r="W703" s="1" t="s">
        <v>26</v>
      </c>
    </row>
    <row r="704" ht="15.75" customHeight="1">
      <c r="A704" s="1" t="s">
        <v>741</v>
      </c>
      <c r="B704" s="1" t="s">
        <v>32</v>
      </c>
      <c r="C704" s="1">
        <v>0.0</v>
      </c>
      <c r="D704" s="1" t="s">
        <v>26</v>
      </c>
      <c r="E704" s="1" t="s">
        <v>26</v>
      </c>
      <c r="F704" s="1">
        <v>29.0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1">
        <v>84.9</v>
      </c>
      <c r="T704" s="1">
        <v>2516.2</v>
      </c>
      <c r="U704" s="1">
        <v>0.0</v>
      </c>
      <c r="V704" s="1">
        <v>0.0</v>
      </c>
      <c r="W704" s="1" t="s">
        <v>26</v>
      </c>
    </row>
    <row r="705" ht="15.75" customHeight="1">
      <c r="A705" s="1" t="s">
        <v>742</v>
      </c>
      <c r="B705" s="1" t="s">
        <v>24</v>
      </c>
      <c r="C705" s="1">
        <v>0.0</v>
      </c>
      <c r="D705" s="1" t="s">
        <v>26</v>
      </c>
      <c r="E705" s="1" t="s">
        <v>26</v>
      </c>
      <c r="F705" s="1">
        <v>2.0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1">
        <v>20.55</v>
      </c>
      <c r="T705" s="1">
        <v>33.6</v>
      </c>
      <c r="U705" s="1">
        <v>0.0</v>
      </c>
      <c r="V705" s="1">
        <v>0.0</v>
      </c>
      <c r="W705" s="1" t="s">
        <v>26</v>
      </c>
    </row>
    <row r="706" ht="15.75" customHeight="1">
      <c r="A706" s="1" t="s">
        <v>743</v>
      </c>
      <c r="B706" s="1" t="s">
        <v>32</v>
      </c>
      <c r="C706" s="1">
        <v>0.0</v>
      </c>
      <c r="D706" s="1" t="s">
        <v>26</v>
      </c>
      <c r="E706" s="1" t="s">
        <v>26</v>
      </c>
      <c r="F706" s="1">
        <v>4.0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1">
        <v>49.25</v>
      </c>
      <c r="T706" s="1">
        <v>208.45</v>
      </c>
      <c r="U706" s="1">
        <v>0.0</v>
      </c>
      <c r="V706" s="1">
        <v>0.0</v>
      </c>
      <c r="W706" s="1" t="s">
        <v>26</v>
      </c>
    </row>
    <row r="707" ht="15.75" customHeight="1">
      <c r="A707" s="1" t="s">
        <v>744</v>
      </c>
      <c r="B707" s="1" t="s">
        <v>24</v>
      </c>
      <c r="C707" s="1">
        <v>0.0</v>
      </c>
      <c r="D707" s="1" t="s">
        <v>26</v>
      </c>
      <c r="E707" s="1" t="s">
        <v>26</v>
      </c>
      <c r="F707" s="1">
        <v>25.0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1">
        <v>79.85</v>
      </c>
      <c r="T707" s="1">
        <v>2015.35</v>
      </c>
      <c r="U707" s="1">
        <v>3.0</v>
      </c>
      <c r="V707" s="1">
        <v>2.0</v>
      </c>
      <c r="W707" s="1" t="s">
        <v>25</v>
      </c>
    </row>
    <row r="708" ht="15.75" customHeight="1">
      <c r="A708" s="1" t="s">
        <v>745</v>
      </c>
      <c r="B708" s="1" t="s">
        <v>24</v>
      </c>
      <c r="C708" s="1">
        <v>0.0</v>
      </c>
      <c r="D708" s="1" t="s">
        <v>26</v>
      </c>
      <c r="E708" s="1" t="s">
        <v>26</v>
      </c>
      <c r="F708" s="1">
        <v>65.0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1">
        <v>59.6</v>
      </c>
      <c r="T708" s="1">
        <v>3739.8</v>
      </c>
      <c r="U708" s="1">
        <v>0.0</v>
      </c>
      <c r="V708" s="1">
        <v>2.0</v>
      </c>
      <c r="W708" s="1" t="s">
        <v>26</v>
      </c>
    </row>
    <row r="709" ht="15.75" customHeight="1">
      <c r="A709" s="1" t="s">
        <v>746</v>
      </c>
      <c r="B709" s="1" t="s">
        <v>32</v>
      </c>
      <c r="C709" s="1">
        <v>1.0</v>
      </c>
      <c r="D709" s="1" t="s">
        <v>26</v>
      </c>
      <c r="E709" s="1" t="s">
        <v>26</v>
      </c>
      <c r="F709" s="1">
        <v>27.0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1">
        <v>104.65</v>
      </c>
      <c r="T709" s="1">
        <v>2964.0</v>
      </c>
      <c r="U709" s="1">
        <v>0.0</v>
      </c>
      <c r="V709" s="1">
        <v>0.0</v>
      </c>
      <c r="W709" s="1" t="s">
        <v>26</v>
      </c>
    </row>
    <row r="710" ht="15.75" customHeight="1">
      <c r="A710" s="1" t="s">
        <v>747</v>
      </c>
      <c r="B710" s="1" t="s">
        <v>32</v>
      </c>
      <c r="C710" s="1">
        <v>0.0</v>
      </c>
      <c r="D710" s="1" t="s">
        <v>25</v>
      </c>
      <c r="E710" s="1" t="s">
        <v>26</v>
      </c>
      <c r="F710" s="1">
        <v>29.0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1">
        <v>75.3</v>
      </c>
      <c r="T710" s="1">
        <v>2263.4</v>
      </c>
      <c r="U710" s="1">
        <v>0.0</v>
      </c>
      <c r="V710" s="1">
        <v>0.0</v>
      </c>
      <c r="W710" s="1" t="s">
        <v>26</v>
      </c>
    </row>
    <row r="711" ht="15.75" customHeight="1">
      <c r="A711" s="1" t="s">
        <v>748</v>
      </c>
      <c r="B711" s="1" t="s">
        <v>32</v>
      </c>
      <c r="C711" s="1">
        <v>0.0</v>
      </c>
      <c r="D711" s="1" t="s">
        <v>25</v>
      </c>
      <c r="E711" s="1" t="s">
        <v>25</v>
      </c>
      <c r="F711" s="1">
        <v>29.0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1">
        <v>80.1</v>
      </c>
      <c r="T711" s="1">
        <v>2211.8</v>
      </c>
      <c r="U711" s="1">
        <v>0.0</v>
      </c>
      <c r="V711" s="1">
        <v>0.0</v>
      </c>
      <c r="W711" s="1" t="s">
        <v>26</v>
      </c>
    </row>
    <row r="712" ht="15.75" customHeight="1">
      <c r="A712" s="1" t="s">
        <v>749</v>
      </c>
      <c r="B712" s="1" t="s">
        <v>32</v>
      </c>
      <c r="C712" s="1">
        <v>0.0</v>
      </c>
      <c r="D712" s="1" t="s">
        <v>26</v>
      </c>
      <c r="E712" s="1" t="s">
        <v>26</v>
      </c>
      <c r="F712" s="1">
        <v>1.0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1">
        <v>19.55</v>
      </c>
      <c r="T712" s="1">
        <v>19.55</v>
      </c>
      <c r="U712" s="1">
        <v>0.0</v>
      </c>
      <c r="V712" s="1">
        <v>0.0</v>
      </c>
      <c r="W712" s="1" t="s">
        <v>25</v>
      </c>
    </row>
    <row r="713" ht="15.75" customHeight="1">
      <c r="A713" s="1" t="s">
        <v>750</v>
      </c>
      <c r="B713" s="1" t="s">
        <v>24</v>
      </c>
      <c r="C713" s="1">
        <v>0.0</v>
      </c>
      <c r="D713" s="1" t="s">
        <v>25</v>
      </c>
      <c r="E713" s="1" t="s">
        <v>26</v>
      </c>
      <c r="F713" s="1">
        <v>20.0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1">
        <v>81.0</v>
      </c>
      <c r="T713" s="1">
        <v>1683.7</v>
      </c>
      <c r="U713" s="1">
        <v>0.0</v>
      </c>
      <c r="V713" s="1">
        <v>0.0</v>
      </c>
      <c r="W713" s="1" t="s">
        <v>26</v>
      </c>
    </row>
    <row r="714" ht="15.75" customHeight="1">
      <c r="A714" s="1" t="s">
        <v>751</v>
      </c>
      <c r="B714" s="1" t="s">
        <v>24</v>
      </c>
      <c r="C714" s="1">
        <v>0.0</v>
      </c>
      <c r="D714" s="1" t="s">
        <v>26</v>
      </c>
      <c r="E714" s="1" t="s">
        <v>26</v>
      </c>
      <c r="F714" s="1">
        <v>58.0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1">
        <v>24.7</v>
      </c>
      <c r="T714" s="1">
        <v>1519.0</v>
      </c>
      <c r="U714" s="1">
        <v>0.0</v>
      </c>
      <c r="V714" s="1">
        <v>0.0</v>
      </c>
      <c r="W714" s="1" t="s">
        <v>26</v>
      </c>
    </row>
    <row r="715" ht="15.75" customHeight="1">
      <c r="A715" s="1" t="s">
        <v>752</v>
      </c>
      <c r="B715" s="1" t="s">
        <v>24</v>
      </c>
      <c r="C715" s="1">
        <v>0.0</v>
      </c>
      <c r="D715" s="1" t="s">
        <v>26</v>
      </c>
      <c r="E715" s="1" t="s">
        <v>25</v>
      </c>
      <c r="F715" s="1">
        <v>14.0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1">
        <v>86.0</v>
      </c>
      <c r="T715" s="1">
        <v>1164.05</v>
      </c>
      <c r="U715" s="1">
        <v>0.0</v>
      </c>
      <c r="V715" s="1">
        <v>0.0</v>
      </c>
      <c r="W715" s="1" t="s">
        <v>26</v>
      </c>
    </row>
    <row r="716" ht="15.75" customHeight="1">
      <c r="A716" s="1" t="s">
        <v>753</v>
      </c>
      <c r="B716" s="1" t="s">
        <v>32</v>
      </c>
      <c r="C716" s="1">
        <v>0.0</v>
      </c>
      <c r="D716" s="1" t="s">
        <v>25</v>
      </c>
      <c r="E716" s="1" t="s">
        <v>26</v>
      </c>
      <c r="F716" s="1">
        <v>72.0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1">
        <v>25.4</v>
      </c>
      <c r="T716" s="1">
        <v>1710.9</v>
      </c>
      <c r="U716" s="1">
        <v>0.0</v>
      </c>
      <c r="V716" s="1">
        <v>0.0</v>
      </c>
      <c r="W716" s="1" t="s">
        <v>26</v>
      </c>
    </row>
    <row r="717" ht="15.75" customHeight="1">
      <c r="A717" s="1" t="s">
        <v>754</v>
      </c>
      <c r="B717" s="1" t="s">
        <v>32</v>
      </c>
      <c r="C717" s="1">
        <v>0.0</v>
      </c>
      <c r="D717" s="1" t="s">
        <v>26</v>
      </c>
      <c r="E717" s="1" t="s">
        <v>26</v>
      </c>
      <c r="F717" s="1">
        <v>46.0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1">
        <v>89.15</v>
      </c>
      <c r="T717" s="1">
        <v>4245.55</v>
      </c>
      <c r="U717" s="1">
        <v>0.0</v>
      </c>
      <c r="V717" s="1">
        <v>0.0</v>
      </c>
      <c r="W717" s="1" t="s">
        <v>26</v>
      </c>
    </row>
    <row r="718" ht="15.75" customHeight="1">
      <c r="A718" s="1" t="s">
        <v>755</v>
      </c>
      <c r="B718" s="1" t="s">
        <v>24</v>
      </c>
      <c r="C718" s="1">
        <v>0.0</v>
      </c>
      <c r="D718" s="1" t="s">
        <v>25</v>
      </c>
      <c r="E718" s="1" t="s">
        <v>26</v>
      </c>
      <c r="F718" s="1">
        <v>71.0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1">
        <v>58.25</v>
      </c>
      <c r="T718" s="1">
        <v>4145.9</v>
      </c>
      <c r="U718" s="1">
        <v>4.0</v>
      </c>
      <c r="V718" s="1">
        <v>0.0</v>
      </c>
      <c r="W718" s="1" t="s">
        <v>26</v>
      </c>
    </row>
    <row r="719" ht="15.75" customHeight="1">
      <c r="A719" s="1" t="s">
        <v>756</v>
      </c>
      <c r="B719" s="1" t="s">
        <v>32</v>
      </c>
      <c r="C719" s="1">
        <v>0.0</v>
      </c>
      <c r="D719" s="1" t="s">
        <v>26</v>
      </c>
      <c r="E719" s="1" t="s">
        <v>26</v>
      </c>
      <c r="F719" s="1">
        <v>32.0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1">
        <v>85.65</v>
      </c>
      <c r="T719" s="1">
        <v>2664.3</v>
      </c>
      <c r="U719" s="1">
        <v>0.0</v>
      </c>
      <c r="V719" s="1">
        <v>0.0</v>
      </c>
      <c r="W719" s="1" t="s">
        <v>26</v>
      </c>
    </row>
    <row r="720" ht="15.75" customHeight="1">
      <c r="A720" s="1" t="s">
        <v>757</v>
      </c>
      <c r="B720" s="1" t="s">
        <v>24</v>
      </c>
      <c r="C720" s="1">
        <v>0.0</v>
      </c>
      <c r="D720" s="1" t="s">
        <v>26</v>
      </c>
      <c r="E720" s="1" t="s">
        <v>26</v>
      </c>
      <c r="F720" s="1">
        <v>26.0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1">
        <v>50.35</v>
      </c>
      <c r="T720" s="1">
        <v>1277.5</v>
      </c>
      <c r="U720" s="1">
        <v>0.0</v>
      </c>
      <c r="V720" s="1">
        <v>0.0</v>
      </c>
      <c r="W720" s="1" t="s">
        <v>26</v>
      </c>
    </row>
    <row r="721" ht="15.75" customHeight="1">
      <c r="A721" s="1" t="s">
        <v>758</v>
      </c>
      <c r="B721" s="1" t="s">
        <v>32</v>
      </c>
      <c r="C721" s="1">
        <v>1.0</v>
      </c>
      <c r="D721" s="1" t="s">
        <v>25</v>
      </c>
      <c r="E721" s="1" t="s">
        <v>26</v>
      </c>
      <c r="F721" s="1">
        <v>68.0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1">
        <v>80.35</v>
      </c>
      <c r="T721" s="1">
        <v>5589.3</v>
      </c>
      <c r="U721" s="1">
        <v>0.0</v>
      </c>
      <c r="V721" s="1">
        <v>3.0</v>
      </c>
      <c r="W721" s="1" t="s">
        <v>26</v>
      </c>
    </row>
    <row r="722" ht="15.75" customHeight="1">
      <c r="A722" s="1" t="s">
        <v>759</v>
      </c>
      <c r="B722" s="1" t="s">
        <v>32</v>
      </c>
      <c r="C722" s="1">
        <v>0.0</v>
      </c>
      <c r="D722" s="1" t="s">
        <v>25</v>
      </c>
      <c r="E722" s="1" t="s">
        <v>25</v>
      </c>
      <c r="F722" s="1">
        <v>2.0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1">
        <v>20.2</v>
      </c>
      <c r="T722" s="1">
        <v>34.75</v>
      </c>
      <c r="U722" s="1">
        <v>0.0</v>
      </c>
      <c r="V722" s="1">
        <v>0.0</v>
      </c>
      <c r="W722" s="1" t="s">
        <v>26</v>
      </c>
    </row>
    <row r="723" ht="15.75" customHeight="1">
      <c r="A723" s="1" t="s">
        <v>760</v>
      </c>
      <c r="B723" s="1" t="s">
        <v>32</v>
      </c>
      <c r="C723" s="1">
        <v>0.0</v>
      </c>
      <c r="D723" s="1" t="s">
        <v>25</v>
      </c>
      <c r="E723" s="1" t="s">
        <v>25</v>
      </c>
      <c r="F723" s="1">
        <v>61.0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1">
        <v>20.55</v>
      </c>
      <c r="T723" s="1">
        <v>1305.95</v>
      </c>
      <c r="U723" s="1">
        <v>0.0</v>
      </c>
      <c r="V723" s="1">
        <v>0.0</v>
      </c>
      <c r="W723" s="1" t="s">
        <v>26</v>
      </c>
    </row>
    <row r="724" ht="15.75" customHeight="1">
      <c r="A724" s="1" t="s">
        <v>761</v>
      </c>
      <c r="B724" s="1" t="s">
        <v>24</v>
      </c>
      <c r="C724" s="1">
        <v>0.0</v>
      </c>
      <c r="D724" s="1" t="s">
        <v>25</v>
      </c>
      <c r="E724" s="1" t="s">
        <v>25</v>
      </c>
      <c r="F724" s="1">
        <v>4.0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1">
        <v>85.95</v>
      </c>
      <c r="T724" s="1">
        <v>381.3</v>
      </c>
      <c r="U724" s="1">
        <v>0.0</v>
      </c>
      <c r="V724" s="1">
        <v>0.0</v>
      </c>
      <c r="W724" s="1" t="s">
        <v>25</v>
      </c>
    </row>
    <row r="725" ht="15.75" customHeight="1">
      <c r="A725" s="1" t="s">
        <v>762</v>
      </c>
      <c r="B725" s="1" t="s">
        <v>32</v>
      </c>
      <c r="C725" s="1">
        <v>0.0</v>
      </c>
      <c r="D725" s="1" t="s">
        <v>26</v>
      </c>
      <c r="E725" s="1" t="s">
        <v>26</v>
      </c>
      <c r="F725" s="1">
        <v>3.0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1">
        <v>45.35</v>
      </c>
      <c r="T725" s="1">
        <v>141.5</v>
      </c>
      <c r="U725" s="1">
        <v>0.0</v>
      </c>
      <c r="V725" s="1">
        <v>0.0</v>
      </c>
      <c r="W725" s="1" t="s">
        <v>25</v>
      </c>
    </row>
    <row r="726" ht="15.75" customHeight="1">
      <c r="A726" s="1" t="s">
        <v>763</v>
      </c>
      <c r="B726" s="1" t="s">
        <v>32</v>
      </c>
      <c r="C726" s="1">
        <v>1.0</v>
      </c>
      <c r="D726" s="1" t="s">
        <v>25</v>
      </c>
      <c r="E726" s="1" t="s">
        <v>26</v>
      </c>
      <c r="F726" s="1">
        <v>33.0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1">
        <v>94.5</v>
      </c>
      <c r="T726" s="1">
        <v>3105.55</v>
      </c>
      <c r="U726" s="1">
        <v>1.0</v>
      </c>
      <c r="V726" s="1">
        <v>2.0</v>
      </c>
      <c r="W726" s="1" t="s">
        <v>25</v>
      </c>
    </row>
    <row r="727" ht="15.75" customHeight="1">
      <c r="A727" s="1" t="s">
        <v>764</v>
      </c>
      <c r="B727" s="1" t="s">
        <v>32</v>
      </c>
      <c r="C727" s="1">
        <v>1.0</v>
      </c>
      <c r="D727" s="1" t="s">
        <v>25</v>
      </c>
      <c r="E727" s="1" t="s">
        <v>26</v>
      </c>
      <c r="F727" s="1">
        <v>9.0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1">
        <v>21.25</v>
      </c>
      <c r="T727" s="1">
        <v>204.55</v>
      </c>
      <c r="U727" s="1">
        <v>3.0</v>
      </c>
      <c r="V727" s="1">
        <v>0.0</v>
      </c>
      <c r="W727" s="1" t="s">
        <v>26</v>
      </c>
    </row>
    <row r="728" ht="15.75" customHeight="1">
      <c r="A728" s="1" t="s">
        <v>765</v>
      </c>
      <c r="B728" s="1" t="s">
        <v>24</v>
      </c>
      <c r="C728" s="1">
        <v>0.0</v>
      </c>
      <c r="D728" s="1" t="s">
        <v>26</v>
      </c>
      <c r="E728" s="1" t="s">
        <v>26</v>
      </c>
      <c r="F728" s="1">
        <v>22.0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1">
        <v>26.25</v>
      </c>
      <c r="T728" s="1">
        <v>605.9</v>
      </c>
      <c r="U728" s="1">
        <v>0.0</v>
      </c>
      <c r="V728" s="1">
        <v>0.0</v>
      </c>
      <c r="W728" s="1" t="s">
        <v>26</v>
      </c>
    </row>
    <row r="729" ht="15.75" customHeight="1">
      <c r="A729" s="1" t="s">
        <v>766</v>
      </c>
      <c r="B729" s="1" t="s">
        <v>24</v>
      </c>
      <c r="C729" s="1">
        <v>0.0</v>
      </c>
      <c r="D729" s="1" t="s">
        <v>25</v>
      </c>
      <c r="E729" s="1" t="s">
        <v>25</v>
      </c>
      <c r="F729" s="1">
        <v>5.0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1">
        <v>80.85</v>
      </c>
      <c r="T729" s="1">
        <v>356.1</v>
      </c>
      <c r="U729" s="1">
        <v>0.0</v>
      </c>
      <c r="V729" s="1">
        <v>0.0</v>
      </c>
      <c r="W729" s="1" t="s">
        <v>26</v>
      </c>
    </row>
    <row r="730" ht="15.75" customHeight="1">
      <c r="A730" s="1" t="s">
        <v>767</v>
      </c>
      <c r="B730" s="1" t="s">
        <v>24</v>
      </c>
      <c r="C730" s="1">
        <v>1.0</v>
      </c>
      <c r="D730" s="1" t="s">
        <v>26</v>
      </c>
      <c r="E730" s="1" t="s">
        <v>26</v>
      </c>
      <c r="F730" s="1">
        <v>30.0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1">
        <v>91.7</v>
      </c>
      <c r="T730" s="1">
        <v>2758.15</v>
      </c>
      <c r="U730" s="1">
        <v>0.0</v>
      </c>
      <c r="V730" s="1">
        <v>3.0</v>
      </c>
      <c r="W730" s="1" t="s">
        <v>25</v>
      </c>
    </row>
    <row r="731" ht="15.75" customHeight="1">
      <c r="A731" s="1" t="s">
        <v>768</v>
      </c>
      <c r="B731" s="1" t="s">
        <v>32</v>
      </c>
      <c r="C731" s="1">
        <v>0.0</v>
      </c>
      <c r="D731" s="1" t="s">
        <v>26</v>
      </c>
      <c r="E731" s="1" t="s">
        <v>26</v>
      </c>
      <c r="F731" s="1">
        <v>65.0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1">
        <v>74.2</v>
      </c>
      <c r="T731" s="1">
        <v>4805.65</v>
      </c>
      <c r="U731" s="1">
        <v>0.0</v>
      </c>
      <c r="V731" s="1">
        <v>0.0</v>
      </c>
      <c r="W731" s="1" t="s">
        <v>26</v>
      </c>
    </row>
    <row r="732" ht="15.75" customHeight="1">
      <c r="A732" s="1" t="s">
        <v>769</v>
      </c>
      <c r="B732" s="1" t="s">
        <v>24</v>
      </c>
      <c r="C732" s="1">
        <v>0.0</v>
      </c>
      <c r="D732" s="1" t="s">
        <v>26</v>
      </c>
      <c r="E732" s="1" t="s">
        <v>26</v>
      </c>
      <c r="F732" s="1">
        <v>45.0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1">
        <v>87.25</v>
      </c>
      <c r="T732" s="1">
        <v>3941.7</v>
      </c>
      <c r="U732" s="1">
        <v>0.0</v>
      </c>
      <c r="V732" s="1">
        <v>0.0</v>
      </c>
      <c r="W732" s="1" t="s">
        <v>25</v>
      </c>
    </row>
    <row r="733" ht="15.75" customHeight="1">
      <c r="A733" s="1" t="s">
        <v>770</v>
      </c>
      <c r="B733" s="1" t="s">
        <v>32</v>
      </c>
      <c r="C733" s="1">
        <v>0.0</v>
      </c>
      <c r="D733" s="1" t="s">
        <v>26</v>
      </c>
      <c r="E733" s="1" t="s">
        <v>26</v>
      </c>
      <c r="F733" s="1">
        <v>5.0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1">
        <v>20.35</v>
      </c>
      <c r="T733" s="1">
        <v>92.75</v>
      </c>
      <c r="U733" s="1">
        <v>0.0</v>
      </c>
      <c r="V733" s="1">
        <v>0.0</v>
      </c>
      <c r="W733" s="1" t="s">
        <v>26</v>
      </c>
    </row>
    <row r="734" ht="15.75" customHeight="1">
      <c r="A734" s="1" t="s">
        <v>771</v>
      </c>
      <c r="B734" s="1" t="s">
        <v>32</v>
      </c>
      <c r="C734" s="1">
        <v>0.0</v>
      </c>
      <c r="D734" s="1" t="s">
        <v>25</v>
      </c>
      <c r="E734" s="1" t="s">
        <v>25</v>
      </c>
      <c r="F734" s="1">
        <v>25.0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1">
        <v>75.5</v>
      </c>
      <c r="T734" s="1">
        <v>1901.05</v>
      </c>
      <c r="U734" s="1">
        <v>0.0</v>
      </c>
      <c r="V734" s="1">
        <v>0.0</v>
      </c>
      <c r="W734" s="1" t="s">
        <v>26</v>
      </c>
    </row>
    <row r="735" ht="15.75" customHeight="1">
      <c r="A735" s="1" t="s">
        <v>772</v>
      </c>
      <c r="B735" s="1" t="s">
        <v>24</v>
      </c>
      <c r="C735" s="1">
        <v>0.0</v>
      </c>
      <c r="D735" s="1" t="s">
        <v>25</v>
      </c>
      <c r="E735" s="1" t="s">
        <v>25</v>
      </c>
      <c r="F735" s="1">
        <v>72.0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1">
        <v>79.05</v>
      </c>
      <c r="T735" s="1">
        <v>5730.7</v>
      </c>
      <c r="U735" s="1">
        <v>0.0</v>
      </c>
      <c r="V735" s="1">
        <v>0.0</v>
      </c>
      <c r="W735" s="1" t="s">
        <v>26</v>
      </c>
    </row>
    <row r="736" ht="15.75" customHeight="1">
      <c r="A736" s="1" t="s">
        <v>773</v>
      </c>
      <c r="B736" s="1" t="s">
        <v>24</v>
      </c>
      <c r="C736" s="1">
        <v>0.0</v>
      </c>
      <c r="D736" s="1" t="s">
        <v>25</v>
      </c>
      <c r="E736" s="1" t="s">
        <v>26</v>
      </c>
      <c r="F736" s="1">
        <v>27.0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1">
        <v>90.15</v>
      </c>
      <c r="T736" s="1">
        <v>2423.4</v>
      </c>
      <c r="U736" s="1">
        <v>0.0</v>
      </c>
      <c r="V736" s="1">
        <v>0.0</v>
      </c>
      <c r="W736" s="1" t="s">
        <v>26</v>
      </c>
    </row>
    <row r="737" ht="15.75" customHeight="1">
      <c r="A737" s="1" t="s">
        <v>774</v>
      </c>
      <c r="B737" s="1" t="s">
        <v>32</v>
      </c>
      <c r="C737" s="1">
        <v>0.0</v>
      </c>
      <c r="D737" s="1" t="s">
        <v>25</v>
      </c>
      <c r="E737" s="1" t="s">
        <v>25</v>
      </c>
      <c r="F737" s="1">
        <v>32.0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1">
        <v>50.6</v>
      </c>
      <c r="T737" s="1">
        <v>1653.45</v>
      </c>
      <c r="U737" s="1">
        <v>0.0</v>
      </c>
      <c r="V737" s="1">
        <v>0.0</v>
      </c>
      <c r="W737" s="1" t="s">
        <v>26</v>
      </c>
    </row>
    <row r="738" ht="15.75" customHeight="1">
      <c r="A738" s="1" t="s">
        <v>775</v>
      </c>
      <c r="B738" s="1" t="s">
        <v>24</v>
      </c>
      <c r="C738" s="1">
        <v>0.0</v>
      </c>
      <c r="D738" s="1" t="s">
        <v>26</v>
      </c>
      <c r="E738" s="1" t="s">
        <v>26</v>
      </c>
      <c r="F738" s="1">
        <v>30.0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1">
        <v>110.45</v>
      </c>
      <c r="T738" s="1">
        <v>3327.05</v>
      </c>
      <c r="U738" s="1">
        <v>0.0</v>
      </c>
      <c r="V738" s="1">
        <v>0.0</v>
      </c>
      <c r="W738" s="1" t="s">
        <v>26</v>
      </c>
    </row>
    <row r="739" ht="15.75" customHeight="1">
      <c r="A739" s="1" t="s">
        <v>776</v>
      </c>
      <c r="B739" s="1" t="s">
        <v>32</v>
      </c>
      <c r="C739" s="1">
        <v>0.0</v>
      </c>
      <c r="D739" s="1" t="s">
        <v>25</v>
      </c>
      <c r="E739" s="1" t="s">
        <v>26</v>
      </c>
      <c r="F739" s="1">
        <v>70.0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1">
        <v>101.0</v>
      </c>
      <c r="T739" s="1">
        <v>7085.5</v>
      </c>
      <c r="U739" s="1">
        <v>0.0</v>
      </c>
      <c r="V739" s="1">
        <v>4.0</v>
      </c>
      <c r="W739" s="1" t="s">
        <v>26</v>
      </c>
    </row>
    <row r="740" ht="15.75" customHeight="1">
      <c r="A740" s="1" t="s">
        <v>777</v>
      </c>
      <c r="B740" s="1" t="s">
        <v>32</v>
      </c>
      <c r="C740" s="1">
        <v>1.0</v>
      </c>
      <c r="D740" s="1" t="s">
        <v>26</v>
      </c>
      <c r="E740" s="1" t="s">
        <v>26</v>
      </c>
      <c r="F740" s="1">
        <v>42.0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1">
        <v>79.35</v>
      </c>
      <c r="T740" s="1">
        <v>3344.1</v>
      </c>
      <c r="U740" s="1">
        <v>5.0</v>
      </c>
      <c r="V740" s="1">
        <v>0.0</v>
      </c>
      <c r="W740" s="1" t="s">
        <v>26</v>
      </c>
    </row>
    <row r="741" ht="15.75" customHeight="1">
      <c r="A741" s="1" t="s">
        <v>778</v>
      </c>
      <c r="B741" s="1" t="s">
        <v>24</v>
      </c>
      <c r="C741" s="1">
        <v>1.0</v>
      </c>
      <c r="D741" s="1" t="s">
        <v>25</v>
      </c>
      <c r="E741" s="1" t="s">
        <v>26</v>
      </c>
      <c r="F741" s="1">
        <v>72.0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1">
        <v>89.85</v>
      </c>
      <c r="T741" s="1">
        <v>6697.35</v>
      </c>
      <c r="U741" s="1">
        <v>0.0</v>
      </c>
      <c r="V741" s="1">
        <v>0.0</v>
      </c>
      <c r="W741" s="1" t="s">
        <v>26</v>
      </c>
    </row>
    <row r="742" ht="15.75" customHeight="1">
      <c r="A742" s="1" t="s">
        <v>779</v>
      </c>
      <c r="B742" s="1" t="s">
        <v>24</v>
      </c>
      <c r="C742" s="1">
        <v>0.0</v>
      </c>
      <c r="D742" s="1" t="s">
        <v>26</v>
      </c>
      <c r="E742" s="1" t="s">
        <v>26</v>
      </c>
      <c r="F742" s="1">
        <v>47.0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1">
        <v>65.0</v>
      </c>
      <c r="T742" s="1">
        <v>2879.9</v>
      </c>
      <c r="U742" s="1">
        <v>0.0</v>
      </c>
      <c r="V742" s="1">
        <v>0.0</v>
      </c>
      <c r="W742" s="1" t="s">
        <v>26</v>
      </c>
    </row>
    <row r="743" ht="15.75" customHeight="1">
      <c r="A743" s="1" t="s">
        <v>780</v>
      </c>
      <c r="B743" s="1" t="s">
        <v>24</v>
      </c>
      <c r="C743" s="1">
        <v>0.0</v>
      </c>
      <c r="D743" s="1" t="s">
        <v>26</v>
      </c>
      <c r="E743" s="1" t="s">
        <v>26</v>
      </c>
      <c r="F743" s="1">
        <v>2.0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1">
        <v>80.45</v>
      </c>
      <c r="T743" s="1">
        <v>137.1</v>
      </c>
      <c r="U743" s="1">
        <v>0.0</v>
      </c>
      <c r="V743" s="1">
        <v>0.0</v>
      </c>
      <c r="W743" s="1" t="s">
        <v>26</v>
      </c>
    </row>
    <row r="744" ht="15.75" customHeight="1">
      <c r="A744" s="1" t="s">
        <v>781</v>
      </c>
      <c r="B744" s="1" t="s">
        <v>32</v>
      </c>
      <c r="C744" s="1">
        <v>0.0</v>
      </c>
      <c r="D744" s="1" t="s">
        <v>26</v>
      </c>
      <c r="E744" s="1" t="s">
        <v>26</v>
      </c>
      <c r="F744" s="1">
        <v>10.0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1">
        <v>98.55</v>
      </c>
      <c r="T744" s="1">
        <v>1008.55</v>
      </c>
      <c r="U744" s="1">
        <v>0.0</v>
      </c>
      <c r="V744" s="1">
        <v>0.0</v>
      </c>
      <c r="W744" s="1" t="s">
        <v>25</v>
      </c>
    </row>
    <row r="745" ht="15.75" customHeight="1">
      <c r="A745" s="1" t="s">
        <v>782</v>
      </c>
      <c r="B745" s="1" t="s">
        <v>24</v>
      </c>
      <c r="C745" s="1">
        <v>0.0</v>
      </c>
      <c r="D745" s="1" t="s">
        <v>25</v>
      </c>
      <c r="E745" s="1" t="s">
        <v>25</v>
      </c>
      <c r="F745" s="1">
        <v>61.0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1">
        <v>24.1</v>
      </c>
      <c r="T745" s="1">
        <v>1551.6</v>
      </c>
      <c r="U745" s="1">
        <v>0.0</v>
      </c>
      <c r="V745" s="1">
        <v>0.0</v>
      </c>
      <c r="W745" s="1" t="s">
        <v>26</v>
      </c>
    </row>
    <row r="746" ht="15.75" customHeight="1">
      <c r="A746" s="1" t="s">
        <v>783</v>
      </c>
      <c r="B746" s="1" t="s">
        <v>24</v>
      </c>
      <c r="C746" s="1">
        <v>0.0</v>
      </c>
      <c r="D746" s="1" t="s">
        <v>26</v>
      </c>
      <c r="E746" s="1" t="s">
        <v>26</v>
      </c>
      <c r="F746" s="1">
        <v>5.0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1">
        <v>44.05</v>
      </c>
      <c r="T746" s="1">
        <v>202.15</v>
      </c>
      <c r="U746" s="1">
        <v>0.0</v>
      </c>
      <c r="V746" s="1">
        <v>0.0</v>
      </c>
      <c r="W746" s="1" t="s">
        <v>26</v>
      </c>
    </row>
    <row r="747" ht="15.75" customHeight="1">
      <c r="A747" s="1" t="s">
        <v>784</v>
      </c>
      <c r="B747" s="1" t="s">
        <v>24</v>
      </c>
      <c r="C747" s="1">
        <v>1.0</v>
      </c>
      <c r="D747" s="1" t="s">
        <v>25</v>
      </c>
      <c r="E747" s="1" t="s">
        <v>26</v>
      </c>
      <c r="F747" s="1">
        <v>72.0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1">
        <v>110.8</v>
      </c>
      <c r="T747" s="1">
        <v>7882.25</v>
      </c>
      <c r="U747" s="1">
        <v>3.0</v>
      </c>
      <c r="V747" s="1">
        <v>0.0</v>
      </c>
      <c r="W747" s="1" t="s">
        <v>26</v>
      </c>
    </row>
    <row r="748" ht="15.75" customHeight="1">
      <c r="A748" s="1" t="s">
        <v>785</v>
      </c>
      <c r="B748" s="1" t="s">
        <v>32</v>
      </c>
      <c r="C748" s="1">
        <v>1.0</v>
      </c>
      <c r="D748" s="1" t="s">
        <v>25</v>
      </c>
      <c r="E748" s="1" t="s">
        <v>25</v>
      </c>
      <c r="F748" s="1">
        <v>72.0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1">
        <v>114.95</v>
      </c>
      <c r="T748" s="1">
        <v>8196.4</v>
      </c>
      <c r="U748" s="1">
        <v>0.0</v>
      </c>
      <c r="V748" s="1">
        <v>0.0</v>
      </c>
      <c r="W748" s="1" t="s">
        <v>26</v>
      </c>
    </row>
    <row r="749" ht="15.75" customHeight="1">
      <c r="A749" s="1" t="s">
        <v>786</v>
      </c>
      <c r="B749" s="1" t="s">
        <v>24</v>
      </c>
      <c r="C749" s="1">
        <v>1.0</v>
      </c>
      <c r="D749" s="1" t="s">
        <v>26</v>
      </c>
      <c r="E749" s="1" t="s">
        <v>26</v>
      </c>
      <c r="F749" s="1">
        <v>3.0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1">
        <v>75.05</v>
      </c>
      <c r="T749" s="1">
        <v>202.9</v>
      </c>
      <c r="U749" s="1">
        <v>0.0</v>
      </c>
      <c r="V749" s="1">
        <v>0.0</v>
      </c>
      <c r="W749" s="1" t="s">
        <v>26</v>
      </c>
    </row>
    <row r="750" ht="15.75" customHeight="1">
      <c r="A750" s="1" t="s">
        <v>787</v>
      </c>
      <c r="B750" s="1" t="s">
        <v>32</v>
      </c>
      <c r="C750" s="1">
        <v>0.0</v>
      </c>
      <c r="D750" s="1" t="s">
        <v>25</v>
      </c>
      <c r="E750" s="1" t="s">
        <v>26</v>
      </c>
      <c r="F750" s="1">
        <v>48.0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1">
        <v>19.25</v>
      </c>
      <c r="T750" s="1">
        <v>855.1</v>
      </c>
      <c r="U750" s="1">
        <v>5.0</v>
      </c>
      <c r="V750" s="1">
        <v>0.0</v>
      </c>
      <c r="W750" s="1" t="s">
        <v>26</v>
      </c>
    </row>
    <row r="751" ht="15.75" customHeight="1">
      <c r="A751" s="1" t="s">
        <v>788</v>
      </c>
      <c r="B751" s="1" t="s">
        <v>24</v>
      </c>
      <c r="C751" s="1">
        <v>0.0</v>
      </c>
      <c r="D751" s="1" t="s">
        <v>26</v>
      </c>
      <c r="E751" s="1" t="s">
        <v>26</v>
      </c>
      <c r="F751" s="1">
        <v>63.0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1">
        <v>90.05</v>
      </c>
      <c r="T751" s="1">
        <v>5817.0</v>
      </c>
      <c r="U751" s="1">
        <v>5.0</v>
      </c>
      <c r="V751" s="1">
        <v>0.0</v>
      </c>
      <c r="W751" s="1" t="s">
        <v>26</v>
      </c>
    </row>
    <row r="752" ht="15.75" customHeight="1">
      <c r="A752" s="1" t="s">
        <v>789</v>
      </c>
      <c r="B752" s="1" t="s">
        <v>24</v>
      </c>
      <c r="C752" s="1">
        <v>0.0</v>
      </c>
      <c r="D752" s="1" t="s">
        <v>26</v>
      </c>
      <c r="E752" s="1" t="s">
        <v>26</v>
      </c>
      <c r="F752" s="1">
        <v>27.0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1">
        <v>56.7</v>
      </c>
      <c r="T752" s="1">
        <v>1652.95</v>
      </c>
      <c r="U752" s="1">
        <v>0.0</v>
      </c>
      <c r="V752" s="1">
        <v>0.0</v>
      </c>
      <c r="W752" s="1" t="s">
        <v>26</v>
      </c>
    </row>
    <row r="753" ht="15.75" customHeight="1">
      <c r="A753" s="1" t="s">
        <v>790</v>
      </c>
      <c r="B753" s="1" t="s">
        <v>32</v>
      </c>
      <c r="C753" s="1">
        <v>0.0</v>
      </c>
      <c r="D753" s="1" t="s">
        <v>25</v>
      </c>
      <c r="E753" s="1" t="s">
        <v>25</v>
      </c>
      <c r="F753" s="1">
        <v>70.0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1">
        <v>80.15</v>
      </c>
      <c r="T753" s="1">
        <v>5600.15</v>
      </c>
      <c r="U753" s="1">
        <v>0.0</v>
      </c>
      <c r="V753" s="1">
        <v>0.0</v>
      </c>
      <c r="W753" s="1" t="s">
        <v>26</v>
      </c>
    </row>
    <row r="754" ht="15.75" customHeight="1">
      <c r="A754" s="1" t="s">
        <v>791</v>
      </c>
      <c r="B754" s="1" t="s">
        <v>32</v>
      </c>
      <c r="C754" s="1">
        <v>0.0</v>
      </c>
      <c r="D754" s="1" t="s">
        <v>25</v>
      </c>
      <c r="E754" s="1" t="s">
        <v>25</v>
      </c>
      <c r="F754" s="1">
        <v>7.0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1">
        <v>71.35</v>
      </c>
      <c r="T754" s="1">
        <v>515.75</v>
      </c>
      <c r="U754" s="1">
        <v>0.0</v>
      </c>
      <c r="V754" s="1">
        <v>0.0</v>
      </c>
      <c r="W754" s="1" t="s">
        <v>26</v>
      </c>
    </row>
    <row r="755" ht="15.75" customHeight="1">
      <c r="A755" s="1" t="s">
        <v>792</v>
      </c>
      <c r="B755" s="1" t="s">
        <v>32</v>
      </c>
      <c r="C755" s="1">
        <v>0.0</v>
      </c>
      <c r="D755" s="1" t="s">
        <v>26</v>
      </c>
      <c r="E755" s="1" t="s">
        <v>25</v>
      </c>
      <c r="F755" s="1">
        <v>0.0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1">
        <v>20.25</v>
      </c>
      <c r="T755" s="1" t="s">
        <v>527</v>
      </c>
      <c r="U755" s="1">
        <v>5.0</v>
      </c>
      <c r="V755" s="1">
        <v>0.0</v>
      </c>
      <c r="W755" s="1" t="s">
        <v>26</v>
      </c>
    </row>
    <row r="756" ht="15.75" customHeight="1">
      <c r="A756" s="1" t="s">
        <v>793</v>
      </c>
      <c r="B756" s="1" t="s">
        <v>24</v>
      </c>
      <c r="C756" s="1">
        <v>0.0</v>
      </c>
      <c r="D756" s="1" t="s">
        <v>25</v>
      </c>
      <c r="E756" s="1" t="s">
        <v>26</v>
      </c>
      <c r="F756" s="1">
        <v>2.0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1">
        <v>90.35</v>
      </c>
      <c r="T756" s="1">
        <v>190.5</v>
      </c>
      <c r="U756" s="1">
        <v>5.0</v>
      </c>
      <c r="V756" s="1">
        <v>0.0</v>
      </c>
      <c r="W756" s="1" t="s">
        <v>26</v>
      </c>
    </row>
    <row r="757" ht="15.75" customHeight="1">
      <c r="A757" s="1" t="s">
        <v>794</v>
      </c>
      <c r="B757" s="1" t="s">
        <v>32</v>
      </c>
      <c r="C757" s="1">
        <v>1.0</v>
      </c>
      <c r="D757" s="1" t="s">
        <v>26</v>
      </c>
      <c r="E757" s="1" t="s">
        <v>26</v>
      </c>
      <c r="F757" s="1">
        <v>20.0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1">
        <v>98.55</v>
      </c>
      <c r="T757" s="1">
        <v>1842.8</v>
      </c>
      <c r="U757" s="1">
        <v>0.0</v>
      </c>
      <c r="V757" s="1">
        <v>3.0</v>
      </c>
      <c r="W757" s="1" t="s">
        <v>25</v>
      </c>
    </row>
    <row r="758" ht="15.75" customHeight="1">
      <c r="A758" s="1" t="s">
        <v>795</v>
      </c>
      <c r="B758" s="1" t="s">
        <v>32</v>
      </c>
      <c r="C758" s="1">
        <v>0.0</v>
      </c>
      <c r="D758" s="1" t="s">
        <v>26</v>
      </c>
      <c r="E758" s="1" t="s">
        <v>26</v>
      </c>
      <c r="F758" s="1">
        <v>66.0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1">
        <v>19.7</v>
      </c>
      <c r="T758" s="1">
        <v>1253.8</v>
      </c>
      <c r="U758" s="1">
        <v>0.0</v>
      </c>
      <c r="V758" s="1">
        <v>0.0</v>
      </c>
      <c r="W758" s="1" t="s">
        <v>26</v>
      </c>
    </row>
    <row r="759" ht="15.75" customHeight="1">
      <c r="A759" s="1" t="s">
        <v>796</v>
      </c>
      <c r="B759" s="1" t="s">
        <v>24</v>
      </c>
      <c r="C759" s="1">
        <v>0.0</v>
      </c>
      <c r="D759" s="1" t="s">
        <v>26</v>
      </c>
      <c r="E759" s="1" t="s">
        <v>26</v>
      </c>
      <c r="F759" s="1">
        <v>3.0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1">
        <v>19.85</v>
      </c>
      <c r="T759" s="1">
        <v>57.2</v>
      </c>
      <c r="U759" s="1">
        <v>0.0</v>
      </c>
      <c r="V759" s="1">
        <v>0.0</v>
      </c>
      <c r="W759" s="1" t="s">
        <v>26</v>
      </c>
    </row>
    <row r="760" ht="15.75" customHeight="1">
      <c r="A760" s="1" t="s">
        <v>797</v>
      </c>
      <c r="B760" s="1" t="s">
        <v>24</v>
      </c>
      <c r="C760" s="1">
        <v>0.0</v>
      </c>
      <c r="D760" s="1" t="s">
        <v>26</v>
      </c>
      <c r="E760" s="1" t="s">
        <v>25</v>
      </c>
      <c r="F760" s="1">
        <v>15.0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1">
        <v>85.9</v>
      </c>
      <c r="T760" s="1">
        <v>1269.55</v>
      </c>
      <c r="U760" s="1">
        <v>0.0</v>
      </c>
      <c r="V760" s="1">
        <v>1.0</v>
      </c>
      <c r="W760" s="1" t="s">
        <v>25</v>
      </c>
    </row>
    <row r="761" ht="15.75" customHeight="1">
      <c r="A761" s="1" t="s">
        <v>798</v>
      </c>
      <c r="B761" s="1" t="s">
        <v>24</v>
      </c>
      <c r="C761" s="1">
        <v>0.0</v>
      </c>
      <c r="D761" s="1" t="s">
        <v>25</v>
      </c>
      <c r="E761" s="1" t="s">
        <v>25</v>
      </c>
      <c r="F761" s="1">
        <v>72.0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1">
        <v>90.35</v>
      </c>
      <c r="T761" s="1">
        <v>6563.4</v>
      </c>
      <c r="U761" s="1">
        <v>5.0</v>
      </c>
      <c r="V761" s="1">
        <v>0.0</v>
      </c>
      <c r="W761" s="1" t="s">
        <v>26</v>
      </c>
    </row>
    <row r="762" ht="15.75" customHeight="1">
      <c r="A762" s="1" t="s">
        <v>799</v>
      </c>
      <c r="B762" s="1" t="s">
        <v>32</v>
      </c>
      <c r="C762" s="1">
        <v>0.0</v>
      </c>
      <c r="D762" s="1" t="s">
        <v>26</v>
      </c>
      <c r="E762" s="1" t="s">
        <v>26</v>
      </c>
      <c r="F762" s="1">
        <v>1.0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1">
        <v>20.8</v>
      </c>
      <c r="T762" s="1">
        <v>20.8</v>
      </c>
      <c r="U762" s="1">
        <v>0.0</v>
      </c>
      <c r="V762" s="1">
        <v>0.0</v>
      </c>
      <c r="W762" s="1" t="s">
        <v>26</v>
      </c>
    </row>
    <row r="763" ht="15.75" customHeight="1">
      <c r="A763" s="1" t="s">
        <v>800</v>
      </c>
      <c r="B763" s="1" t="s">
        <v>24</v>
      </c>
      <c r="C763" s="1">
        <v>0.0</v>
      </c>
      <c r="D763" s="1" t="s">
        <v>26</v>
      </c>
      <c r="E763" s="1" t="s">
        <v>26</v>
      </c>
      <c r="F763" s="1">
        <v>22.0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1">
        <v>89.25</v>
      </c>
      <c r="T763" s="1">
        <v>1907.85</v>
      </c>
      <c r="U763" s="1">
        <v>0.0</v>
      </c>
      <c r="V763" s="1">
        <v>3.0</v>
      </c>
      <c r="W763" s="1" t="s">
        <v>25</v>
      </c>
    </row>
    <row r="764" ht="15.75" customHeight="1">
      <c r="A764" s="1" t="s">
        <v>801</v>
      </c>
      <c r="B764" s="1" t="s">
        <v>32</v>
      </c>
      <c r="C764" s="1">
        <v>0.0</v>
      </c>
      <c r="D764" s="1" t="s">
        <v>25</v>
      </c>
      <c r="E764" s="1" t="s">
        <v>26</v>
      </c>
      <c r="F764" s="1">
        <v>3.0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1">
        <v>70.3</v>
      </c>
      <c r="T764" s="1">
        <v>208.85</v>
      </c>
      <c r="U764" s="1">
        <v>5.0</v>
      </c>
      <c r="V764" s="1">
        <v>0.0</v>
      </c>
      <c r="W764" s="1" t="s">
        <v>25</v>
      </c>
    </row>
    <row r="765" ht="15.75" customHeight="1">
      <c r="A765" s="1" t="s">
        <v>802</v>
      </c>
      <c r="B765" s="1" t="s">
        <v>24</v>
      </c>
      <c r="C765" s="1">
        <v>0.0</v>
      </c>
      <c r="D765" s="1" t="s">
        <v>25</v>
      </c>
      <c r="E765" s="1" t="s">
        <v>25</v>
      </c>
      <c r="F765" s="1">
        <v>72.0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1">
        <v>66.85</v>
      </c>
      <c r="T765" s="1">
        <v>4758.8</v>
      </c>
      <c r="U765" s="1">
        <v>0.0</v>
      </c>
      <c r="V765" s="1">
        <v>0.0</v>
      </c>
      <c r="W765" s="1" t="s">
        <v>26</v>
      </c>
    </row>
    <row r="766" ht="15.75" customHeight="1">
      <c r="A766" s="1" t="s">
        <v>803</v>
      </c>
      <c r="B766" s="1" t="s">
        <v>32</v>
      </c>
      <c r="C766" s="1">
        <v>0.0</v>
      </c>
      <c r="D766" s="1" t="s">
        <v>25</v>
      </c>
      <c r="E766" s="1" t="s">
        <v>25</v>
      </c>
      <c r="F766" s="1">
        <v>65.0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1">
        <v>19.9</v>
      </c>
      <c r="T766" s="1">
        <v>1292.6</v>
      </c>
      <c r="U766" s="1">
        <v>5.0</v>
      </c>
      <c r="V766" s="1">
        <v>0.0</v>
      </c>
      <c r="W766" s="1" t="s">
        <v>26</v>
      </c>
    </row>
    <row r="767" ht="15.75" customHeight="1">
      <c r="A767" s="1" t="s">
        <v>804</v>
      </c>
      <c r="B767" s="1" t="s">
        <v>24</v>
      </c>
      <c r="C767" s="1">
        <v>0.0</v>
      </c>
      <c r="D767" s="1" t="s">
        <v>26</v>
      </c>
      <c r="E767" s="1" t="s">
        <v>26</v>
      </c>
      <c r="F767" s="1">
        <v>11.0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1">
        <v>35.8</v>
      </c>
      <c r="T767" s="1">
        <v>363.15</v>
      </c>
      <c r="U767" s="1">
        <v>0.0</v>
      </c>
      <c r="V767" s="1">
        <v>0.0</v>
      </c>
      <c r="W767" s="1" t="s">
        <v>26</v>
      </c>
    </row>
    <row r="768" ht="15.75" customHeight="1">
      <c r="A768" s="1" t="s">
        <v>805</v>
      </c>
      <c r="B768" s="1" t="s">
        <v>32</v>
      </c>
      <c r="C768" s="1">
        <v>0.0</v>
      </c>
      <c r="D768" s="1" t="s">
        <v>26</v>
      </c>
      <c r="E768" s="1" t="s">
        <v>26</v>
      </c>
      <c r="F768" s="1">
        <v>22.0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1">
        <v>78.85</v>
      </c>
      <c r="T768" s="1">
        <v>1600.25</v>
      </c>
      <c r="U768" s="1">
        <v>0.0</v>
      </c>
      <c r="V768" s="1">
        <v>0.0</v>
      </c>
      <c r="W768" s="1" t="s">
        <v>26</v>
      </c>
    </row>
    <row r="769" ht="15.75" customHeight="1">
      <c r="A769" s="1" t="s">
        <v>806</v>
      </c>
      <c r="B769" s="1" t="s">
        <v>32</v>
      </c>
      <c r="C769" s="1">
        <v>0.0</v>
      </c>
      <c r="D769" s="1" t="s">
        <v>26</v>
      </c>
      <c r="E769" s="1" t="s">
        <v>26</v>
      </c>
      <c r="F769" s="1">
        <v>14.0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1">
        <v>20.4</v>
      </c>
      <c r="T769" s="1">
        <v>275.7</v>
      </c>
      <c r="U769" s="1">
        <v>0.0</v>
      </c>
      <c r="V769" s="1">
        <v>0.0</v>
      </c>
      <c r="W769" s="1" t="s">
        <v>26</v>
      </c>
    </row>
    <row r="770" ht="15.75" customHeight="1">
      <c r="A770" s="1" t="s">
        <v>807</v>
      </c>
      <c r="B770" s="1" t="s">
        <v>32</v>
      </c>
      <c r="C770" s="1">
        <v>0.0</v>
      </c>
      <c r="D770" s="1" t="s">
        <v>26</v>
      </c>
      <c r="E770" s="1" t="s">
        <v>26</v>
      </c>
      <c r="F770" s="1">
        <v>41.0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1">
        <v>74.25</v>
      </c>
      <c r="T770" s="1">
        <v>3089.1</v>
      </c>
      <c r="U770" s="1">
        <v>0.0</v>
      </c>
      <c r="V770" s="1">
        <v>0.0</v>
      </c>
      <c r="W770" s="1" t="s">
        <v>26</v>
      </c>
    </row>
    <row r="771" ht="15.75" customHeight="1">
      <c r="A771" s="1" t="s">
        <v>808</v>
      </c>
      <c r="B771" s="1" t="s">
        <v>32</v>
      </c>
      <c r="C771" s="1">
        <v>0.0</v>
      </c>
      <c r="D771" s="1" t="s">
        <v>25</v>
      </c>
      <c r="E771" s="1" t="s">
        <v>26</v>
      </c>
      <c r="F771" s="1">
        <v>17.0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1">
        <v>64.8</v>
      </c>
      <c r="T771" s="1">
        <v>1175.6</v>
      </c>
      <c r="U771" s="1">
        <v>0.0</v>
      </c>
      <c r="V771" s="1">
        <v>0.0</v>
      </c>
      <c r="W771" s="1" t="s">
        <v>26</v>
      </c>
    </row>
    <row r="772" ht="15.75" customHeight="1">
      <c r="A772" s="1" t="s">
        <v>809</v>
      </c>
      <c r="B772" s="1" t="s">
        <v>32</v>
      </c>
      <c r="C772" s="1">
        <v>0.0</v>
      </c>
      <c r="D772" s="1" t="s">
        <v>26</v>
      </c>
      <c r="E772" s="1" t="s">
        <v>26</v>
      </c>
      <c r="F772" s="1">
        <v>11.0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1">
        <v>20.45</v>
      </c>
      <c r="T772" s="1">
        <v>237.3</v>
      </c>
      <c r="U772" s="1">
        <v>0.0</v>
      </c>
      <c r="V772" s="1">
        <v>0.0</v>
      </c>
      <c r="W772" s="1" t="s">
        <v>26</v>
      </c>
    </row>
    <row r="773" ht="15.75" customHeight="1">
      <c r="A773" s="1" t="s">
        <v>810</v>
      </c>
      <c r="B773" s="1" t="s">
        <v>32</v>
      </c>
      <c r="C773" s="1">
        <v>0.0</v>
      </c>
      <c r="D773" s="1" t="s">
        <v>26</v>
      </c>
      <c r="E773" s="1" t="s">
        <v>26</v>
      </c>
      <c r="F773" s="1">
        <v>15.0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1">
        <v>93.35</v>
      </c>
      <c r="T773" s="1">
        <v>1444.65</v>
      </c>
      <c r="U773" s="1">
        <v>5.0</v>
      </c>
      <c r="V773" s="1">
        <v>1.0</v>
      </c>
      <c r="W773" s="1" t="s">
        <v>25</v>
      </c>
    </row>
    <row r="774" ht="15.75" customHeight="1">
      <c r="A774" s="1" t="s">
        <v>811</v>
      </c>
      <c r="B774" s="1" t="s">
        <v>24</v>
      </c>
      <c r="C774" s="1">
        <v>0.0</v>
      </c>
      <c r="D774" s="1" t="s">
        <v>26</v>
      </c>
      <c r="E774" s="1" t="s">
        <v>26</v>
      </c>
      <c r="F774" s="1">
        <v>1.0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1">
        <v>19.9</v>
      </c>
      <c r="T774" s="1">
        <v>19.9</v>
      </c>
      <c r="U774" s="1">
        <v>0.0</v>
      </c>
      <c r="V774" s="1">
        <v>0.0</v>
      </c>
      <c r="W774" s="1" t="s">
        <v>25</v>
      </c>
    </row>
    <row r="775" ht="15.75" customHeight="1">
      <c r="A775" s="1" t="s">
        <v>812</v>
      </c>
      <c r="B775" s="1" t="s">
        <v>24</v>
      </c>
      <c r="C775" s="1">
        <v>0.0</v>
      </c>
      <c r="D775" s="1" t="s">
        <v>25</v>
      </c>
      <c r="E775" s="1" t="s">
        <v>26</v>
      </c>
      <c r="F775" s="1">
        <v>5.0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1">
        <v>88.9</v>
      </c>
      <c r="T775" s="1">
        <v>454.15</v>
      </c>
      <c r="U775" s="1">
        <v>0.0</v>
      </c>
      <c r="V775" s="1">
        <v>0.0</v>
      </c>
      <c r="W775" s="1" t="s">
        <v>25</v>
      </c>
    </row>
    <row r="776" ht="15.75" customHeight="1">
      <c r="A776" s="1" t="s">
        <v>813</v>
      </c>
      <c r="B776" s="1" t="s">
        <v>32</v>
      </c>
      <c r="C776" s="1">
        <v>0.0</v>
      </c>
      <c r="D776" s="1" t="s">
        <v>25</v>
      </c>
      <c r="E776" s="1" t="s">
        <v>26</v>
      </c>
      <c r="F776" s="1">
        <v>33.0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1">
        <v>95.8</v>
      </c>
      <c r="T776" s="1">
        <v>3036.75</v>
      </c>
      <c r="U776" s="1">
        <v>0.0</v>
      </c>
      <c r="V776" s="1">
        <v>4.0</v>
      </c>
      <c r="W776" s="1" t="s">
        <v>25</v>
      </c>
    </row>
    <row r="777" ht="15.75" customHeight="1">
      <c r="A777" s="1" t="s">
        <v>814</v>
      </c>
      <c r="B777" s="1" t="s">
        <v>24</v>
      </c>
      <c r="C777" s="1">
        <v>0.0</v>
      </c>
      <c r="D777" s="1" t="s">
        <v>25</v>
      </c>
      <c r="E777" s="1" t="s">
        <v>26</v>
      </c>
      <c r="F777" s="1">
        <v>72.0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1">
        <v>110.65</v>
      </c>
      <c r="T777" s="1">
        <v>8065.65</v>
      </c>
      <c r="U777" s="1">
        <v>1.0</v>
      </c>
      <c r="V777" s="1">
        <v>0.0</v>
      </c>
      <c r="W777" s="1" t="s">
        <v>26</v>
      </c>
    </row>
    <row r="778" ht="15.75" customHeight="1">
      <c r="A778" s="1" t="s">
        <v>815</v>
      </c>
      <c r="B778" s="1" t="s">
        <v>24</v>
      </c>
      <c r="C778" s="1">
        <v>0.0</v>
      </c>
      <c r="D778" s="1" t="s">
        <v>25</v>
      </c>
      <c r="E778" s="1" t="s">
        <v>25</v>
      </c>
      <c r="F778" s="1">
        <v>3.0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1">
        <v>40.3</v>
      </c>
      <c r="T778" s="1">
        <v>92.5</v>
      </c>
      <c r="U778" s="1">
        <v>0.0</v>
      </c>
      <c r="V778" s="1">
        <v>0.0</v>
      </c>
      <c r="W778" s="1" t="s">
        <v>26</v>
      </c>
    </row>
    <row r="779" ht="15.75" customHeight="1">
      <c r="A779" s="1" t="s">
        <v>816</v>
      </c>
      <c r="B779" s="1" t="s">
        <v>32</v>
      </c>
      <c r="C779" s="1">
        <v>0.0</v>
      </c>
      <c r="D779" s="1" t="s">
        <v>26</v>
      </c>
      <c r="E779" s="1" t="s">
        <v>26</v>
      </c>
      <c r="F779" s="1">
        <v>2.0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1">
        <v>82.0</v>
      </c>
      <c r="T779" s="1">
        <v>184.65</v>
      </c>
      <c r="U779" s="1">
        <v>3.0</v>
      </c>
      <c r="V779" s="1">
        <v>0.0</v>
      </c>
      <c r="W779" s="1" t="s">
        <v>25</v>
      </c>
    </row>
    <row r="780" ht="15.75" customHeight="1">
      <c r="A780" s="1" t="s">
        <v>817</v>
      </c>
      <c r="B780" s="1" t="s">
        <v>24</v>
      </c>
      <c r="C780" s="1">
        <v>0.0</v>
      </c>
      <c r="D780" s="1" t="s">
        <v>25</v>
      </c>
      <c r="E780" s="1" t="s">
        <v>26</v>
      </c>
      <c r="F780" s="1">
        <v>59.0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1">
        <v>107.0</v>
      </c>
      <c r="T780" s="1">
        <v>6152.3</v>
      </c>
      <c r="U780" s="1">
        <v>0.0</v>
      </c>
      <c r="V780" s="1">
        <v>0.0</v>
      </c>
      <c r="W780" s="1" t="s">
        <v>26</v>
      </c>
    </row>
    <row r="781" ht="15.75" customHeight="1">
      <c r="A781" s="1" t="s">
        <v>818</v>
      </c>
      <c r="B781" s="1" t="s">
        <v>32</v>
      </c>
      <c r="C781" s="1">
        <v>0.0</v>
      </c>
      <c r="D781" s="1" t="s">
        <v>26</v>
      </c>
      <c r="E781" s="1" t="s">
        <v>26</v>
      </c>
      <c r="F781" s="1">
        <v>2.0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1">
        <v>45.35</v>
      </c>
      <c r="T781" s="1">
        <v>89.5</v>
      </c>
      <c r="U781" s="1">
        <v>0.0</v>
      </c>
      <c r="V781" s="1">
        <v>0.0</v>
      </c>
      <c r="W781" s="1" t="s">
        <v>25</v>
      </c>
    </row>
    <row r="782" ht="15.75" customHeight="1">
      <c r="A782" s="1" t="s">
        <v>819</v>
      </c>
      <c r="B782" s="1" t="s">
        <v>32</v>
      </c>
      <c r="C782" s="1">
        <v>0.0</v>
      </c>
      <c r="D782" s="1" t="s">
        <v>25</v>
      </c>
      <c r="E782" s="1" t="s">
        <v>25</v>
      </c>
      <c r="F782" s="1">
        <v>71.0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1">
        <v>73.35</v>
      </c>
      <c r="T782" s="1">
        <v>5154.5</v>
      </c>
      <c r="U782" s="1">
        <v>0.0</v>
      </c>
      <c r="V782" s="1">
        <v>0.0</v>
      </c>
      <c r="W782" s="1" t="s">
        <v>26</v>
      </c>
    </row>
    <row r="783" ht="15.75" customHeight="1">
      <c r="A783" s="1" t="s">
        <v>820</v>
      </c>
      <c r="B783" s="1" t="s">
        <v>24</v>
      </c>
      <c r="C783" s="1">
        <v>0.0</v>
      </c>
      <c r="D783" s="1" t="s">
        <v>25</v>
      </c>
      <c r="E783" s="1" t="s">
        <v>25</v>
      </c>
      <c r="F783" s="1">
        <v>5.0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1">
        <v>44.8</v>
      </c>
      <c r="T783" s="1">
        <v>220.45</v>
      </c>
      <c r="U783" s="1">
        <v>0.0</v>
      </c>
      <c r="V783" s="1">
        <v>0.0</v>
      </c>
      <c r="W783" s="1" t="s">
        <v>26</v>
      </c>
    </row>
    <row r="784" ht="15.75" customHeight="1">
      <c r="A784" s="1" t="s">
        <v>821</v>
      </c>
      <c r="B784" s="1" t="s">
        <v>32</v>
      </c>
      <c r="C784" s="1">
        <v>0.0</v>
      </c>
      <c r="D784" s="1" t="s">
        <v>25</v>
      </c>
      <c r="E784" s="1" t="s">
        <v>25</v>
      </c>
      <c r="F784" s="1">
        <v>27.0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1">
        <v>54.75</v>
      </c>
      <c r="T784" s="1">
        <v>1510.3</v>
      </c>
      <c r="U784" s="1">
        <v>0.0</v>
      </c>
      <c r="V784" s="1">
        <v>1.0</v>
      </c>
      <c r="W784" s="1" t="s">
        <v>26</v>
      </c>
    </row>
    <row r="785" ht="15.75" customHeight="1">
      <c r="A785" s="1" t="s">
        <v>822</v>
      </c>
      <c r="B785" s="1" t="s">
        <v>24</v>
      </c>
      <c r="C785" s="1">
        <v>0.0</v>
      </c>
      <c r="D785" s="1" t="s">
        <v>26</v>
      </c>
      <c r="E785" s="1" t="s">
        <v>26</v>
      </c>
      <c r="F785" s="1">
        <v>1.0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1">
        <v>52.2</v>
      </c>
      <c r="T785" s="1">
        <v>52.2</v>
      </c>
      <c r="U785" s="1">
        <v>0.0</v>
      </c>
      <c r="V785" s="1">
        <v>0.0</v>
      </c>
      <c r="W785" s="1" t="s">
        <v>25</v>
      </c>
    </row>
    <row r="786" ht="15.75" customHeight="1">
      <c r="A786" s="1" t="s">
        <v>823</v>
      </c>
      <c r="B786" s="1" t="s">
        <v>32</v>
      </c>
      <c r="C786" s="1">
        <v>0.0</v>
      </c>
      <c r="D786" s="1" t="s">
        <v>26</v>
      </c>
      <c r="E786" s="1" t="s">
        <v>25</v>
      </c>
      <c r="F786" s="1">
        <v>63.0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1">
        <v>40.6</v>
      </c>
      <c r="T786" s="1">
        <v>2588.95</v>
      </c>
      <c r="U786" s="1">
        <v>0.0</v>
      </c>
      <c r="V786" s="1">
        <v>0.0</v>
      </c>
      <c r="W786" s="1" t="s">
        <v>26</v>
      </c>
    </row>
    <row r="787" ht="15.75" customHeight="1">
      <c r="A787" s="1" t="s">
        <v>824</v>
      </c>
      <c r="B787" s="1" t="s">
        <v>24</v>
      </c>
      <c r="C787" s="1">
        <v>1.0</v>
      </c>
      <c r="D787" s="1" t="s">
        <v>26</v>
      </c>
      <c r="E787" s="1" t="s">
        <v>26</v>
      </c>
      <c r="F787" s="1">
        <v>46.0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1">
        <v>110.0</v>
      </c>
      <c r="T787" s="1">
        <v>4874.8</v>
      </c>
      <c r="U787" s="1">
        <v>0.0</v>
      </c>
      <c r="V787" s="1">
        <v>4.0</v>
      </c>
      <c r="W787" s="1" t="s">
        <v>25</v>
      </c>
    </row>
    <row r="788" ht="15.75" customHeight="1">
      <c r="A788" s="1" t="s">
        <v>825</v>
      </c>
      <c r="B788" s="1" t="s">
        <v>32</v>
      </c>
      <c r="C788" s="1">
        <v>0.0</v>
      </c>
      <c r="D788" s="1" t="s">
        <v>25</v>
      </c>
      <c r="E788" s="1" t="s">
        <v>25</v>
      </c>
      <c r="F788" s="1">
        <v>72.0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1">
        <v>55.3</v>
      </c>
      <c r="T788" s="1">
        <v>3983.6</v>
      </c>
      <c r="U788" s="1">
        <v>0.0</v>
      </c>
      <c r="V788" s="1">
        <v>0.0</v>
      </c>
      <c r="W788" s="1" t="s">
        <v>26</v>
      </c>
    </row>
    <row r="789" ht="15.75" customHeight="1">
      <c r="A789" s="1" t="s">
        <v>826</v>
      </c>
      <c r="B789" s="1" t="s">
        <v>24</v>
      </c>
      <c r="C789" s="1">
        <v>0.0</v>
      </c>
      <c r="D789" s="1" t="s">
        <v>25</v>
      </c>
      <c r="E789" s="1" t="s">
        <v>26</v>
      </c>
      <c r="F789" s="1">
        <v>34.0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1">
        <v>60.85</v>
      </c>
      <c r="T789" s="1">
        <v>2003.6</v>
      </c>
      <c r="U789" s="1">
        <v>0.0</v>
      </c>
      <c r="V789" s="1">
        <v>0.0</v>
      </c>
      <c r="W789" s="1" t="s">
        <v>26</v>
      </c>
    </row>
    <row r="790" ht="15.75" customHeight="1">
      <c r="A790" s="1" t="s">
        <v>827</v>
      </c>
      <c r="B790" s="1" t="s">
        <v>24</v>
      </c>
      <c r="C790" s="1">
        <v>0.0</v>
      </c>
      <c r="D790" s="1" t="s">
        <v>25</v>
      </c>
      <c r="E790" s="1" t="s">
        <v>25</v>
      </c>
      <c r="F790" s="1">
        <v>24.0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1">
        <v>78.4</v>
      </c>
      <c r="T790" s="1">
        <v>1832.4</v>
      </c>
      <c r="U790" s="1">
        <v>0.0</v>
      </c>
      <c r="V790" s="1">
        <v>0.0</v>
      </c>
      <c r="W790" s="1" t="s">
        <v>26</v>
      </c>
    </row>
    <row r="791" ht="15.75" customHeight="1">
      <c r="A791" s="1" t="s">
        <v>828</v>
      </c>
      <c r="B791" s="1" t="s">
        <v>32</v>
      </c>
      <c r="C791" s="1">
        <v>0.0</v>
      </c>
      <c r="D791" s="1" t="s">
        <v>26</v>
      </c>
      <c r="E791" s="1" t="s">
        <v>26</v>
      </c>
      <c r="F791" s="1">
        <v>72.0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1">
        <v>69.65</v>
      </c>
      <c r="T791" s="1">
        <v>4908.25</v>
      </c>
      <c r="U791" s="1">
        <v>1.0</v>
      </c>
      <c r="V791" s="1">
        <v>0.0</v>
      </c>
      <c r="W791" s="1" t="s">
        <v>26</v>
      </c>
    </row>
    <row r="792" ht="15.75" customHeight="1">
      <c r="A792" s="1" t="s">
        <v>829</v>
      </c>
      <c r="B792" s="1" t="s">
        <v>24</v>
      </c>
      <c r="C792" s="1">
        <v>0.0</v>
      </c>
      <c r="D792" s="1" t="s">
        <v>25</v>
      </c>
      <c r="E792" s="1" t="s">
        <v>25</v>
      </c>
      <c r="F792" s="1">
        <v>60.0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1">
        <v>59.85</v>
      </c>
      <c r="T792" s="1">
        <v>3590.2</v>
      </c>
      <c r="U792" s="1">
        <v>0.0</v>
      </c>
      <c r="V792" s="1">
        <v>0.0</v>
      </c>
      <c r="W792" s="1" t="s">
        <v>26</v>
      </c>
    </row>
    <row r="793" ht="15.75" customHeight="1">
      <c r="A793" s="1" t="s">
        <v>830</v>
      </c>
      <c r="B793" s="1" t="s">
        <v>32</v>
      </c>
      <c r="C793" s="1">
        <v>0.0</v>
      </c>
      <c r="D793" s="1" t="s">
        <v>26</v>
      </c>
      <c r="E793" s="1" t="s">
        <v>26</v>
      </c>
      <c r="F793" s="1">
        <v>68.0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1">
        <v>76.9</v>
      </c>
      <c r="T793" s="1">
        <v>5023.0</v>
      </c>
      <c r="U793" s="1">
        <v>0.0</v>
      </c>
      <c r="V793" s="1">
        <v>0.0</v>
      </c>
      <c r="W793" s="1" t="s">
        <v>26</v>
      </c>
    </row>
    <row r="794" ht="15.75" customHeight="1">
      <c r="A794" s="1" t="s">
        <v>831</v>
      </c>
      <c r="B794" s="1" t="s">
        <v>24</v>
      </c>
      <c r="C794" s="1">
        <v>0.0</v>
      </c>
      <c r="D794" s="1" t="s">
        <v>25</v>
      </c>
      <c r="E794" s="1" t="s">
        <v>25</v>
      </c>
      <c r="F794" s="1">
        <v>8.0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1">
        <v>19.85</v>
      </c>
      <c r="T794" s="1">
        <v>146.6</v>
      </c>
      <c r="U794" s="1">
        <v>0.0</v>
      </c>
      <c r="V794" s="1">
        <v>0.0</v>
      </c>
      <c r="W794" s="1" t="s">
        <v>26</v>
      </c>
    </row>
    <row r="795" ht="15.75" customHeight="1">
      <c r="A795" s="1" t="s">
        <v>832</v>
      </c>
      <c r="B795" s="1" t="s">
        <v>24</v>
      </c>
      <c r="C795" s="1">
        <v>0.0</v>
      </c>
      <c r="D795" s="1" t="s">
        <v>26</v>
      </c>
      <c r="E795" s="1" t="s">
        <v>25</v>
      </c>
      <c r="F795" s="1">
        <v>34.0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1">
        <v>67.65</v>
      </c>
      <c r="T795" s="1">
        <v>2339.3</v>
      </c>
      <c r="U795" s="1">
        <v>0.0</v>
      </c>
      <c r="V795" s="1">
        <v>0.0</v>
      </c>
      <c r="W795" s="1" t="s">
        <v>26</v>
      </c>
    </row>
    <row r="796" ht="15.75" customHeight="1">
      <c r="A796" s="1" t="s">
        <v>833</v>
      </c>
      <c r="B796" s="1" t="s">
        <v>24</v>
      </c>
      <c r="C796" s="1">
        <v>0.0</v>
      </c>
      <c r="D796" s="1" t="s">
        <v>26</v>
      </c>
      <c r="E796" s="1" t="s">
        <v>26</v>
      </c>
      <c r="F796" s="1">
        <v>6.0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1">
        <v>45.0</v>
      </c>
      <c r="T796" s="1">
        <v>298.7</v>
      </c>
      <c r="U796" s="1">
        <v>0.0</v>
      </c>
      <c r="V796" s="1">
        <v>0.0</v>
      </c>
      <c r="W796" s="1" t="s">
        <v>26</v>
      </c>
    </row>
    <row r="797" ht="15.75" customHeight="1">
      <c r="A797" s="1" t="s">
        <v>834</v>
      </c>
      <c r="B797" s="1" t="s">
        <v>32</v>
      </c>
      <c r="C797" s="1">
        <v>0.0</v>
      </c>
      <c r="D797" s="1" t="s">
        <v>25</v>
      </c>
      <c r="E797" s="1" t="s">
        <v>26</v>
      </c>
      <c r="F797" s="1">
        <v>2.0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1">
        <v>64.2</v>
      </c>
      <c r="T797" s="1">
        <v>143.65</v>
      </c>
      <c r="U797" s="1">
        <v>0.0</v>
      </c>
      <c r="V797" s="1">
        <v>0.0</v>
      </c>
      <c r="W797" s="1" t="s">
        <v>26</v>
      </c>
    </row>
    <row r="798" ht="15.75" customHeight="1">
      <c r="A798" s="1" t="s">
        <v>835</v>
      </c>
      <c r="B798" s="1" t="s">
        <v>32</v>
      </c>
      <c r="C798" s="1">
        <v>0.0</v>
      </c>
      <c r="D798" s="1" t="s">
        <v>26</v>
      </c>
      <c r="E798" s="1" t="s">
        <v>26</v>
      </c>
      <c r="F798" s="1">
        <v>31.0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1">
        <v>81.7</v>
      </c>
      <c r="T798" s="1">
        <v>2548.65</v>
      </c>
      <c r="U798" s="1">
        <v>0.0</v>
      </c>
      <c r="V798" s="1">
        <v>0.0</v>
      </c>
      <c r="W798" s="1" t="s">
        <v>26</v>
      </c>
    </row>
    <row r="799" ht="15.75" customHeight="1">
      <c r="A799" s="1" t="s">
        <v>836</v>
      </c>
      <c r="B799" s="1" t="s">
        <v>24</v>
      </c>
      <c r="C799" s="1">
        <v>0.0</v>
      </c>
      <c r="D799" s="1" t="s">
        <v>25</v>
      </c>
      <c r="E799" s="1" t="s">
        <v>25</v>
      </c>
      <c r="F799" s="1">
        <v>20.0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1">
        <v>25.55</v>
      </c>
      <c r="T799" s="1">
        <v>507.4</v>
      </c>
      <c r="U799" s="1">
        <v>0.0</v>
      </c>
      <c r="V799" s="1">
        <v>0.0</v>
      </c>
      <c r="W799" s="1" t="s">
        <v>26</v>
      </c>
    </row>
    <row r="800" ht="15.75" customHeight="1">
      <c r="A800" s="1" t="s">
        <v>837</v>
      </c>
      <c r="B800" s="1" t="s">
        <v>24</v>
      </c>
      <c r="C800" s="1">
        <v>0.0</v>
      </c>
      <c r="D800" s="1" t="s">
        <v>25</v>
      </c>
      <c r="E800" s="1" t="s">
        <v>25</v>
      </c>
      <c r="F800" s="1">
        <v>1.0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1">
        <v>20.0</v>
      </c>
      <c r="T800" s="1">
        <v>20.0</v>
      </c>
      <c r="U800" s="1">
        <v>0.0</v>
      </c>
      <c r="V800" s="1">
        <v>0.0</v>
      </c>
      <c r="W800" s="1" t="s">
        <v>26</v>
      </c>
    </row>
    <row r="801" ht="15.75" customHeight="1">
      <c r="A801" s="1" t="s">
        <v>838</v>
      </c>
      <c r="B801" s="1" t="s">
        <v>32</v>
      </c>
      <c r="C801" s="1">
        <v>0.0</v>
      </c>
      <c r="D801" s="1" t="s">
        <v>26</v>
      </c>
      <c r="E801" s="1" t="s">
        <v>26</v>
      </c>
      <c r="F801" s="1">
        <v>62.0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1">
        <v>96.75</v>
      </c>
      <c r="T801" s="1">
        <v>6125.4</v>
      </c>
      <c r="U801" s="1">
        <v>0.0</v>
      </c>
      <c r="V801" s="1">
        <v>6.0</v>
      </c>
      <c r="W801" s="1" t="s">
        <v>25</v>
      </c>
    </row>
    <row r="802" ht="15.75" customHeight="1">
      <c r="A802" s="1" t="s">
        <v>839</v>
      </c>
      <c r="B802" s="1" t="s">
        <v>24</v>
      </c>
      <c r="C802" s="1">
        <v>1.0</v>
      </c>
      <c r="D802" s="1" t="s">
        <v>25</v>
      </c>
      <c r="E802" s="1" t="s">
        <v>26</v>
      </c>
      <c r="F802" s="1">
        <v>70.0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1">
        <v>75.65</v>
      </c>
      <c r="T802" s="1">
        <v>5411.4</v>
      </c>
      <c r="U802" s="1">
        <v>2.0</v>
      </c>
      <c r="V802" s="1">
        <v>0.0</v>
      </c>
      <c r="W802" s="1" t="s">
        <v>26</v>
      </c>
    </row>
    <row r="803" ht="15.75" customHeight="1">
      <c r="A803" s="1" t="s">
        <v>840</v>
      </c>
      <c r="B803" s="1" t="s">
        <v>24</v>
      </c>
      <c r="C803" s="1">
        <v>0.0</v>
      </c>
      <c r="D803" s="1" t="s">
        <v>26</v>
      </c>
      <c r="E803" s="1" t="s">
        <v>26</v>
      </c>
      <c r="F803" s="1">
        <v>10.0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1">
        <v>98.5</v>
      </c>
      <c r="T803" s="1">
        <v>1058.25</v>
      </c>
      <c r="U803" s="1">
        <v>0.0</v>
      </c>
      <c r="V803" s="1">
        <v>2.0</v>
      </c>
      <c r="W803" s="1" t="s">
        <v>25</v>
      </c>
    </row>
    <row r="804" ht="15.75" customHeight="1">
      <c r="A804" s="1" t="s">
        <v>841</v>
      </c>
      <c r="B804" s="1" t="s">
        <v>32</v>
      </c>
      <c r="C804" s="1">
        <v>0.0</v>
      </c>
      <c r="D804" s="1" t="s">
        <v>25</v>
      </c>
      <c r="E804" s="1" t="s">
        <v>25</v>
      </c>
      <c r="F804" s="1">
        <v>39.0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1">
        <v>23.8</v>
      </c>
      <c r="T804" s="1">
        <v>903.8</v>
      </c>
      <c r="U804" s="1">
        <v>0.0</v>
      </c>
      <c r="V804" s="1">
        <v>0.0</v>
      </c>
      <c r="W804" s="1" t="s">
        <v>26</v>
      </c>
    </row>
    <row r="805" ht="15.75" customHeight="1">
      <c r="A805" s="1" t="s">
        <v>842</v>
      </c>
      <c r="B805" s="1" t="s">
        <v>24</v>
      </c>
      <c r="C805" s="1">
        <v>0.0</v>
      </c>
      <c r="D805" s="1" t="s">
        <v>25</v>
      </c>
      <c r="E805" s="1" t="s">
        <v>26</v>
      </c>
      <c r="F805" s="1">
        <v>46.0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1">
        <v>64.2</v>
      </c>
      <c r="T805" s="1">
        <v>3009.5</v>
      </c>
      <c r="U805" s="1">
        <v>0.0</v>
      </c>
      <c r="V805" s="1">
        <v>0.0</v>
      </c>
      <c r="W805" s="1" t="s">
        <v>26</v>
      </c>
    </row>
    <row r="806" ht="15.75" customHeight="1">
      <c r="A806" s="1" t="s">
        <v>843</v>
      </c>
      <c r="B806" s="1" t="s">
        <v>32</v>
      </c>
      <c r="C806" s="1">
        <v>0.0</v>
      </c>
      <c r="D806" s="1" t="s">
        <v>26</v>
      </c>
      <c r="E806" s="1" t="s">
        <v>26</v>
      </c>
      <c r="F806" s="1">
        <v>6.0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1">
        <v>85.35</v>
      </c>
      <c r="T806" s="1">
        <v>489.45</v>
      </c>
      <c r="U806" s="1">
        <v>0.0</v>
      </c>
      <c r="V806" s="1">
        <v>0.0</v>
      </c>
      <c r="W806" s="1" t="s">
        <v>25</v>
      </c>
    </row>
    <row r="807" ht="15.75" customHeight="1">
      <c r="A807" s="1" t="s">
        <v>844</v>
      </c>
      <c r="B807" s="1" t="s">
        <v>24</v>
      </c>
      <c r="C807" s="1">
        <v>0.0</v>
      </c>
      <c r="D807" s="1" t="s">
        <v>25</v>
      </c>
      <c r="E807" s="1" t="s">
        <v>25</v>
      </c>
      <c r="F807" s="1">
        <v>72.0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1">
        <v>76.8</v>
      </c>
      <c r="T807" s="1">
        <v>5468.45</v>
      </c>
      <c r="U807" s="1">
        <v>0.0</v>
      </c>
      <c r="V807" s="1">
        <v>0.0</v>
      </c>
      <c r="W807" s="1" t="s">
        <v>26</v>
      </c>
    </row>
    <row r="808" ht="15.75" customHeight="1">
      <c r="A808" s="1" t="s">
        <v>845</v>
      </c>
      <c r="B808" s="1" t="s">
        <v>32</v>
      </c>
      <c r="C808" s="1">
        <v>0.0</v>
      </c>
      <c r="D808" s="1" t="s">
        <v>26</v>
      </c>
      <c r="E808" s="1" t="s">
        <v>26</v>
      </c>
      <c r="F808" s="1">
        <v>18.0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1">
        <v>55.2</v>
      </c>
      <c r="T808" s="1">
        <v>1058.1</v>
      </c>
      <c r="U808" s="1">
        <v>0.0</v>
      </c>
      <c r="V808" s="1">
        <v>0.0</v>
      </c>
      <c r="W808" s="1" t="s">
        <v>26</v>
      </c>
    </row>
    <row r="809" ht="15.75" customHeight="1">
      <c r="A809" s="1" t="s">
        <v>846</v>
      </c>
      <c r="B809" s="1" t="s">
        <v>32</v>
      </c>
      <c r="C809" s="1">
        <v>0.0</v>
      </c>
      <c r="D809" s="1" t="s">
        <v>25</v>
      </c>
      <c r="E809" s="1" t="s">
        <v>26</v>
      </c>
      <c r="F809" s="1">
        <v>71.0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1">
        <v>108.55</v>
      </c>
      <c r="T809" s="1">
        <v>7616.0</v>
      </c>
      <c r="U809" s="1">
        <v>0.0</v>
      </c>
      <c r="V809" s="1">
        <v>0.0</v>
      </c>
      <c r="W809" s="1" t="s">
        <v>26</v>
      </c>
    </row>
    <row r="810" ht="15.75" customHeight="1">
      <c r="A810" s="1" t="s">
        <v>847</v>
      </c>
      <c r="B810" s="1" t="s">
        <v>32</v>
      </c>
      <c r="C810" s="1">
        <v>0.0</v>
      </c>
      <c r="D810" s="1" t="s">
        <v>25</v>
      </c>
      <c r="E810" s="1" t="s">
        <v>26</v>
      </c>
      <c r="F810" s="1">
        <v>40.0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1">
        <v>101.3</v>
      </c>
      <c r="T810" s="1">
        <v>4113.1</v>
      </c>
      <c r="U810" s="1">
        <v>0.0</v>
      </c>
      <c r="V810" s="1">
        <v>5.0</v>
      </c>
      <c r="W810" s="1" t="s">
        <v>25</v>
      </c>
    </row>
    <row r="811" ht="15.75" customHeight="1">
      <c r="A811" s="1" t="s">
        <v>848</v>
      </c>
      <c r="B811" s="1" t="s">
        <v>32</v>
      </c>
      <c r="C811" s="1">
        <v>0.0</v>
      </c>
      <c r="D811" s="1" t="s">
        <v>26</v>
      </c>
      <c r="E811" s="1" t="s">
        <v>26</v>
      </c>
      <c r="F811" s="1">
        <v>1.0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1">
        <v>69.55</v>
      </c>
      <c r="T811" s="1">
        <v>69.55</v>
      </c>
      <c r="U811" s="1">
        <v>5.0</v>
      </c>
      <c r="V811" s="1">
        <v>0.0</v>
      </c>
      <c r="W811" s="1" t="s">
        <v>25</v>
      </c>
    </row>
    <row r="812" ht="15.75" customHeight="1">
      <c r="A812" s="1" t="s">
        <v>849</v>
      </c>
      <c r="B812" s="1" t="s">
        <v>32</v>
      </c>
      <c r="C812" s="1">
        <v>0.0</v>
      </c>
      <c r="D812" s="1" t="s">
        <v>26</v>
      </c>
      <c r="E812" s="1" t="s">
        <v>26</v>
      </c>
      <c r="F812" s="1">
        <v>58.0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1">
        <v>103.25</v>
      </c>
      <c r="T812" s="1">
        <v>6017.65</v>
      </c>
      <c r="U812" s="1">
        <v>0.0</v>
      </c>
      <c r="V812" s="1">
        <v>4.0</v>
      </c>
      <c r="W812" s="1" t="s">
        <v>25</v>
      </c>
    </row>
    <row r="813" ht="15.75" customHeight="1">
      <c r="A813" s="1" t="s">
        <v>850</v>
      </c>
      <c r="B813" s="1" t="s">
        <v>32</v>
      </c>
      <c r="C813" s="1">
        <v>0.0</v>
      </c>
      <c r="D813" s="1" t="s">
        <v>26</v>
      </c>
      <c r="E813" s="1" t="s">
        <v>26</v>
      </c>
      <c r="F813" s="1">
        <v>70.0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1">
        <v>104.0</v>
      </c>
      <c r="T813" s="1">
        <v>7250.15</v>
      </c>
      <c r="U813" s="1">
        <v>0.0</v>
      </c>
      <c r="V813" s="1">
        <v>7.0</v>
      </c>
      <c r="W813" s="1" t="s">
        <v>25</v>
      </c>
    </row>
    <row r="814" ht="15.75" customHeight="1">
      <c r="A814" s="1" t="s">
        <v>851</v>
      </c>
      <c r="B814" s="1" t="s">
        <v>24</v>
      </c>
      <c r="C814" s="1">
        <v>0.0</v>
      </c>
      <c r="D814" s="1" t="s">
        <v>25</v>
      </c>
      <c r="E814" s="1" t="s">
        <v>26</v>
      </c>
      <c r="F814" s="1">
        <v>42.0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1">
        <v>25.25</v>
      </c>
      <c r="T814" s="1">
        <v>1108.2</v>
      </c>
      <c r="U814" s="1">
        <v>0.0</v>
      </c>
      <c r="V814" s="1">
        <v>0.0</v>
      </c>
      <c r="W814" s="1" t="s">
        <v>26</v>
      </c>
    </row>
    <row r="815" ht="15.75" customHeight="1">
      <c r="A815" s="1" t="s">
        <v>852</v>
      </c>
      <c r="B815" s="1" t="s">
        <v>32</v>
      </c>
      <c r="C815" s="1">
        <v>0.0</v>
      </c>
      <c r="D815" s="1" t="s">
        <v>25</v>
      </c>
      <c r="E815" s="1" t="s">
        <v>25</v>
      </c>
      <c r="F815" s="1">
        <v>34.0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1">
        <v>30.4</v>
      </c>
      <c r="T815" s="1">
        <v>938.65</v>
      </c>
      <c r="U815" s="1">
        <v>0.0</v>
      </c>
      <c r="V815" s="1">
        <v>0.0</v>
      </c>
      <c r="W815" s="1" t="s">
        <v>26</v>
      </c>
    </row>
    <row r="816" ht="15.75" customHeight="1">
      <c r="A816" s="1" t="s">
        <v>853</v>
      </c>
      <c r="B816" s="1" t="s">
        <v>32</v>
      </c>
      <c r="C816" s="1">
        <v>1.0</v>
      </c>
      <c r="D816" s="1" t="s">
        <v>26</v>
      </c>
      <c r="E816" s="1" t="s">
        <v>26</v>
      </c>
      <c r="F816" s="1">
        <v>5.0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1">
        <v>20.05</v>
      </c>
      <c r="T816" s="1">
        <v>94.15</v>
      </c>
      <c r="U816" s="1">
        <v>0.0</v>
      </c>
      <c r="V816" s="1">
        <v>0.0</v>
      </c>
      <c r="W816" s="1" t="s">
        <v>26</v>
      </c>
    </row>
    <row r="817" ht="15.75" customHeight="1">
      <c r="A817" s="1" t="s">
        <v>854</v>
      </c>
      <c r="B817" s="1" t="s">
        <v>24</v>
      </c>
      <c r="C817" s="1">
        <v>0.0</v>
      </c>
      <c r="D817" s="1" t="s">
        <v>26</v>
      </c>
      <c r="E817" s="1" t="s">
        <v>26</v>
      </c>
      <c r="F817" s="1">
        <v>25.0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1">
        <v>84.6</v>
      </c>
      <c r="T817" s="1">
        <v>2088.05</v>
      </c>
      <c r="U817" s="1">
        <v>0.0</v>
      </c>
      <c r="V817" s="1">
        <v>0.0</v>
      </c>
      <c r="W817" s="1" t="s">
        <v>26</v>
      </c>
    </row>
    <row r="818" ht="15.75" customHeight="1">
      <c r="A818" s="1" t="s">
        <v>855</v>
      </c>
      <c r="B818" s="1" t="s">
        <v>24</v>
      </c>
      <c r="C818" s="1">
        <v>0.0</v>
      </c>
      <c r="D818" s="1" t="s">
        <v>26</v>
      </c>
      <c r="E818" s="1" t="s">
        <v>26</v>
      </c>
      <c r="F818" s="1">
        <v>2.0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1">
        <v>86.2</v>
      </c>
      <c r="T818" s="1">
        <v>178.7</v>
      </c>
      <c r="U818" s="1">
        <v>0.0</v>
      </c>
      <c r="V818" s="1">
        <v>0.0</v>
      </c>
      <c r="W818" s="1" t="s">
        <v>25</v>
      </c>
    </row>
    <row r="819" ht="15.75" customHeight="1">
      <c r="A819" s="1" t="s">
        <v>856</v>
      </c>
      <c r="B819" s="1" t="s">
        <v>24</v>
      </c>
      <c r="C819" s="1">
        <v>0.0</v>
      </c>
      <c r="D819" s="1" t="s">
        <v>25</v>
      </c>
      <c r="E819" s="1" t="s">
        <v>25</v>
      </c>
      <c r="F819" s="1">
        <v>55.0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1">
        <v>103.7</v>
      </c>
      <c r="T819" s="1">
        <v>5656.75</v>
      </c>
      <c r="U819" s="1">
        <v>1.0</v>
      </c>
      <c r="V819" s="1">
        <v>0.0</v>
      </c>
      <c r="W819" s="1" t="s">
        <v>26</v>
      </c>
    </row>
    <row r="820" ht="15.75" customHeight="1">
      <c r="A820" s="1" t="s">
        <v>857</v>
      </c>
      <c r="B820" s="1" t="s">
        <v>32</v>
      </c>
      <c r="C820" s="1">
        <v>0.0</v>
      </c>
      <c r="D820" s="1" t="s">
        <v>25</v>
      </c>
      <c r="E820" s="1" t="s">
        <v>26</v>
      </c>
      <c r="F820" s="1">
        <v>21.0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1">
        <v>111.2</v>
      </c>
      <c r="T820" s="1">
        <v>2317.1</v>
      </c>
      <c r="U820" s="1">
        <v>0.0</v>
      </c>
      <c r="V820" s="1">
        <v>2.0</v>
      </c>
      <c r="W820" s="1" t="s">
        <v>25</v>
      </c>
    </row>
    <row r="821" ht="15.75" customHeight="1">
      <c r="A821" s="1" t="s">
        <v>858</v>
      </c>
      <c r="B821" s="1" t="s">
        <v>32</v>
      </c>
      <c r="C821" s="1">
        <v>0.0</v>
      </c>
      <c r="D821" s="1" t="s">
        <v>25</v>
      </c>
      <c r="E821" s="1" t="s">
        <v>26</v>
      </c>
      <c r="F821" s="1">
        <v>70.0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1">
        <v>88.0</v>
      </c>
      <c r="T821" s="1">
        <v>5986.45</v>
      </c>
      <c r="U821" s="1">
        <v>0.0</v>
      </c>
      <c r="V821" s="1">
        <v>0.0</v>
      </c>
      <c r="W821" s="1" t="s">
        <v>26</v>
      </c>
    </row>
    <row r="822" ht="15.75" customHeight="1">
      <c r="A822" s="1" t="s">
        <v>859</v>
      </c>
      <c r="B822" s="1" t="s">
        <v>24</v>
      </c>
      <c r="C822" s="1">
        <v>0.0</v>
      </c>
      <c r="D822" s="1" t="s">
        <v>25</v>
      </c>
      <c r="E822" s="1" t="s">
        <v>26</v>
      </c>
      <c r="F822" s="1">
        <v>61.0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1">
        <v>106.35</v>
      </c>
      <c r="T822" s="1">
        <v>6751.35</v>
      </c>
      <c r="U822" s="1">
        <v>3.0</v>
      </c>
      <c r="V822" s="1">
        <v>0.0</v>
      </c>
      <c r="W822" s="1" t="s">
        <v>26</v>
      </c>
    </row>
    <row r="823" ht="15.75" customHeight="1">
      <c r="A823" s="1" t="s">
        <v>860</v>
      </c>
      <c r="B823" s="1" t="s">
        <v>32</v>
      </c>
      <c r="C823" s="1">
        <v>0.0</v>
      </c>
      <c r="D823" s="1" t="s">
        <v>25</v>
      </c>
      <c r="E823" s="1" t="s">
        <v>25</v>
      </c>
      <c r="F823" s="1">
        <v>43.0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1">
        <v>79.15</v>
      </c>
      <c r="T823" s="1">
        <v>3566.6</v>
      </c>
      <c r="U823" s="1">
        <v>0.0</v>
      </c>
      <c r="V823" s="1">
        <v>0.0</v>
      </c>
      <c r="W823" s="1" t="s">
        <v>26</v>
      </c>
    </row>
    <row r="824" ht="15.75" customHeight="1">
      <c r="A824" s="1" t="s">
        <v>861</v>
      </c>
      <c r="B824" s="1" t="s">
        <v>32</v>
      </c>
      <c r="C824" s="1">
        <v>0.0</v>
      </c>
      <c r="D824" s="1" t="s">
        <v>26</v>
      </c>
      <c r="E824" s="1" t="s">
        <v>26</v>
      </c>
      <c r="F824" s="1">
        <v>47.0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1">
        <v>103.1</v>
      </c>
      <c r="T824" s="1">
        <v>4889.3</v>
      </c>
      <c r="U824" s="1">
        <v>0.0</v>
      </c>
      <c r="V824" s="1">
        <v>0.0</v>
      </c>
      <c r="W824" s="1" t="s">
        <v>26</v>
      </c>
    </row>
    <row r="825" ht="15.75" customHeight="1">
      <c r="A825" s="1" t="s">
        <v>862</v>
      </c>
      <c r="B825" s="1" t="s">
        <v>32</v>
      </c>
      <c r="C825" s="1">
        <v>0.0</v>
      </c>
      <c r="D825" s="1" t="s">
        <v>26</v>
      </c>
      <c r="E825" s="1" t="s">
        <v>26</v>
      </c>
      <c r="F825" s="1">
        <v>5.0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1">
        <v>63.95</v>
      </c>
      <c r="T825" s="1">
        <v>318.1</v>
      </c>
      <c r="U825" s="1">
        <v>0.0</v>
      </c>
      <c r="V825" s="1">
        <v>0.0</v>
      </c>
      <c r="W825" s="1" t="s">
        <v>26</v>
      </c>
    </row>
    <row r="826" ht="15.75" customHeight="1">
      <c r="A826" s="1" t="s">
        <v>863</v>
      </c>
      <c r="B826" s="1" t="s">
        <v>24</v>
      </c>
      <c r="C826" s="1">
        <v>0.0</v>
      </c>
      <c r="D826" s="1" t="s">
        <v>26</v>
      </c>
      <c r="E826" s="1" t="s">
        <v>26</v>
      </c>
      <c r="F826" s="1">
        <v>62.0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1">
        <v>25.8</v>
      </c>
      <c r="T826" s="1">
        <v>1563.95</v>
      </c>
      <c r="U826" s="1">
        <v>0.0</v>
      </c>
      <c r="V826" s="1">
        <v>0.0</v>
      </c>
      <c r="W826" s="1" t="s">
        <v>26</v>
      </c>
    </row>
    <row r="827" ht="15.75" customHeight="1">
      <c r="A827" s="1" t="s">
        <v>864</v>
      </c>
      <c r="B827" s="1" t="s">
        <v>24</v>
      </c>
      <c r="C827" s="1">
        <v>0.0</v>
      </c>
      <c r="D827" s="1" t="s">
        <v>25</v>
      </c>
      <c r="E827" s="1" t="s">
        <v>25</v>
      </c>
      <c r="F827" s="1">
        <v>16.0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1">
        <v>89.45</v>
      </c>
      <c r="T827" s="1">
        <v>1430.25</v>
      </c>
      <c r="U827" s="1">
        <v>5.0</v>
      </c>
      <c r="V827" s="1">
        <v>1.0</v>
      </c>
      <c r="W827" s="1" t="s">
        <v>25</v>
      </c>
    </row>
    <row r="828" ht="15.75" customHeight="1">
      <c r="A828" s="1" t="s">
        <v>865</v>
      </c>
      <c r="B828" s="1" t="s">
        <v>32</v>
      </c>
      <c r="C828" s="1">
        <v>1.0</v>
      </c>
      <c r="D828" s="1" t="s">
        <v>25</v>
      </c>
      <c r="E828" s="1" t="s">
        <v>26</v>
      </c>
      <c r="F828" s="1">
        <v>7.0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1">
        <v>95.6</v>
      </c>
      <c r="T828" s="1">
        <v>644.35</v>
      </c>
      <c r="U828" s="1">
        <v>0.0</v>
      </c>
      <c r="V828" s="1">
        <v>0.0</v>
      </c>
      <c r="W828" s="1" t="s">
        <v>25</v>
      </c>
    </row>
    <row r="829" ht="15.75" customHeight="1">
      <c r="A829" s="1" t="s">
        <v>866</v>
      </c>
      <c r="B829" s="1" t="s">
        <v>24</v>
      </c>
      <c r="C829" s="1">
        <v>0.0</v>
      </c>
      <c r="D829" s="1" t="s">
        <v>25</v>
      </c>
      <c r="E829" s="1" t="s">
        <v>25</v>
      </c>
      <c r="F829" s="1">
        <v>14.0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1">
        <v>25.55</v>
      </c>
      <c r="T829" s="1">
        <v>372.45</v>
      </c>
      <c r="U829" s="1">
        <v>0.0</v>
      </c>
      <c r="V829" s="1">
        <v>0.0</v>
      </c>
      <c r="W829" s="1" t="s">
        <v>26</v>
      </c>
    </row>
    <row r="830" ht="15.75" customHeight="1">
      <c r="A830" s="1" t="s">
        <v>867</v>
      </c>
      <c r="B830" s="1" t="s">
        <v>32</v>
      </c>
      <c r="C830" s="1">
        <v>0.0</v>
      </c>
      <c r="D830" s="1" t="s">
        <v>25</v>
      </c>
      <c r="E830" s="1" t="s">
        <v>25</v>
      </c>
      <c r="F830" s="1">
        <v>60.0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1">
        <v>90.95</v>
      </c>
      <c r="T830" s="1">
        <v>5453.4</v>
      </c>
      <c r="U830" s="1">
        <v>0.0</v>
      </c>
      <c r="V830" s="1">
        <v>6.0</v>
      </c>
      <c r="W830" s="1" t="s">
        <v>25</v>
      </c>
    </row>
    <row r="831" ht="15.75" customHeight="1">
      <c r="A831" s="1" t="s">
        <v>868</v>
      </c>
      <c r="B831" s="1" t="s">
        <v>32</v>
      </c>
      <c r="C831" s="1">
        <v>0.0</v>
      </c>
      <c r="D831" s="1" t="s">
        <v>25</v>
      </c>
      <c r="E831" s="1" t="s">
        <v>25</v>
      </c>
      <c r="F831" s="1">
        <v>34.0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1">
        <v>44.85</v>
      </c>
      <c r="T831" s="1">
        <v>1442.6</v>
      </c>
      <c r="U831" s="1">
        <v>0.0</v>
      </c>
      <c r="V831" s="1">
        <v>0.0</v>
      </c>
      <c r="W831" s="1" t="s">
        <v>26</v>
      </c>
    </row>
    <row r="832" ht="15.75" customHeight="1">
      <c r="A832" s="1" t="s">
        <v>869</v>
      </c>
      <c r="B832" s="1" t="s">
        <v>24</v>
      </c>
      <c r="C832" s="1">
        <v>0.0</v>
      </c>
      <c r="D832" s="1" t="s">
        <v>25</v>
      </c>
      <c r="E832" s="1" t="s">
        <v>26</v>
      </c>
      <c r="F832" s="1">
        <v>50.0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1">
        <v>108.55</v>
      </c>
      <c r="T832" s="1">
        <v>5610.7</v>
      </c>
      <c r="U832" s="1">
        <v>0.0</v>
      </c>
      <c r="V832" s="1">
        <v>5.0</v>
      </c>
      <c r="W832" s="1" t="s">
        <v>25</v>
      </c>
    </row>
    <row r="833" ht="15.75" customHeight="1">
      <c r="A833" s="1" t="s">
        <v>870</v>
      </c>
      <c r="B833" s="1" t="s">
        <v>32</v>
      </c>
      <c r="C833" s="1">
        <v>0.0</v>
      </c>
      <c r="D833" s="1" t="s">
        <v>25</v>
      </c>
      <c r="E833" s="1" t="s">
        <v>25</v>
      </c>
      <c r="F833" s="1">
        <v>38.0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1">
        <v>25.05</v>
      </c>
      <c r="T833" s="1">
        <v>963.95</v>
      </c>
      <c r="U833" s="1">
        <v>0.0</v>
      </c>
      <c r="V833" s="1">
        <v>0.0</v>
      </c>
      <c r="W833" s="1" t="s">
        <v>26</v>
      </c>
    </row>
    <row r="834" ht="15.75" customHeight="1">
      <c r="A834" s="1" t="s">
        <v>871</v>
      </c>
      <c r="B834" s="1" t="s">
        <v>24</v>
      </c>
      <c r="C834" s="1">
        <v>0.0</v>
      </c>
      <c r="D834" s="1" t="s">
        <v>25</v>
      </c>
      <c r="E834" s="1" t="s">
        <v>25</v>
      </c>
      <c r="F834" s="1">
        <v>70.0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1">
        <v>74.1</v>
      </c>
      <c r="T834" s="1">
        <v>5222.3</v>
      </c>
      <c r="U834" s="1">
        <v>1.0</v>
      </c>
      <c r="V834" s="1">
        <v>0.0</v>
      </c>
      <c r="W834" s="1" t="s">
        <v>26</v>
      </c>
    </row>
    <row r="835" ht="15.75" customHeight="1">
      <c r="A835" s="1" t="s">
        <v>872</v>
      </c>
      <c r="B835" s="1" t="s">
        <v>24</v>
      </c>
      <c r="C835" s="1">
        <v>0.0</v>
      </c>
      <c r="D835" s="1" t="s">
        <v>25</v>
      </c>
      <c r="E835" s="1" t="s">
        <v>25</v>
      </c>
      <c r="F835" s="1">
        <v>37.0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1">
        <v>88.8</v>
      </c>
      <c r="T835" s="1">
        <v>3340.55</v>
      </c>
      <c r="U835" s="1">
        <v>0.0</v>
      </c>
      <c r="V835" s="1">
        <v>0.0</v>
      </c>
      <c r="W835" s="1" t="s">
        <v>26</v>
      </c>
    </row>
    <row r="836" ht="15.75" customHeight="1">
      <c r="A836" s="1" t="s">
        <v>873</v>
      </c>
      <c r="B836" s="1" t="s">
        <v>24</v>
      </c>
      <c r="C836" s="1">
        <v>1.0</v>
      </c>
      <c r="D836" s="1" t="s">
        <v>26</v>
      </c>
      <c r="E836" s="1" t="s">
        <v>26</v>
      </c>
      <c r="F836" s="1">
        <v>4.0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1">
        <v>78.85</v>
      </c>
      <c r="T836" s="1">
        <v>292.8</v>
      </c>
      <c r="U836" s="1">
        <v>2.0</v>
      </c>
      <c r="V836" s="1">
        <v>0.0</v>
      </c>
      <c r="W836" s="1" t="s">
        <v>25</v>
      </c>
    </row>
    <row r="837" ht="15.75" customHeight="1">
      <c r="A837" s="1" t="s">
        <v>874</v>
      </c>
      <c r="B837" s="1" t="s">
        <v>32</v>
      </c>
      <c r="C837" s="1">
        <v>1.0</v>
      </c>
      <c r="D837" s="1" t="s">
        <v>25</v>
      </c>
      <c r="E837" s="1" t="s">
        <v>25</v>
      </c>
      <c r="F837" s="1">
        <v>60.0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1">
        <v>93.25</v>
      </c>
      <c r="T837" s="1">
        <v>5774.55</v>
      </c>
      <c r="U837" s="1">
        <v>0.0</v>
      </c>
      <c r="V837" s="1">
        <v>3.0</v>
      </c>
      <c r="W837" s="1" t="s">
        <v>26</v>
      </c>
    </row>
    <row r="838" ht="15.75" customHeight="1">
      <c r="A838" s="1" t="s">
        <v>875</v>
      </c>
      <c r="B838" s="1" t="s">
        <v>32</v>
      </c>
      <c r="C838" s="1">
        <v>0.0</v>
      </c>
      <c r="D838" s="1" t="s">
        <v>25</v>
      </c>
      <c r="E838" s="1" t="s">
        <v>25</v>
      </c>
      <c r="F838" s="1">
        <v>62.0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1">
        <v>71.4</v>
      </c>
      <c r="T838" s="1">
        <v>4487.3</v>
      </c>
      <c r="U838" s="1">
        <v>0.0</v>
      </c>
      <c r="V838" s="1">
        <v>0.0</v>
      </c>
      <c r="W838" s="1" t="s">
        <v>26</v>
      </c>
    </row>
    <row r="839" ht="15.75" customHeight="1">
      <c r="A839" s="1" t="s">
        <v>876</v>
      </c>
      <c r="B839" s="1" t="s">
        <v>32</v>
      </c>
      <c r="C839" s="1">
        <v>0.0</v>
      </c>
      <c r="D839" s="1" t="s">
        <v>26</v>
      </c>
      <c r="E839" s="1" t="s">
        <v>26</v>
      </c>
      <c r="F839" s="1">
        <v>1.0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1">
        <v>44.4</v>
      </c>
      <c r="T839" s="1">
        <v>44.4</v>
      </c>
      <c r="U839" s="1">
        <v>0.0</v>
      </c>
      <c r="V839" s="1">
        <v>0.0</v>
      </c>
      <c r="W839" s="1" t="s">
        <v>25</v>
      </c>
    </row>
    <row r="840" ht="15.75" customHeight="1">
      <c r="A840" s="1" t="s">
        <v>877</v>
      </c>
      <c r="B840" s="1" t="s">
        <v>32</v>
      </c>
      <c r="C840" s="1">
        <v>0.0</v>
      </c>
      <c r="D840" s="1" t="s">
        <v>26</v>
      </c>
      <c r="E840" s="1" t="s">
        <v>26</v>
      </c>
      <c r="F840" s="1">
        <v>36.0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1">
        <v>79.2</v>
      </c>
      <c r="T840" s="1">
        <v>2854.95</v>
      </c>
      <c r="U840" s="1">
        <v>0.0</v>
      </c>
      <c r="V840" s="1">
        <v>0.0</v>
      </c>
      <c r="W840" s="1" t="s">
        <v>26</v>
      </c>
    </row>
    <row r="841" ht="15.75" customHeight="1">
      <c r="A841" s="1" t="s">
        <v>878</v>
      </c>
      <c r="B841" s="1" t="s">
        <v>32</v>
      </c>
      <c r="C841" s="1">
        <v>0.0</v>
      </c>
      <c r="D841" s="1" t="s">
        <v>26</v>
      </c>
      <c r="E841" s="1" t="s">
        <v>26</v>
      </c>
      <c r="F841" s="1">
        <v>44.0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1">
        <v>20.4</v>
      </c>
      <c r="T841" s="1">
        <v>905.55</v>
      </c>
      <c r="U841" s="1">
        <v>0.0</v>
      </c>
      <c r="V841" s="1">
        <v>0.0</v>
      </c>
      <c r="W841" s="1" t="s">
        <v>26</v>
      </c>
    </row>
    <row r="842" ht="15.75" customHeight="1">
      <c r="A842" s="1" t="s">
        <v>879</v>
      </c>
      <c r="B842" s="1" t="s">
        <v>24</v>
      </c>
      <c r="C842" s="1">
        <v>1.0</v>
      </c>
      <c r="D842" s="1" t="s">
        <v>26</v>
      </c>
      <c r="E842" s="1" t="s">
        <v>26</v>
      </c>
      <c r="F842" s="1">
        <v>55.0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1">
        <v>100.0</v>
      </c>
      <c r="T842" s="1">
        <v>5509.3</v>
      </c>
      <c r="U842" s="1">
        <v>0.0</v>
      </c>
      <c r="V842" s="1">
        <v>5.0</v>
      </c>
      <c r="W842" s="1" t="s">
        <v>25</v>
      </c>
    </row>
    <row r="843" ht="15.75" customHeight="1">
      <c r="A843" s="1" t="s">
        <v>880</v>
      </c>
      <c r="B843" s="1" t="s">
        <v>24</v>
      </c>
      <c r="C843" s="1">
        <v>0.0</v>
      </c>
      <c r="D843" s="1" t="s">
        <v>25</v>
      </c>
      <c r="E843" s="1" t="s">
        <v>26</v>
      </c>
      <c r="F843" s="1">
        <v>72.0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1">
        <v>105.0</v>
      </c>
      <c r="T843" s="1">
        <v>7589.8</v>
      </c>
      <c r="U843" s="1">
        <v>0.0</v>
      </c>
      <c r="V843" s="1">
        <v>0.0</v>
      </c>
      <c r="W843" s="1" t="s">
        <v>26</v>
      </c>
    </row>
    <row r="844" ht="15.75" customHeight="1">
      <c r="A844" s="1" t="s">
        <v>881</v>
      </c>
      <c r="B844" s="1" t="s">
        <v>24</v>
      </c>
      <c r="C844" s="1">
        <v>0.0</v>
      </c>
      <c r="D844" s="1" t="s">
        <v>25</v>
      </c>
      <c r="E844" s="1" t="s">
        <v>25</v>
      </c>
      <c r="F844" s="1">
        <v>12.0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1">
        <v>19.8</v>
      </c>
      <c r="T844" s="1">
        <v>229.6</v>
      </c>
      <c r="U844" s="1">
        <v>0.0</v>
      </c>
      <c r="V844" s="1">
        <v>0.0</v>
      </c>
      <c r="W844" s="1" t="s">
        <v>25</v>
      </c>
    </row>
    <row r="845" ht="15.75" customHeight="1">
      <c r="A845" s="1" t="s">
        <v>882</v>
      </c>
      <c r="B845" s="1" t="s">
        <v>24</v>
      </c>
      <c r="C845" s="1">
        <v>0.0</v>
      </c>
      <c r="D845" s="1" t="s">
        <v>26</v>
      </c>
      <c r="E845" s="1" t="s">
        <v>26</v>
      </c>
      <c r="F845" s="1">
        <v>13.0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1">
        <v>30.85</v>
      </c>
      <c r="T845" s="1">
        <v>394.1</v>
      </c>
      <c r="U845" s="1">
        <v>0.0</v>
      </c>
      <c r="V845" s="1">
        <v>0.0</v>
      </c>
      <c r="W845" s="1" t="s">
        <v>26</v>
      </c>
    </row>
    <row r="846" ht="15.75" customHeight="1">
      <c r="A846" s="1" t="s">
        <v>883</v>
      </c>
      <c r="B846" s="1" t="s">
        <v>32</v>
      </c>
      <c r="C846" s="1">
        <v>0.0</v>
      </c>
      <c r="D846" s="1" t="s">
        <v>26</v>
      </c>
      <c r="E846" s="1" t="s">
        <v>26</v>
      </c>
      <c r="F846" s="1">
        <v>1.0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1">
        <v>89.9</v>
      </c>
      <c r="T846" s="1">
        <v>89.9</v>
      </c>
      <c r="U846" s="1">
        <v>0.0</v>
      </c>
      <c r="V846" s="1">
        <v>2.0</v>
      </c>
      <c r="W846" s="1" t="s">
        <v>25</v>
      </c>
    </row>
    <row r="847" ht="15.75" customHeight="1">
      <c r="A847" s="1" t="s">
        <v>884</v>
      </c>
      <c r="B847" s="1" t="s">
        <v>24</v>
      </c>
      <c r="C847" s="1">
        <v>0.0</v>
      </c>
      <c r="D847" s="1" t="s">
        <v>25</v>
      </c>
      <c r="E847" s="1" t="s">
        <v>25</v>
      </c>
      <c r="F847" s="1">
        <v>15.0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1">
        <v>20.55</v>
      </c>
      <c r="T847" s="1">
        <v>295.95</v>
      </c>
      <c r="U847" s="1">
        <v>0.0</v>
      </c>
      <c r="V847" s="1">
        <v>0.0</v>
      </c>
      <c r="W847" s="1" t="s">
        <v>26</v>
      </c>
    </row>
    <row r="848" ht="15.75" customHeight="1">
      <c r="A848" s="1" t="s">
        <v>885</v>
      </c>
      <c r="B848" s="1" t="s">
        <v>24</v>
      </c>
      <c r="C848" s="1">
        <v>0.0</v>
      </c>
      <c r="D848" s="1" t="s">
        <v>26</v>
      </c>
      <c r="E848" s="1" t="s">
        <v>26</v>
      </c>
      <c r="F848" s="1">
        <v>65.0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1">
        <v>84.85</v>
      </c>
      <c r="T848" s="1">
        <v>5459.2</v>
      </c>
      <c r="U848" s="1">
        <v>0.0</v>
      </c>
      <c r="V848" s="1">
        <v>0.0</v>
      </c>
      <c r="W848" s="1" t="s">
        <v>26</v>
      </c>
    </row>
    <row r="849" ht="15.75" customHeight="1">
      <c r="A849" s="1" t="s">
        <v>886</v>
      </c>
      <c r="B849" s="1" t="s">
        <v>24</v>
      </c>
      <c r="C849" s="1">
        <v>0.0</v>
      </c>
      <c r="D849" s="1" t="s">
        <v>25</v>
      </c>
      <c r="E849" s="1" t="s">
        <v>25</v>
      </c>
      <c r="F849" s="1">
        <v>12.0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1">
        <v>33.15</v>
      </c>
      <c r="T849" s="1">
        <v>444.75</v>
      </c>
      <c r="U849" s="1">
        <v>3.0</v>
      </c>
      <c r="V849" s="1">
        <v>0.0</v>
      </c>
      <c r="W849" s="1" t="s">
        <v>26</v>
      </c>
    </row>
    <row r="850" ht="15.75" customHeight="1">
      <c r="A850" s="1" t="s">
        <v>887</v>
      </c>
      <c r="B850" s="1" t="s">
        <v>32</v>
      </c>
      <c r="C850" s="1">
        <v>0.0</v>
      </c>
      <c r="D850" s="1" t="s">
        <v>25</v>
      </c>
      <c r="E850" s="1" t="s">
        <v>26</v>
      </c>
      <c r="F850" s="1">
        <v>72.0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1">
        <v>92.0</v>
      </c>
      <c r="T850" s="1">
        <v>6782.15</v>
      </c>
      <c r="U850" s="1">
        <v>0.0</v>
      </c>
      <c r="V850" s="1">
        <v>0.0</v>
      </c>
      <c r="W850" s="1" t="s">
        <v>26</v>
      </c>
    </row>
    <row r="851" ht="15.75" customHeight="1">
      <c r="A851" s="1" t="s">
        <v>888</v>
      </c>
      <c r="B851" s="1" t="s">
        <v>24</v>
      </c>
      <c r="C851" s="1">
        <v>0.0</v>
      </c>
      <c r="D851" s="1" t="s">
        <v>25</v>
      </c>
      <c r="E851" s="1" t="s">
        <v>25</v>
      </c>
      <c r="F851" s="1">
        <v>72.0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1">
        <v>89.8</v>
      </c>
      <c r="T851" s="1">
        <v>6510.45</v>
      </c>
      <c r="U851" s="1">
        <v>0.0</v>
      </c>
      <c r="V851" s="1">
        <v>0.0</v>
      </c>
      <c r="W851" s="1" t="s">
        <v>26</v>
      </c>
    </row>
    <row r="852" ht="15.75" customHeight="1">
      <c r="A852" s="1" t="s">
        <v>889</v>
      </c>
      <c r="B852" s="1" t="s">
        <v>24</v>
      </c>
      <c r="C852" s="1">
        <v>0.0</v>
      </c>
      <c r="D852" s="1" t="s">
        <v>25</v>
      </c>
      <c r="E852" s="1" t="s">
        <v>25</v>
      </c>
      <c r="F852" s="1">
        <v>72.0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1">
        <v>115.8</v>
      </c>
      <c r="T852" s="1">
        <v>8476.5</v>
      </c>
      <c r="U852" s="1">
        <v>5.0</v>
      </c>
      <c r="V852" s="1">
        <v>0.0</v>
      </c>
      <c r="W852" s="1" t="s">
        <v>26</v>
      </c>
    </row>
    <row r="853" ht="15.75" customHeight="1">
      <c r="A853" s="1" t="s">
        <v>890</v>
      </c>
      <c r="B853" s="1" t="s">
        <v>32</v>
      </c>
      <c r="C853" s="1">
        <v>0.0</v>
      </c>
      <c r="D853" s="1" t="s">
        <v>26</v>
      </c>
      <c r="E853" s="1" t="s">
        <v>25</v>
      </c>
      <c r="F853" s="1">
        <v>52.0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1">
        <v>85.15</v>
      </c>
      <c r="T853" s="1">
        <v>4461.85</v>
      </c>
      <c r="U853" s="1">
        <v>5.0</v>
      </c>
      <c r="V853" s="1">
        <v>0.0</v>
      </c>
      <c r="W853" s="1" t="s">
        <v>26</v>
      </c>
    </row>
    <row r="854" ht="15.75" customHeight="1">
      <c r="A854" s="1" t="s">
        <v>891</v>
      </c>
      <c r="B854" s="1" t="s">
        <v>32</v>
      </c>
      <c r="C854" s="1">
        <v>0.0</v>
      </c>
      <c r="D854" s="1" t="s">
        <v>26</v>
      </c>
      <c r="E854" s="1" t="s">
        <v>26</v>
      </c>
      <c r="F854" s="1">
        <v>2.0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1">
        <v>24.85</v>
      </c>
      <c r="T854" s="1">
        <v>62.0</v>
      </c>
      <c r="U854" s="1">
        <v>5.0</v>
      </c>
      <c r="V854" s="1">
        <v>0.0</v>
      </c>
      <c r="W854" s="1" t="s">
        <v>26</v>
      </c>
    </row>
    <row r="855" ht="15.75" customHeight="1">
      <c r="A855" s="1" t="s">
        <v>892</v>
      </c>
      <c r="B855" s="1" t="s">
        <v>24</v>
      </c>
      <c r="C855" s="1">
        <v>0.0</v>
      </c>
      <c r="D855" s="1" t="s">
        <v>26</v>
      </c>
      <c r="E855" s="1" t="s">
        <v>26</v>
      </c>
      <c r="F855" s="1">
        <v>5.0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1">
        <v>64.35</v>
      </c>
      <c r="T855" s="1">
        <v>352.65</v>
      </c>
      <c r="U855" s="1">
        <v>0.0</v>
      </c>
      <c r="V855" s="1">
        <v>0.0</v>
      </c>
      <c r="W855" s="1" t="s">
        <v>26</v>
      </c>
    </row>
    <row r="856" ht="15.75" customHeight="1">
      <c r="A856" s="1" t="s">
        <v>893</v>
      </c>
      <c r="B856" s="1" t="s">
        <v>24</v>
      </c>
      <c r="C856" s="1">
        <v>0.0</v>
      </c>
      <c r="D856" s="1" t="s">
        <v>26</v>
      </c>
      <c r="E856" s="1" t="s">
        <v>26</v>
      </c>
      <c r="F856" s="1">
        <v>68.0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1">
        <v>20.5</v>
      </c>
      <c r="T856" s="1">
        <v>1424.9</v>
      </c>
      <c r="U856" s="1">
        <v>0.0</v>
      </c>
      <c r="V856" s="1">
        <v>0.0</v>
      </c>
      <c r="W856" s="1" t="s">
        <v>26</v>
      </c>
    </row>
    <row r="857" ht="15.75" customHeight="1">
      <c r="A857" s="1" t="s">
        <v>894</v>
      </c>
      <c r="B857" s="1" t="s">
        <v>24</v>
      </c>
      <c r="C857" s="1">
        <v>0.0</v>
      </c>
      <c r="D857" s="1" t="s">
        <v>26</v>
      </c>
      <c r="E857" s="1" t="s">
        <v>25</v>
      </c>
      <c r="F857" s="1">
        <v>62.0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1">
        <v>100.15</v>
      </c>
      <c r="T857" s="1">
        <v>6413.65</v>
      </c>
      <c r="U857" s="1">
        <v>0.0</v>
      </c>
      <c r="V857" s="1">
        <v>5.0</v>
      </c>
      <c r="W857" s="1" t="s">
        <v>25</v>
      </c>
    </row>
    <row r="858" ht="15.75" customHeight="1">
      <c r="A858" s="1" t="s">
        <v>895</v>
      </c>
      <c r="B858" s="1" t="s">
        <v>32</v>
      </c>
      <c r="C858" s="1">
        <v>0.0</v>
      </c>
      <c r="D858" s="1" t="s">
        <v>26</v>
      </c>
      <c r="E858" s="1" t="s">
        <v>26</v>
      </c>
      <c r="F858" s="1">
        <v>72.0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1">
        <v>86.05</v>
      </c>
      <c r="T858" s="1">
        <v>6309.65</v>
      </c>
      <c r="U858" s="1">
        <v>0.0</v>
      </c>
      <c r="V858" s="1">
        <v>0.0</v>
      </c>
      <c r="W858" s="1" t="s">
        <v>26</v>
      </c>
    </row>
    <row r="859" ht="15.75" customHeight="1">
      <c r="A859" s="1" t="s">
        <v>896</v>
      </c>
      <c r="B859" s="1" t="s">
        <v>32</v>
      </c>
      <c r="C859" s="1">
        <v>0.0</v>
      </c>
      <c r="D859" s="1" t="s">
        <v>26</v>
      </c>
      <c r="E859" s="1" t="s">
        <v>26</v>
      </c>
      <c r="F859" s="1">
        <v>1.0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1">
        <v>50.8</v>
      </c>
      <c r="T859" s="1">
        <v>50.8</v>
      </c>
      <c r="U859" s="1">
        <v>0.0</v>
      </c>
      <c r="V859" s="1">
        <v>0.0</v>
      </c>
      <c r="W859" s="1" t="s">
        <v>25</v>
      </c>
    </row>
    <row r="860" ht="15.75" customHeight="1">
      <c r="A860" s="1" t="s">
        <v>897</v>
      </c>
      <c r="B860" s="1" t="s">
        <v>24</v>
      </c>
      <c r="C860" s="1">
        <v>0.0</v>
      </c>
      <c r="D860" s="1" t="s">
        <v>25</v>
      </c>
      <c r="E860" s="1" t="s">
        <v>26</v>
      </c>
      <c r="F860" s="1">
        <v>66.0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1">
        <v>89.0</v>
      </c>
      <c r="T860" s="1">
        <v>5898.6</v>
      </c>
      <c r="U860" s="1">
        <v>0.0</v>
      </c>
      <c r="V860" s="1">
        <v>0.0</v>
      </c>
      <c r="W860" s="1" t="s">
        <v>26</v>
      </c>
    </row>
    <row r="861" ht="15.75" customHeight="1">
      <c r="A861" s="1" t="s">
        <v>898</v>
      </c>
      <c r="B861" s="1" t="s">
        <v>32</v>
      </c>
      <c r="C861" s="1">
        <v>0.0</v>
      </c>
      <c r="D861" s="1" t="s">
        <v>25</v>
      </c>
      <c r="E861" s="1" t="s">
        <v>25</v>
      </c>
      <c r="F861" s="1">
        <v>72.0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1">
        <v>64.8</v>
      </c>
      <c r="T861" s="1">
        <v>4719.75</v>
      </c>
      <c r="U861" s="1">
        <v>0.0</v>
      </c>
      <c r="V861" s="1">
        <v>0.0</v>
      </c>
      <c r="W861" s="1" t="s">
        <v>26</v>
      </c>
    </row>
    <row r="862" ht="15.75" customHeight="1">
      <c r="A862" s="1" t="s">
        <v>899</v>
      </c>
      <c r="B862" s="1" t="s">
        <v>32</v>
      </c>
      <c r="C862" s="1">
        <v>0.0</v>
      </c>
      <c r="D862" s="1" t="s">
        <v>26</v>
      </c>
      <c r="E862" s="1" t="s">
        <v>26</v>
      </c>
      <c r="F862" s="1">
        <v>26.0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1">
        <v>19.8</v>
      </c>
      <c r="T862" s="1">
        <v>457.3</v>
      </c>
      <c r="U862" s="1">
        <v>0.0</v>
      </c>
      <c r="V862" s="1">
        <v>0.0</v>
      </c>
      <c r="W862" s="1" t="s">
        <v>26</v>
      </c>
    </row>
    <row r="863" ht="15.75" customHeight="1">
      <c r="A863" s="1" t="s">
        <v>900</v>
      </c>
      <c r="B863" s="1" t="s">
        <v>32</v>
      </c>
      <c r="C863" s="1">
        <v>0.0</v>
      </c>
      <c r="D863" s="1" t="s">
        <v>25</v>
      </c>
      <c r="E863" s="1" t="s">
        <v>25</v>
      </c>
      <c r="F863" s="1">
        <v>64.0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1">
        <v>93.4</v>
      </c>
      <c r="T863" s="1">
        <v>5822.3</v>
      </c>
      <c r="U863" s="1">
        <v>0.0</v>
      </c>
      <c r="V863" s="1">
        <v>0.0</v>
      </c>
      <c r="W863" s="1" t="s">
        <v>26</v>
      </c>
    </row>
    <row r="864" ht="15.75" customHeight="1">
      <c r="A864" s="1" t="s">
        <v>901</v>
      </c>
      <c r="B864" s="1" t="s">
        <v>32</v>
      </c>
      <c r="C864" s="1">
        <v>1.0</v>
      </c>
      <c r="D864" s="1" t="s">
        <v>25</v>
      </c>
      <c r="E864" s="1" t="s">
        <v>26</v>
      </c>
      <c r="F864" s="1">
        <v>20.0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1">
        <v>73.65</v>
      </c>
      <c r="T864" s="1">
        <v>1463.5</v>
      </c>
      <c r="U864" s="1">
        <v>2.0</v>
      </c>
      <c r="V864" s="1">
        <v>0.0</v>
      </c>
      <c r="W864" s="1" t="s">
        <v>25</v>
      </c>
    </row>
    <row r="865" ht="15.75" customHeight="1">
      <c r="A865" s="1" t="s">
        <v>902</v>
      </c>
      <c r="B865" s="1" t="s">
        <v>24</v>
      </c>
      <c r="C865" s="1">
        <v>0.0</v>
      </c>
      <c r="D865" s="1" t="s">
        <v>26</v>
      </c>
      <c r="E865" s="1" t="s">
        <v>26</v>
      </c>
      <c r="F865" s="1">
        <v>3.0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1">
        <v>95.1</v>
      </c>
      <c r="T865" s="1">
        <v>307.4</v>
      </c>
      <c r="U865" s="1">
        <v>0.0</v>
      </c>
      <c r="V865" s="1">
        <v>0.0</v>
      </c>
      <c r="W865" s="1" t="s">
        <v>25</v>
      </c>
    </row>
    <row r="866" ht="15.75" customHeight="1">
      <c r="A866" s="1" t="s">
        <v>903</v>
      </c>
      <c r="B866" s="1" t="s">
        <v>32</v>
      </c>
      <c r="C866" s="1">
        <v>0.0</v>
      </c>
      <c r="D866" s="1" t="s">
        <v>26</v>
      </c>
      <c r="E866" s="1" t="s">
        <v>26</v>
      </c>
      <c r="F866" s="1">
        <v>22.0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1">
        <v>94.65</v>
      </c>
      <c r="T866" s="1">
        <v>2104.55</v>
      </c>
      <c r="U866" s="1">
        <v>0.0</v>
      </c>
      <c r="V866" s="1">
        <v>3.0</v>
      </c>
      <c r="W866" s="1" t="s">
        <v>25</v>
      </c>
    </row>
    <row r="867" ht="15.75" customHeight="1">
      <c r="A867" s="1" t="s">
        <v>904</v>
      </c>
      <c r="B867" s="1" t="s">
        <v>32</v>
      </c>
      <c r="C867" s="1">
        <v>0.0</v>
      </c>
      <c r="D867" s="1" t="s">
        <v>25</v>
      </c>
      <c r="E867" s="1" t="s">
        <v>26</v>
      </c>
      <c r="F867" s="1">
        <v>4.0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1">
        <v>80.6</v>
      </c>
      <c r="T867" s="1">
        <v>319.15</v>
      </c>
      <c r="U867" s="1">
        <v>0.0</v>
      </c>
      <c r="V867" s="1">
        <v>0.0</v>
      </c>
      <c r="W867" s="1" t="s">
        <v>25</v>
      </c>
    </row>
    <row r="868" ht="15.75" customHeight="1">
      <c r="A868" s="1" t="s">
        <v>905</v>
      </c>
      <c r="B868" s="1" t="s">
        <v>32</v>
      </c>
      <c r="C868" s="1">
        <v>0.0</v>
      </c>
      <c r="D868" s="1" t="s">
        <v>25</v>
      </c>
      <c r="E868" s="1" t="s">
        <v>26</v>
      </c>
      <c r="F868" s="1">
        <v>62.0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1">
        <v>39.0</v>
      </c>
      <c r="T868" s="1">
        <v>2337.45</v>
      </c>
      <c r="U868" s="1">
        <v>5.0</v>
      </c>
      <c r="V868" s="1">
        <v>0.0</v>
      </c>
      <c r="W868" s="1" t="s">
        <v>26</v>
      </c>
    </row>
    <row r="869" ht="15.75" customHeight="1">
      <c r="A869" s="1" t="s">
        <v>906</v>
      </c>
      <c r="B869" s="1" t="s">
        <v>24</v>
      </c>
      <c r="C869" s="1">
        <v>0.0</v>
      </c>
      <c r="D869" s="1" t="s">
        <v>26</v>
      </c>
      <c r="E869" s="1" t="s">
        <v>26</v>
      </c>
      <c r="F869" s="1">
        <v>5.0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1">
        <v>20.5</v>
      </c>
      <c r="T869" s="1">
        <v>104.3</v>
      </c>
      <c r="U869" s="1">
        <v>0.0</v>
      </c>
      <c r="V869" s="1">
        <v>0.0</v>
      </c>
      <c r="W869" s="1" t="s">
        <v>26</v>
      </c>
    </row>
    <row r="870" ht="15.75" customHeight="1">
      <c r="A870" s="1" t="s">
        <v>907</v>
      </c>
      <c r="B870" s="1" t="s">
        <v>32</v>
      </c>
      <c r="C870" s="1">
        <v>0.0</v>
      </c>
      <c r="D870" s="1" t="s">
        <v>25</v>
      </c>
      <c r="E870" s="1" t="s">
        <v>26</v>
      </c>
      <c r="F870" s="1">
        <v>59.0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1">
        <v>85.55</v>
      </c>
      <c r="T870" s="1">
        <v>5084.65</v>
      </c>
      <c r="U870" s="1">
        <v>0.0</v>
      </c>
      <c r="V870" s="1">
        <v>0.0</v>
      </c>
      <c r="W870" s="1" t="s">
        <v>25</v>
      </c>
    </row>
    <row r="871" ht="15.75" customHeight="1">
      <c r="A871" s="1" t="s">
        <v>908</v>
      </c>
      <c r="B871" s="1" t="s">
        <v>32</v>
      </c>
      <c r="C871" s="1">
        <v>0.0</v>
      </c>
      <c r="D871" s="1" t="s">
        <v>26</v>
      </c>
      <c r="E871" s="1" t="s">
        <v>25</v>
      </c>
      <c r="F871" s="1">
        <v>3.0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1">
        <v>26.4</v>
      </c>
      <c r="T871" s="1">
        <v>121.25</v>
      </c>
      <c r="U871" s="1">
        <v>0.0</v>
      </c>
      <c r="V871" s="1">
        <v>0.0</v>
      </c>
      <c r="W871" s="1" t="s">
        <v>26</v>
      </c>
    </row>
    <row r="872" ht="15.75" customHeight="1">
      <c r="A872" s="1" t="s">
        <v>909</v>
      </c>
      <c r="B872" s="1" t="s">
        <v>24</v>
      </c>
      <c r="C872" s="1">
        <v>0.0</v>
      </c>
      <c r="D872" s="1" t="s">
        <v>25</v>
      </c>
      <c r="E872" s="1" t="s">
        <v>26</v>
      </c>
      <c r="F872" s="1">
        <v>72.0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1">
        <v>98.2</v>
      </c>
      <c r="T872" s="1">
        <v>7015.9</v>
      </c>
      <c r="U872" s="1">
        <v>0.0</v>
      </c>
      <c r="V872" s="1">
        <v>6.0</v>
      </c>
      <c r="W872" s="1" t="s">
        <v>26</v>
      </c>
    </row>
    <row r="873" ht="15.75" customHeight="1">
      <c r="A873" s="1" t="s">
        <v>910</v>
      </c>
      <c r="B873" s="1" t="s">
        <v>32</v>
      </c>
      <c r="C873" s="1">
        <v>0.0</v>
      </c>
      <c r="D873" s="1" t="s">
        <v>25</v>
      </c>
      <c r="E873" s="1" t="s">
        <v>25</v>
      </c>
      <c r="F873" s="1">
        <v>57.0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1">
        <v>97.55</v>
      </c>
      <c r="T873" s="1">
        <v>5598.0</v>
      </c>
      <c r="U873" s="1">
        <v>0.0</v>
      </c>
      <c r="V873" s="1">
        <v>0.0</v>
      </c>
      <c r="W873" s="1" t="s">
        <v>26</v>
      </c>
    </row>
    <row r="874" ht="15.75" customHeight="1">
      <c r="A874" s="1" t="s">
        <v>911</v>
      </c>
      <c r="B874" s="1" t="s">
        <v>32</v>
      </c>
      <c r="C874" s="1">
        <v>0.0</v>
      </c>
      <c r="D874" s="1" t="s">
        <v>26</v>
      </c>
      <c r="E874" s="1" t="s">
        <v>25</v>
      </c>
      <c r="F874" s="1">
        <v>66.0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1">
        <v>19.95</v>
      </c>
      <c r="T874" s="1">
        <v>1269.1</v>
      </c>
      <c r="U874" s="1">
        <v>2.0</v>
      </c>
      <c r="V874" s="1">
        <v>6.0</v>
      </c>
      <c r="W874" s="1" t="s">
        <v>26</v>
      </c>
    </row>
    <row r="875" ht="15.75" customHeight="1">
      <c r="A875" s="1" t="s">
        <v>912</v>
      </c>
      <c r="B875" s="1" t="s">
        <v>24</v>
      </c>
      <c r="C875" s="1">
        <v>0.0</v>
      </c>
      <c r="D875" s="1" t="s">
        <v>26</v>
      </c>
      <c r="E875" s="1" t="s">
        <v>26</v>
      </c>
      <c r="F875" s="1">
        <v>60.0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1">
        <v>50.8</v>
      </c>
      <c r="T875" s="1">
        <v>3027.4</v>
      </c>
      <c r="U875" s="1">
        <v>0.0</v>
      </c>
      <c r="V875" s="1">
        <v>6.0</v>
      </c>
      <c r="W875" s="1" t="s">
        <v>25</v>
      </c>
    </row>
    <row r="876" ht="15.75" customHeight="1">
      <c r="A876" s="1" t="s">
        <v>913</v>
      </c>
      <c r="B876" s="1" t="s">
        <v>32</v>
      </c>
      <c r="C876" s="1">
        <v>0.0</v>
      </c>
      <c r="D876" s="1" t="s">
        <v>26</v>
      </c>
      <c r="E876" s="1" t="s">
        <v>25</v>
      </c>
      <c r="F876" s="1">
        <v>45.0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1">
        <v>99.7</v>
      </c>
      <c r="T876" s="1">
        <v>4634.35</v>
      </c>
      <c r="U876" s="1">
        <v>0.0</v>
      </c>
      <c r="V876" s="1">
        <v>0.0</v>
      </c>
      <c r="W876" s="1" t="s">
        <v>26</v>
      </c>
    </row>
    <row r="877" ht="15.75" customHeight="1">
      <c r="A877" s="1" t="s">
        <v>914</v>
      </c>
      <c r="B877" s="1" t="s">
        <v>24</v>
      </c>
      <c r="C877" s="1">
        <v>0.0</v>
      </c>
      <c r="D877" s="1" t="s">
        <v>26</v>
      </c>
      <c r="E877" s="1" t="s">
        <v>26</v>
      </c>
      <c r="F877" s="1">
        <v>3.0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1">
        <v>34.8</v>
      </c>
      <c r="T877" s="1">
        <v>113.95</v>
      </c>
      <c r="U877" s="1">
        <v>0.0</v>
      </c>
      <c r="V877" s="1">
        <v>0.0</v>
      </c>
      <c r="W877" s="1" t="s">
        <v>26</v>
      </c>
    </row>
    <row r="878" ht="15.75" customHeight="1">
      <c r="A878" s="1" t="s">
        <v>915</v>
      </c>
      <c r="B878" s="1" t="s">
        <v>24</v>
      </c>
      <c r="C878" s="1">
        <v>0.0</v>
      </c>
      <c r="D878" s="1" t="s">
        <v>26</v>
      </c>
      <c r="E878" s="1" t="s">
        <v>26</v>
      </c>
      <c r="F878" s="1">
        <v>15.0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1">
        <v>105.1</v>
      </c>
      <c r="T878" s="1">
        <v>1582.75</v>
      </c>
      <c r="U878" s="1">
        <v>0.0</v>
      </c>
      <c r="V878" s="1">
        <v>0.0</v>
      </c>
      <c r="W878" s="1" t="s">
        <v>25</v>
      </c>
    </row>
    <row r="879" ht="15.75" customHeight="1">
      <c r="A879" s="1" t="s">
        <v>916</v>
      </c>
      <c r="B879" s="1" t="s">
        <v>24</v>
      </c>
      <c r="C879" s="1">
        <v>0.0</v>
      </c>
      <c r="D879" s="1" t="s">
        <v>26</v>
      </c>
      <c r="E879" s="1" t="s">
        <v>25</v>
      </c>
      <c r="F879" s="1">
        <v>51.0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1">
        <v>60.15</v>
      </c>
      <c r="T879" s="1">
        <v>3077.0</v>
      </c>
      <c r="U879" s="1">
        <v>0.0</v>
      </c>
      <c r="V879" s="1">
        <v>0.0</v>
      </c>
      <c r="W879" s="1" t="s">
        <v>26</v>
      </c>
    </row>
    <row r="880" ht="15.75" customHeight="1">
      <c r="A880" s="1" t="s">
        <v>917</v>
      </c>
      <c r="B880" s="1" t="s">
        <v>24</v>
      </c>
      <c r="C880" s="1">
        <v>0.0</v>
      </c>
      <c r="D880" s="1" t="s">
        <v>26</v>
      </c>
      <c r="E880" s="1" t="s">
        <v>26</v>
      </c>
      <c r="F880" s="1">
        <v>60.0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1">
        <v>64.75</v>
      </c>
      <c r="T880" s="1">
        <v>4039.5</v>
      </c>
      <c r="U880" s="1">
        <v>0.0</v>
      </c>
      <c r="V880" s="1">
        <v>0.0</v>
      </c>
      <c r="W880" s="1" t="s">
        <v>26</v>
      </c>
    </row>
    <row r="881" ht="15.75" customHeight="1">
      <c r="A881" s="1" t="s">
        <v>918</v>
      </c>
      <c r="B881" s="1" t="s">
        <v>32</v>
      </c>
      <c r="C881" s="1">
        <v>0.0</v>
      </c>
      <c r="D881" s="1" t="s">
        <v>26</v>
      </c>
      <c r="E881" s="1" t="s">
        <v>26</v>
      </c>
      <c r="F881" s="1">
        <v>33.0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1">
        <v>54.65</v>
      </c>
      <c r="T881" s="1">
        <v>1665.2</v>
      </c>
      <c r="U881" s="1">
        <v>0.0</v>
      </c>
      <c r="V881" s="1">
        <v>0.0</v>
      </c>
      <c r="W881" s="1" t="s">
        <v>26</v>
      </c>
    </row>
    <row r="882" ht="15.75" customHeight="1">
      <c r="A882" s="1" t="s">
        <v>919</v>
      </c>
      <c r="B882" s="1" t="s">
        <v>32</v>
      </c>
      <c r="C882" s="1">
        <v>0.0</v>
      </c>
      <c r="D882" s="1" t="s">
        <v>26</v>
      </c>
      <c r="E882" s="1" t="s">
        <v>26</v>
      </c>
      <c r="F882" s="1">
        <v>10.0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1">
        <v>110.1</v>
      </c>
      <c r="T882" s="1">
        <v>1043.3</v>
      </c>
      <c r="U882" s="1">
        <v>0.0</v>
      </c>
      <c r="V882" s="1">
        <v>0.0</v>
      </c>
      <c r="W882" s="1" t="s">
        <v>25</v>
      </c>
    </row>
    <row r="883" ht="15.75" customHeight="1">
      <c r="A883" s="1" t="s">
        <v>920</v>
      </c>
      <c r="B883" s="1" t="s">
        <v>32</v>
      </c>
      <c r="C883" s="1">
        <v>1.0</v>
      </c>
      <c r="D883" s="1" t="s">
        <v>26</v>
      </c>
      <c r="E883" s="1" t="s">
        <v>26</v>
      </c>
      <c r="F883" s="1">
        <v>26.0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1">
        <v>19.3</v>
      </c>
      <c r="T883" s="1">
        <v>504.2</v>
      </c>
      <c r="U883" s="1">
        <v>0.0</v>
      </c>
      <c r="V883" s="1">
        <v>0.0</v>
      </c>
      <c r="W883" s="1" t="s">
        <v>26</v>
      </c>
    </row>
    <row r="884" ht="15.75" customHeight="1">
      <c r="A884" s="1" t="s">
        <v>921</v>
      </c>
      <c r="B884" s="1" t="s">
        <v>24</v>
      </c>
      <c r="C884" s="1">
        <v>0.0</v>
      </c>
      <c r="D884" s="1" t="s">
        <v>26</v>
      </c>
      <c r="E884" s="1" t="s">
        <v>26</v>
      </c>
      <c r="F884" s="1">
        <v>6.0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1">
        <v>83.9</v>
      </c>
      <c r="T884" s="1">
        <v>497.55</v>
      </c>
      <c r="U884" s="1">
        <v>0.0</v>
      </c>
      <c r="V884" s="1">
        <v>0.0</v>
      </c>
      <c r="W884" s="1" t="s">
        <v>25</v>
      </c>
    </row>
    <row r="885" ht="15.75" customHeight="1">
      <c r="A885" s="1" t="s">
        <v>922</v>
      </c>
      <c r="B885" s="1" t="s">
        <v>24</v>
      </c>
      <c r="C885" s="1">
        <v>0.0</v>
      </c>
      <c r="D885" s="1" t="s">
        <v>25</v>
      </c>
      <c r="E885" s="1" t="s">
        <v>26</v>
      </c>
      <c r="F885" s="1">
        <v>67.0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1">
        <v>111.25</v>
      </c>
      <c r="T885" s="1">
        <v>7511.65</v>
      </c>
      <c r="U885" s="1">
        <v>0.0</v>
      </c>
      <c r="V885" s="1">
        <v>0.0</v>
      </c>
      <c r="W885" s="1" t="s">
        <v>26</v>
      </c>
    </row>
    <row r="886" ht="15.75" customHeight="1">
      <c r="A886" s="1" t="s">
        <v>923</v>
      </c>
      <c r="B886" s="1" t="s">
        <v>24</v>
      </c>
      <c r="C886" s="1">
        <v>0.0</v>
      </c>
      <c r="D886" s="1" t="s">
        <v>25</v>
      </c>
      <c r="E886" s="1" t="s">
        <v>25</v>
      </c>
      <c r="F886" s="1">
        <v>49.0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1">
        <v>35.8</v>
      </c>
      <c r="T886" s="1">
        <v>1782.0</v>
      </c>
      <c r="U886" s="1">
        <v>3.0</v>
      </c>
      <c r="V886" s="1">
        <v>0.0</v>
      </c>
      <c r="W886" s="1" t="s">
        <v>26</v>
      </c>
    </row>
    <row r="887" ht="15.75" customHeight="1">
      <c r="A887" s="1" t="s">
        <v>924</v>
      </c>
      <c r="B887" s="1" t="s">
        <v>32</v>
      </c>
      <c r="C887" s="1">
        <v>0.0</v>
      </c>
      <c r="D887" s="1" t="s">
        <v>26</v>
      </c>
      <c r="E887" s="1" t="s">
        <v>26</v>
      </c>
      <c r="F887" s="1">
        <v>1.0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1">
        <v>20.05</v>
      </c>
      <c r="T887" s="1">
        <v>20.05</v>
      </c>
      <c r="U887" s="1">
        <v>0.0</v>
      </c>
      <c r="V887" s="1">
        <v>0.0</v>
      </c>
      <c r="W887" s="1" t="s">
        <v>26</v>
      </c>
    </row>
    <row r="888" ht="15.75" customHeight="1">
      <c r="A888" s="1" t="s">
        <v>925</v>
      </c>
      <c r="B888" s="1" t="s">
        <v>24</v>
      </c>
      <c r="C888" s="1">
        <v>1.0</v>
      </c>
      <c r="D888" s="1" t="s">
        <v>26</v>
      </c>
      <c r="E888" s="1" t="s">
        <v>26</v>
      </c>
      <c r="F888" s="1">
        <v>7.0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1">
        <v>84.35</v>
      </c>
      <c r="T888" s="1">
        <v>609.65</v>
      </c>
      <c r="U888" s="1">
        <v>0.0</v>
      </c>
      <c r="V888" s="1">
        <v>0.0</v>
      </c>
      <c r="W888" s="1" t="s">
        <v>26</v>
      </c>
    </row>
    <row r="889" ht="15.75" customHeight="1">
      <c r="A889" s="1" t="s">
        <v>926</v>
      </c>
      <c r="B889" s="1" t="s">
        <v>24</v>
      </c>
      <c r="C889" s="1">
        <v>1.0</v>
      </c>
      <c r="D889" s="1" t="s">
        <v>26</v>
      </c>
      <c r="E889" s="1" t="s">
        <v>26</v>
      </c>
      <c r="F889" s="1">
        <v>27.0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1">
        <v>110.5</v>
      </c>
      <c r="T889" s="1">
        <v>2857.6</v>
      </c>
      <c r="U889" s="1">
        <v>4.0</v>
      </c>
      <c r="V889" s="1">
        <v>0.0</v>
      </c>
      <c r="W889" s="1" t="s">
        <v>26</v>
      </c>
    </row>
    <row r="890" ht="15.75" customHeight="1">
      <c r="A890" s="1" t="s">
        <v>927</v>
      </c>
      <c r="B890" s="1" t="s">
        <v>32</v>
      </c>
      <c r="C890" s="1">
        <v>0.0</v>
      </c>
      <c r="D890" s="1" t="s">
        <v>25</v>
      </c>
      <c r="E890" s="1" t="s">
        <v>25</v>
      </c>
      <c r="F890" s="1">
        <v>37.0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1">
        <v>91.2</v>
      </c>
      <c r="T890" s="1">
        <v>3247.55</v>
      </c>
      <c r="U890" s="1">
        <v>0.0</v>
      </c>
      <c r="V890" s="1">
        <v>0.0</v>
      </c>
      <c r="W890" s="1" t="s">
        <v>26</v>
      </c>
    </row>
    <row r="891" ht="15.75" customHeight="1">
      <c r="A891" s="1" t="s">
        <v>928</v>
      </c>
      <c r="B891" s="1" t="s">
        <v>24</v>
      </c>
      <c r="C891" s="1">
        <v>0.0</v>
      </c>
      <c r="D891" s="1" t="s">
        <v>25</v>
      </c>
      <c r="E891" s="1" t="s">
        <v>25</v>
      </c>
      <c r="F891" s="1">
        <v>63.0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1">
        <v>100.55</v>
      </c>
      <c r="T891" s="1">
        <v>6215.35</v>
      </c>
      <c r="U891" s="1">
        <v>0.0</v>
      </c>
      <c r="V891" s="1">
        <v>6.0</v>
      </c>
      <c r="W891" s="1" t="s">
        <v>25</v>
      </c>
    </row>
    <row r="892" ht="15.75" customHeight="1">
      <c r="A892" s="1" t="s">
        <v>929</v>
      </c>
      <c r="B892" s="1" t="s">
        <v>32</v>
      </c>
      <c r="C892" s="1">
        <v>0.0</v>
      </c>
      <c r="D892" s="1" t="s">
        <v>25</v>
      </c>
      <c r="E892" s="1" t="s">
        <v>25</v>
      </c>
      <c r="F892" s="1">
        <v>31.0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1">
        <v>89.3</v>
      </c>
      <c r="T892" s="1">
        <v>2823.0</v>
      </c>
      <c r="U892" s="1">
        <v>0.0</v>
      </c>
      <c r="V892" s="1">
        <v>0.0</v>
      </c>
      <c r="W892" s="1" t="s">
        <v>26</v>
      </c>
    </row>
    <row r="893" ht="15.75" customHeight="1">
      <c r="A893" s="1" t="s">
        <v>930</v>
      </c>
      <c r="B893" s="1" t="s">
        <v>32</v>
      </c>
      <c r="C893" s="1">
        <v>0.0</v>
      </c>
      <c r="D893" s="1" t="s">
        <v>25</v>
      </c>
      <c r="E893" s="1" t="s">
        <v>25</v>
      </c>
      <c r="F893" s="1">
        <v>50.0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1">
        <v>103.85</v>
      </c>
      <c r="T893" s="1">
        <v>5017.9</v>
      </c>
      <c r="U893" s="1">
        <v>1.0</v>
      </c>
      <c r="V893" s="1">
        <v>5.0</v>
      </c>
      <c r="W893" s="1" t="s">
        <v>25</v>
      </c>
    </row>
    <row r="894" ht="15.75" customHeight="1">
      <c r="A894" s="1" t="s">
        <v>931</v>
      </c>
      <c r="B894" s="1" t="s">
        <v>32</v>
      </c>
      <c r="C894" s="1">
        <v>1.0</v>
      </c>
      <c r="D894" s="1" t="s">
        <v>26</v>
      </c>
      <c r="E894" s="1" t="s">
        <v>26</v>
      </c>
      <c r="F894" s="1">
        <v>32.0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1">
        <v>81.1</v>
      </c>
      <c r="T894" s="1">
        <v>2619.25</v>
      </c>
      <c r="U894" s="1">
        <v>0.0</v>
      </c>
      <c r="V894" s="1">
        <v>0.0</v>
      </c>
      <c r="W894" s="1" t="s">
        <v>26</v>
      </c>
    </row>
    <row r="895" ht="15.75" customHeight="1">
      <c r="A895" s="1" t="s">
        <v>932</v>
      </c>
      <c r="B895" s="1" t="s">
        <v>24</v>
      </c>
      <c r="C895" s="1">
        <v>0.0</v>
      </c>
      <c r="D895" s="1" t="s">
        <v>26</v>
      </c>
      <c r="E895" s="1" t="s">
        <v>26</v>
      </c>
      <c r="F895" s="1">
        <v>1.0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1">
        <v>24.6</v>
      </c>
      <c r="T895" s="1">
        <v>24.6</v>
      </c>
      <c r="U895" s="1">
        <v>4.0</v>
      </c>
      <c r="V895" s="1">
        <v>0.0</v>
      </c>
      <c r="W895" s="1" t="s">
        <v>25</v>
      </c>
    </row>
    <row r="896" ht="15.75" customHeight="1">
      <c r="A896" s="1" t="s">
        <v>933</v>
      </c>
      <c r="B896" s="1" t="s">
        <v>24</v>
      </c>
      <c r="C896" s="1">
        <v>0.0</v>
      </c>
      <c r="D896" s="1" t="s">
        <v>25</v>
      </c>
      <c r="E896" s="1" t="s">
        <v>26</v>
      </c>
      <c r="F896" s="1">
        <v>63.0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1">
        <v>81.2</v>
      </c>
      <c r="T896" s="1">
        <v>4965.1</v>
      </c>
      <c r="U896" s="1">
        <v>0.0</v>
      </c>
      <c r="V896" s="1">
        <v>2.0</v>
      </c>
      <c r="W896" s="1" t="s">
        <v>26</v>
      </c>
    </row>
    <row r="897" ht="15.75" customHeight="1">
      <c r="A897" s="1" t="s">
        <v>934</v>
      </c>
      <c r="B897" s="1" t="s">
        <v>32</v>
      </c>
      <c r="C897" s="1">
        <v>0.0</v>
      </c>
      <c r="D897" s="1" t="s">
        <v>26</v>
      </c>
      <c r="E897" s="1" t="s">
        <v>26</v>
      </c>
      <c r="F897" s="1">
        <v>30.0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1">
        <v>94.3</v>
      </c>
      <c r="T897" s="1">
        <v>2679.7</v>
      </c>
      <c r="U897" s="1">
        <v>0.0</v>
      </c>
      <c r="V897" s="1">
        <v>0.0</v>
      </c>
      <c r="W897" s="1" t="s">
        <v>26</v>
      </c>
    </row>
    <row r="898" ht="15.75" customHeight="1">
      <c r="A898" s="1" t="s">
        <v>935</v>
      </c>
      <c r="B898" s="1" t="s">
        <v>32</v>
      </c>
      <c r="C898" s="1">
        <v>0.0</v>
      </c>
      <c r="D898" s="1" t="s">
        <v>25</v>
      </c>
      <c r="E898" s="1" t="s">
        <v>26</v>
      </c>
      <c r="F898" s="1">
        <v>71.0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1">
        <v>116.1</v>
      </c>
      <c r="T898" s="1">
        <v>8310.55</v>
      </c>
      <c r="U898" s="1">
        <v>0.0</v>
      </c>
      <c r="V898" s="1">
        <v>0.0</v>
      </c>
      <c r="W898" s="1" t="s">
        <v>26</v>
      </c>
    </row>
    <row r="899" ht="15.75" customHeight="1">
      <c r="A899" s="1" t="s">
        <v>936</v>
      </c>
      <c r="B899" s="1" t="s">
        <v>24</v>
      </c>
      <c r="C899" s="1">
        <v>0.0</v>
      </c>
      <c r="D899" s="1" t="s">
        <v>26</v>
      </c>
      <c r="E899" s="1" t="s">
        <v>26</v>
      </c>
      <c r="F899" s="1">
        <v>53.0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1">
        <v>105.55</v>
      </c>
      <c r="T899" s="1">
        <v>5682.25</v>
      </c>
      <c r="U899" s="1">
        <v>0.0</v>
      </c>
      <c r="V899" s="1">
        <v>0.0</v>
      </c>
      <c r="W899" s="1" t="s">
        <v>26</v>
      </c>
    </row>
    <row r="900" ht="15.75" customHeight="1">
      <c r="A900" s="1" t="s">
        <v>937</v>
      </c>
      <c r="B900" s="1" t="s">
        <v>24</v>
      </c>
      <c r="C900" s="1">
        <v>0.0</v>
      </c>
      <c r="D900" s="1" t="s">
        <v>26</v>
      </c>
      <c r="E900" s="1" t="s">
        <v>26</v>
      </c>
      <c r="F900" s="1">
        <v>12.0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1">
        <v>98.9</v>
      </c>
      <c r="T900" s="1">
        <v>1120.95</v>
      </c>
      <c r="U900" s="1">
        <v>1.0</v>
      </c>
      <c r="V900" s="1">
        <v>2.0</v>
      </c>
      <c r="W900" s="1" t="s">
        <v>25</v>
      </c>
    </row>
    <row r="901" ht="15.75" customHeight="1">
      <c r="A901" s="1" t="s">
        <v>938</v>
      </c>
      <c r="B901" s="1" t="s">
        <v>32</v>
      </c>
      <c r="C901" s="1">
        <v>0.0</v>
      </c>
      <c r="D901" s="1" t="s">
        <v>25</v>
      </c>
      <c r="E901" s="1" t="s">
        <v>26</v>
      </c>
      <c r="F901" s="1">
        <v>50.0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1">
        <v>94.4</v>
      </c>
      <c r="T901" s="1">
        <v>4914.9</v>
      </c>
      <c r="U901" s="1">
        <v>0.0</v>
      </c>
      <c r="V901" s="1">
        <v>0.0</v>
      </c>
      <c r="W901" s="1" t="s">
        <v>26</v>
      </c>
    </row>
    <row r="902" ht="15.75" customHeight="1">
      <c r="A902" s="1" t="s">
        <v>939</v>
      </c>
      <c r="B902" s="1" t="s">
        <v>24</v>
      </c>
      <c r="C902" s="1">
        <v>0.0</v>
      </c>
      <c r="D902" s="1" t="s">
        <v>26</v>
      </c>
      <c r="E902" s="1" t="s">
        <v>26</v>
      </c>
      <c r="F902" s="1">
        <v>2.0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1">
        <v>19.5</v>
      </c>
      <c r="T902" s="1">
        <v>27.55</v>
      </c>
      <c r="U902" s="1">
        <v>0.0</v>
      </c>
      <c r="V902" s="1">
        <v>0.0</v>
      </c>
      <c r="W902" s="1" t="s">
        <v>26</v>
      </c>
    </row>
    <row r="903" ht="15.75" customHeight="1">
      <c r="A903" s="1" t="s">
        <v>940</v>
      </c>
      <c r="B903" s="1" t="s">
        <v>24</v>
      </c>
      <c r="C903" s="1">
        <v>0.0</v>
      </c>
      <c r="D903" s="1" t="s">
        <v>26</v>
      </c>
      <c r="E903" s="1" t="s">
        <v>26</v>
      </c>
      <c r="F903" s="1">
        <v>9.0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1">
        <v>98.3</v>
      </c>
      <c r="T903" s="1">
        <v>923.5</v>
      </c>
      <c r="U903" s="1">
        <v>0.0</v>
      </c>
      <c r="V903" s="1">
        <v>0.0</v>
      </c>
      <c r="W903" s="1" t="s">
        <v>25</v>
      </c>
    </row>
    <row r="904" ht="15.75" customHeight="1">
      <c r="A904" s="1" t="s">
        <v>941</v>
      </c>
      <c r="B904" s="1" t="s">
        <v>32</v>
      </c>
      <c r="C904" s="1">
        <v>0.0</v>
      </c>
      <c r="D904" s="1" t="s">
        <v>26</v>
      </c>
      <c r="E904" s="1" t="s">
        <v>26</v>
      </c>
      <c r="F904" s="1">
        <v>17.0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1">
        <v>93.85</v>
      </c>
      <c r="T904" s="1">
        <v>1625.65</v>
      </c>
      <c r="U904" s="1">
        <v>3.0</v>
      </c>
      <c r="V904" s="1">
        <v>1.0</v>
      </c>
      <c r="W904" s="1" t="s">
        <v>25</v>
      </c>
    </row>
    <row r="905" ht="15.75" customHeight="1">
      <c r="A905" s="1" t="s">
        <v>942</v>
      </c>
      <c r="B905" s="1" t="s">
        <v>24</v>
      </c>
      <c r="C905" s="1">
        <v>0.0</v>
      </c>
      <c r="D905" s="1" t="s">
        <v>25</v>
      </c>
      <c r="E905" s="1" t="s">
        <v>26</v>
      </c>
      <c r="F905" s="1">
        <v>56.0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1">
        <v>105.6</v>
      </c>
      <c r="T905" s="1">
        <v>6068.65</v>
      </c>
      <c r="U905" s="1">
        <v>0.0</v>
      </c>
      <c r="V905" s="1">
        <v>0.0</v>
      </c>
      <c r="W905" s="1" t="s">
        <v>26</v>
      </c>
    </row>
    <row r="906" ht="15.75" customHeight="1">
      <c r="A906" s="1" t="s">
        <v>943</v>
      </c>
      <c r="B906" s="1" t="s">
        <v>32</v>
      </c>
      <c r="C906" s="1">
        <v>0.0</v>
      </c>
      <c r="D906" s="1" t="s">
        <v>25</v>
      </c>
      <c r="E906" s="1" t="s">
        <v>25</v>
      </c>
      <c r="F906" s="1">
        <v>67.0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1">
        <v>81.35</v>
      </c>
      <c r="T906" s="1">
        <v>5398.6</v>
      </c>
      <c r="U906" s="1">
        <v>2.0</v>
      </c>
      <c r="V906" s="1">
        <v>0.0</v>
      </c>
      <c r="W906" s="1" t="s">
        <v>26</v>
      </c>
    </row>
    <row r="907" ht="15.75" customHeight="1">
      <c r="A907" s="1" t="s">
        <v>944</v>
      </c>
      <c r="B907" s="1" t="s">
        <v>32</v>
      </c>
      <c r="C907" s="1">
        <v>1.0</v>
      </c>
      <c r="D907" s="1" t="s">
        <v>26</v>
      </c>
      <c r="E907" s="1" t="s">
        <v>26</v>
      </c>
      <c r="F907" s="1">
        <v>9.0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1">
        <v>100.5</v>
      </c>
      <c r="T907" s="1">
        <v>918.6</v>
      </c>
      <c r="U907" s="1">
        <v>0.0</v>
      </c>
      <c r="V907" s="1">
        <v>0.0</v>
      </c>
      <c r="W907" s="1" t="s">
        <v>25</v>
      </c>
    </row>
    <row r="908" ht="15.75" customHeight="1">
      <c r="A908" s="1" t="s">
        <v>945</v>
      </c>
      <c r="B908" s="1" t="s">
        <v>32</v>
      </c>
      <c r="C908" s="1">
        <v>0.0</v>
      </c>
      <c r="D908" s="1" t="s">
        <v>26</v>
      </c>
      <c r="E908" s="1" t="s">
        <v>26</v>
      </c>
      <c r="F908" s="1">
        <v>4.0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1">
        <v>56.4</v>
      </c>
      <c r="T908" s="1">
        <v>234.85</v>
      </c>
      <c r="U908" s="1">
        <v>5.0</v>
      </c>
      <c r="V908" s="1">
        <v>0.0</v>
      </c>
      <c r="W908" s="1" t="s">
        <v>26</v>
      </c>
    </row>
    <row r="909" ht="15.75" customHeight="1">
      <c r="A909" s="1" t="s">
        <v>946</v>
      </c>
      <c r="B909" s="1" t="s">
        <v>32</v>
      </c>
      <c r="C909" s="1">
        <v>0.0</v>
      </c>
      <c r="D909" s="1" t="s">
        <v>26</v>
      </c>
      <c r="E909" s="1" t="s">
        <v>26</v>
      </c>
      <c r="F909" s="1">
        <v>19.0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1">
        <v>65.35</v>
      </c>
      <c r="T909" s="1">
        <v>1231.85</v>
      </c>
      <c r="U909" s="1">
        <v>3.0</v>
      </c>
      <c r="V909" s="1">
        <v>0.0</v>
      </c>
      <c r="W909" s="1" t="s">
        <v>26</v>
      </c>
    </row>
    <row r="910" ht="15.75" customHeight="1">
      <c r="A910" s="1" t="s">
        <v>947</v>
      </c>
      <c r="B910" s="1" t="s">
        <v>24</v>
      </c>
      <c r="C910" s="1">
        <v>0.0</v>
      </c>
      <c r="D910" s="1" t="s">
        <v>26</v>
      </c>
      <c r="E910" s="1" t="s">
        <v>25</v>
      </c>
      <c r="F910" s="1">
        <v>8.0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1">
        <v>19.95</v>
      </c>
      <c r="T910" s="1">
        <v>170.9</v>
      </c>
      <c r="U910" s="1">
        <v>0.0</v>
      </c>
      <c r="V910" s="1">
        <v>0.0</v>
      </c>
      <c r="W910" s="1" t="s">
        <v>26</v>
      </c>
    </row>
    <row r="911" ht="15.75" customHeight="1">
      <c r="A911" s="1" t="s">
        <v>948</v>
      </c>
      <c r="B911" s="1" t="s">
        <v>24</v>
      </c>
      <c r="C911" s="1">
        <v>0.0</v>
      </c>
      <c r="D911" s="1" t="s">
        <v>26</v>
      </c>
      <c r="E911" s="1" t="s">
        <v>26</v>
      </c>
      <c r="F911" s="1">
        <v>71.0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1">
        <v>111.25</v>
      </c>
      <c r="T911" s="1">
        <v>7984.15</v>
      </c>
      <c r="U911" s="1">
        <v>0.0</v>
      </c>
      <c r="V911" s="1">
        <v>0.0</v>
      </c>
      <c r="W911" s="1" t="s">
        <v>26</v>
      </c>
    </row>
    <row r="912" ht="15.75" customHeight="1">
      <c r="A912" s="1" t="s">
        <v>949</v>
      </c>
      <c r="B912" s="1" t="s">
        <v>32</v>
      </c>
      <c r="C912" s="1">
        <v>1.0</v>
      </c>
      <c r="D912" s="1" t="s">
        <v>26</v>
      </c>
      <c r="E912" s="1" t="s">
        <v>26</v>
      </c>
      <c r="F912" s="1">
        <v>10.0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1">
        <v>72.85</v>
      </c>
      <c r="T912" s="1">
        <v>688.65</v>
      </c>
      <c r="U912" s="1">
        <v>0.0</v>
      </c>
      <c r="V912" s="1">
        <v>0.0</v>
      </c>
      <c r="W912" s="1" t="s">
        <v>25</v>
      </c>
    </row>
    <row r="913" ht="15.75" customHeight="1">
      <c r="A913" s="1" t="s">
        <v>950</v>
      </c>
      <c r="B913" s="1" t="s">
        <v>24</v>
      </c>
      <c r="C913" s="1">
        <v>1.0</v>
      </c>
      <c r="D913" s="1" t="s">
        <v>26</v>
      </c>
      <c r="E913" s="1" t="s">
        <v>26</v>
      </c>
      <c r="F913" s="1">
        <v>15.0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1">
        <v>89.0</v>
      </c>
      <c r="T913" s="1">
        <v>1288.3</v>
      </c>
      <c r="U913" s="1">
        <v>0.0</v>
      </c>
      <c r="V913" s="1">
        <v>0.0</v>
      </c>
      <c r="W913" s="1" t="s">
        <v>26</v>
      </c>
    </row>
    <row r="914" ht="15.75" customHeight="1">
      <c r="A914" s="1" t="s">
        <v>951</v>
      </c>
      <c r="B914" s="1" t="s">
        <v>32</v>
      </c>
      <c r="C914" s="1">
        <v>0.0</v>
      </c>
      <c r="D914" s="1" t="s">
        <v>25</v>
      </c>
      <c r="E914" s="1" t="s">
        <v>25</v>
      </c>
      <c r="F914" s="1">
        <v>72.0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1">
        <v>106.1</v>
      </c>
      <c r="T914" s="1">
        <v>7848.5</v>
      </c>
      <c r="U914" s="1">
        <v>0.0</v>
      </c>
      <c r="V914" s="1">
        <v>0.0</v>
      </c>
      <c r="W914" s="1" t="s">
        <v>26</v>
      </c>
    </row>
    <row r="915" ht="15.75" customHeight="1">
      <c r="A915" s="1" t="s">
        <v>952</v>
      </c>
      <c r="B915" s="1" t="s">
        <v>32</v>
      </c>
      <c r="C915" s="1">
        <v>0.0</v>
      </c>
      <c r="D915" s="1" t="s">
        <v>26</v>
      </c>
      <c r="E915" s="1" t="s">
        <v>26</v>
      </c>
      <c r="F915" s="1">
        <v>12.0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1">
        <v>20.05</v>
      </c>
      <c r="T915" s="1">
        <v>267.0</v>
      </c>
      <c r="U915" s="1">
        <v>0.0</v>
      </c>
      <c r="V915" s="1">
        <v>0.0</v>
      </c>
      <c r="W915" s="1" t="s">
        <v>26</v>
      </c>
    </row>
    <row r="916" ht="15.75" customHeight="1">
      <c r="A916" s="1" t="s">
        <v>953</v>
      </c>
      <c r="B916" s="1" t="s">
        <v>32</v>
      </c>
      <c r="C916" s="1">
        <v>0.0</v>
      </c>
      <c r="D916" s="1" t="s">
        <v>25</v>
      </c>
      <c r="E916" s="1" t="s">
        <v>25</v>
      </c>
      <c r="F916" s="1">
        <v>72.0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1">
        <v>25.2</v>
      </c>
      <c r="T916" s="1">
        <v>1798.9</v>
      </c>
      <c r="U916" s="1">
        <v>0.0</v>
      </c>
      <c r="V916" s="1">
        <v>0.0</v>
      </c>
      <c r="W916" s="1" t="s">
        <v>26</v>
      </c>
    </row>
    <row r="917" ht="15.75" customHeight="1">
      <c r="A917" s="1" t="s">
        <v>954</v>
      </c>
      <c r="B917" s="1" t="s">
        <v>32</v>
      </c>
      <c r="C917" s="1">
        <v>1.0</v>
      </c>
      <c r="D917" s="1" t="s">
        <v>25</v>
      </c>
      <c r="E917" s="1" t="s">
        <v>26</v>
      </c>
      <c r="F917" s="1">
        <v>1.0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1">
        <v>73.55</v>
      </c>
      <c r="T917" s="1">
        <v>73.55</v>
      </c>
      <c r="U917" s="1">
        <v>0.0</v>
      </c>
      <c r="V917" s="1">
        <v>0.0</v>
      </c>
      <c r="W917" s="1" t="s">
        <v>25</v>
      </c>
    </row>
    <row r="918" ht="15.75" customHeight="1">
      <c r="A918" s="1" t="s">
        <v>955</v>
      </c>
      <c r="B918" s="1" t="s">
        <v>24</v>
      </c>
      <c r="C918" s="1">
        <v>1.0</v>
      </c>
      <c r="D918" s="1" t="s">
        <v>26</v>
      </c>
      <c r="E918" s="1" t="s">
        <v>26</v>
      </c>
      <c r="F918" s="1">
        <v>23.0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1">
        <v>75.4</v>
      </c>
      <c r="T918" s="1">
        <v>1643.55</v>
      </c>
      <c r="U918" s="1">
        <v>0.0</v>
      </c>
      <c r="V918" s="1">
        <v>0.0</v>
      </c>
      <c r="W918" s="1" t="s">
        <v>26</v>
      </c>
    </row>
    <row r="919" ht="15.75" customHeight="1">
      <c r="A919" s="1" t="s">
        <v>956</v>
      </c>
      <c r="B919" s="1" t="s">
        <v>32</v>
      </c>
      <c r="C919" s="1">
        <v>0.0</v>
      </c>
      <c r="D919" s="1" t="s">
        <v>26</v>
      </c>
      <c r="E919" s="1" t="s">
        <v>26</v>
      </c>
      <c r="F919" s="1">
        <v>72.0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1">
        <v>65.55</v>
      </c>
      <c r="T919" s="1">
        <v>4807.45</v>
      </c>
      <c r="U919" s="1">
        <v>0.0</v>
      </c>
      <c r="V919" s="1">
        <v>0.0</v>
      </c>
      <c r="W919" s="1" t="s">
        <v>26</v>
      </c>
    </row>
    <row r="920" ht="15.75" customHeight="1">
      <c r="A920" s="1" t="s">
        <v>957</v>
      </c>
      <c r="B920" s="1" t="s">
        <v>24</v>
      </c>
      <c r="C920" s="1">
        <v>0.0</v>
      </c>
      <c r="D920" s="1" t="s">
        <v>26</v>
      </c>
      <c r="E920" s="1" t="s">
        <v>26</v>
      </c>
      <c r="F920" s="1">
        <v>26.0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1">
        <v>80.7</v>
      </c>
      <c r="T920" s="1">
        <v>2193.0</v>
      </c>
      <c r="U920" s="1">
        <v>0.0</v>
      </c>
      <c r="V920" s="1">
        <v>0.0</v>
      </c>
      <c r="W920" s="1" t="s">
        <v>26</v>
      </c>
    </row>
    <row r="921" ht="15.75" customHeight="1">
      <c r="A921" s="1" t="s">
        <v>958</v>
      </c>
      <c r="B921" s="1" t="s">
        <v>24</v>
      </c>
      <c r="C921" s="1">
        <v>0.0</v>
      </c>
      <c r="D921" s="1" t="s">
        <v>26</v>
      </c>
      <c r="E921" s="1" t="s">
        <v>26</v>
      </c>
      <c r="F921" s="1">
        <v>21.0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1">
        <v>104.55</v>
      </c>
      <c r="T921" s="1">
        <v>2239.4</v>
      </c>
      <c r="U921" s="1">
        <v>0.0</v>
      </c>
      <c r="V921" s="1">
        <v>0.0</v>
      </c>
      <c r="W921" s="1" t="s">
        <v>26</v>
      </c>
    </row>
    <row r="922" ht="15.75" customHeight="1">
      <c r="A922" s="1" t="s">
        <v>959</v>
      </c>
      <c r="B922" s="1" t="s">
        <v>32</v>
      </c>
      <c r="C922" s="1">
        <v>0.0</v>
      </c>
      <c r="D922" s="1" t="s">
        <v>25</v>
      </c>
      <c r="E922" s="1" t="s">
        <v>26</v>
      </c>
      <c r="F922" s="1">
        <v>60.0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1">
        <v>24.15</v>
      </c>
      <c r="T922" s="1">
        <v>1505.9</v>
      </c>
      <c r="U922" s="1">
        <v>0.0</v>
      </c>
      <c r="V922" s="1">
        <v>0.0</v>
      </c>
      <c r="W922" s="1" t="s">
        <v>26</v>
      </c>
    </row>
    <row r="923" ht="15.75" customHeight="1">
      <c r="A923" s="1" t="s">
        <v>960</v>
      </c>
      <c r="B923" s="1" t="s">
        <v>32</v>
      </c>
      <c r="C923" s="1">
        <v>0.0</v>
      </c>
      <c r="D923" s="1" t="s">
        <v>26</v>
      </c>
      <c r="E923" s="1" t="s">
        <v>26</v>
      </c>
      <c r="F923" s="1">
        <v>12.0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1">
        <v>20.45</v>
      </c>
      <c r="T923" s="1">
        <v>255.35</v>
      </c>
      <c r="U923" s="1">
        <v>2.0</v>
      </c>
      <c r="V923" s="1">
        <v>0.0</v>
      </c>
      <c r="W923" s="1" t="s">
        <v>26</v>
      </c>
    </row>
    <row r="924" ht="15.75" customHeight="1">
      <c r="A924" s="1" t="s">
        <v>961</v>
      </c>
      <c r="B924" s="1" t="s">
        <v>32</v>
      </c>
      <c r="C924" s="1">
        <v>0.0</v>
      </c>
      <c r="D924" s="1" t="s">
        <v>25</v>
      </c>
      <c r="E924" s="1" t="s">
        <v>26</v>
      </c>
      <c r="F924" s="1">
        <v>16.0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1">
        <v>75.4</v>
      </c>
      <c r="T924" s="1">
        <v>1189.4</v>
      </c>
      <c r="U924" s="1">
        <v>0.0</v>
      </c>
      <c r="V924" s="1">
        <v>0.0</v>
      </c>
      <c r="W924" s="1" t="s">
        <v>26</v>
      </c>
    </row>
    <row r="925" ht="15.75" customHeight="1">
      <c r="A925" s="1" t="s">
        <v>962</v>
      </c>
      <c r="B925" s="1" t="s">
        <v>24</v>
      </c>
      <c r="C925" s="1">
        <v>0.0</v>
      </c>
      <c r="D925" s="1" t="s">
        <v>25</v>
      </c>
      <c r="E925" s="1" t="s">
        <v>26</v>
      </c>
      <c r="F925" s="1">
        <v>63.0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1">
        <v>79.7</v>
      </c>
      <c r="T925" s="1">
        <v>4786.15</v>
      </c>
      <c r="U925" s="1">
        <v>3.0</v>
      </c>
      <c r="V925" s="1">
        <v>0.0</v>
      </c>
      <c r="W925" s="1" t="s">
        <v>26</v>
      </c>
    </row>
    <row r="926" ht="15.75" customHeight="1">
      <c r="A926" s="1" t="s">
        <v>963</v>
      </c>
      <c r="B926" s="1" t="s">
        <v>24</v>
      </c>
      <c r="C926" s="1">
        <v>1.0</v>
      </c>
      <c r="D926" s="1" t="s">
        <v>26</v>
      </c>
      <c r="E926" s="1" t="s">
        <v>26</v>
      </c>
      <c r="F926" s="1">
        <v>22.0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1">
        <v>81.7</v>
      </c>
      <c r="T926" s="1">
        <v>1820.9</v>
      </c>
      <c r="U926" s="1">
        <v>3.0</v>
      </c>
      <c r="V926" s="1">
        <v>0.0</v>
      </c>
      <c r="W926" s="1" t="s">
        <v>26</v>
      </c>
    </row>
    <row r="927" ht="15.75" customHeight="1">
      <c r="A927" s="1" t="s">
        <v>964</v>
      </c>
      <c r="B927" s="1" t="s">
        <v>24</v>
      </c>
      <c r="C927" s="1">
        <v>0.0</v>
      </c>
      <c r="D927" s="1" t="s">
        <v>25</v>
      </c>
      <c r="E927" s="1" t="s">
        <v>25</v>
      </c>
      <c r="F927" s="1">
        <v>32.0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1">
        <v>76.3</v>
      </c>
      <c r="T927" s="1">
        <v>2404.15</v>
      </c>
      <c r="U927" s="1">
        <v>0.0</v>
      </c>
      <c r="V927" s="1">
        <v>0.0</v>
      </c>
      <c r="W927" s="1" t="s">
        <v>26</v>
      </c>
    </row>
    <row r="928" ht="15.75" customHeight="1">
      <c r="A928" s="1" t="s">
        <v>965</v>
      </c>
      <c r="B928" s="1" t="s">
        <v>24</v>
      </c>
      <c r="C928" s="1">
        <v>1.0</v>
      </c>
      <c r="D928" s="1" t="s">
        <v>26</v>
      </c>
      <c r="E928" s="1" t="s">
        <v>26</v>
      </c>
      <c r="F928" s="1">
        <v>3.0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1">
        <v>79.4</v>
      </c>
      <c r="T928" s="1">
        <v>205.05</v>
      </c>
      <c r="U928" s="1">
        <v>0.0</v>
      </c>
      <c r="V928" s="1">
        <v>0.0</v>
      </c>
      <c r="W928" s="1" t="s">
        <v>25</v>
      </c>
    </row>
    <row r="929" ht="15.75" customHeight="1">
      <c r="A929" s="1" t="s">
        <v>966</v>
      </c>
      <c r="B929" s="1" t="s">
        <v>24</v>
      </c>
      <c r="C929" s="1">
        <v>0.0</v>
      </c>
      <c r="D929" s="1" t="s">
        <v>26</v>
      </c>
      <c r="E929" s="1" t="s">
        <v>26</v>
      </c>
      <c r="F929" s="1">
        <v>13.0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1">
        <v>81.15</v>
      </c>
      <c r="T929" s="1">
        <v>952.3</v>
      </c>
      <c r="U929" s="1">
        <v>2.0</v>
      </c>
      <c r="V929" s="1">
        <v>1.0</v>
      </c>
      <c r="W929" s="1" t="s">
        <v>25</v>
      </c>
    </row>
    <row r="930" ht="15.75" customHeight="1">
      <c r="A930" s="1" t="s">
        <v>967</v>
      </c>
      <c r="B930" s="1" t="s">
        <v>24</v>
      </c>
      <c r="C930" s="1">
        <v>0.0</v>
      </c>
      <c r="D930" s="1" t="s">
        <v>25</v>
      </c>
      <c r="E930" s="1" t="s">
        <v>25</v>
      </c>
      <c r="F930" s="1">
        <v>68.0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1">
        <v>103.75</v>
      </c>
      <c r="T930" s="1">
        <v>7039.45</v>
      </c>
      <c r="U930" s="1">
        <v>0.0</v>
      </c>
      <c r="V930" s="1">
        <v>0.0</v>
      </c>
      <c r="W930" s="1" t="s">
        <v>26</v>
      </c>
    </row>
    <row r="931" ht="15.75" customHeight="1">
      <c r="A931" s="1" t="s">
        <v>968</v>
      </c>
      <c r="B931" s="1" t="s">
        <v>24</v>
      </c>
      <c r="C931" s="1">
        <v>0.0</v>
      </c>
      <c r="D931" s="1" t="s">
        <v>25</v>
      </c>
      <c r="E931" s="1" t="s">
        <v>25</v>
      </c>
      <c r="F931" s="1">
        <v>30.0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1">
        <v>86.45</v>
      </c>
      <c r="T931" s="1">
        <v>2538.05</v>
      </c>
      <c r="U931" s="1">
        <v>0.0</v>
      </c>
      <c r="V931" s="1">
        <v>0.0</v>
      </c>
      <c r="W931" s="1" t="s">
        <v>26</v>
      </c>
    </row>
    <row r="932" ht="15.75" customHeight="1">
      <c r="A932" s="1" t="s">
        <v>969</v>
      </c>
      <c r="B932" s="1" t="s">
        <v>24</v>
      </c>
      <c r="C932" s="1">
        <v>0.0</v>
      </c>
      <c r="D932" s="1" t="s">
        <v>26</v>
      </c>
      <c r="E932" s="1" t="s">
        <v>26</v>
      </c>
      <c r="F932" s="1">
        <v>16.0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1">
        <v>75.1</v>
      </c>
      <c r="T932" s="1">
        <v>1212.85</v>
      </c>
      <c r="U932" s="1">
        <v>0.0</v>
      </c>
      <c r="V932" s="1">
        <v>0.0</v>
      </c>
      <c r="W932" s="1" t="s">
        <v>26</v>
      </c>
    </row>
    <row r="933" ht="15.75" customHeight="1">
      <c r="A933" s="1" t="s">
        <v>970</v>
      </c>
      <c r="B933" s="1" t="s">
        <v>32</v>
      </c>
      <c r="C933" s="1">
        <v>0.0</v>
      </c>
      <c r="D933" s="1" t="s">
        <v>26</v>
      </c>
      <c r="E933" s="1" t="s">
        <v>26</v>
      </c>
      <c r="F933" s="1">
        <v>33.0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1">
        <v>80.6</v>
      </c>
      <c r="T933" s="1">
        <v>2651.1</v>
      </c>
      <c r="U933" s="1">
        <v>0.0</v>
      </c>
      <c r="V933" s="1">
        <v>0.0</v>
      </c>
      <c r="W933" s="1" t="s">
        <v>26</v>
      </c>
    </row>
    <row r="934" ht="15.75" customHeight="1">
      <c r="A934" s="1" t="s">
        <v>971</v>
      </c>
      <c r="B934" s="1" t="s">
        <v>32</v>
      </c>
      <c r="C934" s="1">
        <v>0.0</v>
      </c>
      <c r="D934" s="1" t="s">
        <v>25</v>
      </c>
      <c r="E934" s="1" t="s">
        <v>26</v>
      </c>
      <c r="F934" s="1">
        <v>72.0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1">
        <v>19.3</v>
      </c>
      <c r="T934" s="1">
        <v>1304.8</v>
      </c>
      <c r="U934" s="1">
        <v>0.0</v>
      </c>
      <c r="V934" s="1">
        <v>0.0</v>
      </c>
      <c r="W934" s="1" t="s">
        <v>26</v>
      </c>
    </row>
    <row r="935" ht="15.75" customHeight="1">
      <c r="A935" s="1" t="s">
        <v>972</v>
      </c>
      <c r="B935" s="1" t="s">
        <v>24</v>
      </c>
      <c r="C935" s="1">
        <v>1.0</v>
      </c>
      <c r="D935" s="1" t="s">
        <v>26</v>
      </c>
      <c r="E935" s="1" t="s">
        <v>26</v>
      </c>
      <c r="F935" s="1">
        <v>4.0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1">
        <v>84.6</v>
      </c>
      <c r="T935" s="1">
        <v>360.1</v>
      </c>
      <c r="U935" s="1">
        <v>0.0</v>
      </c>
      <c r="V935" s="1">
        <v>0.0</v>
      </c>
      <c r="W935" s="1" t="s">
        <v>25</v>
      </c>
    </row>
    <row r="936" ht="15.75" customHeight="1">
      <c r="A936" s="1" t="s">
        <v>973</v>
      </c>
      <c r="B936" s="1" t="s">
        <v>24</v>
      </c>
      <c r="C936" s="1">
        <v>0.0</v>
      </c>
      <c r="D936" s="1" t="s">
        <v>26</v>
      </c>
      <c r="E936" s="1" t="s">
        <v>26</v>
      </c>
      <c r="F936" s="1">
        <v>12.0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1">
        <v>33.6</v>
      </c>
      <c r="T936" s="1">
        <v>435.45</v>
      </c>
      <c r="U936" s="1">
        <v>0.0</v>
      </c>
      <c r="V936" s="1">
        <v>0.0</v>
      </c>
      <c r="W936" s="1" t="s">
        <v>26</v>
      </c>
    </row>
    <row r="937" ht="15.75" customHeight="1">
      <c r="A937" s="1" t="s">
        <v>974</v>
      </c>
      <c r="B937" s="1" t="s">
        <v>24</v>
      </c>
      <c r="C937" s="1">
        <v>1.0</v>
      </c>
      <c r="D937" s="1" t="s">
        <v>25</v>
      </c>
      <c r="E937" s="1" t="s">
        <v>26</v>
      </c>
      <c r="F937" s="1">
        <v>4.0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1">
        <v>83.25</v>
      </c>
      <c r="T937" s="1">
        <v>308.05</v>
      </c>
      <c r="U937" s="1">
        <v>0.0</v>
      </c>
      <c r="V937" s="1">
        <v>0.0</v>
      </c>
      <c r="W937" s="1" t="s">
        <v>26</v>
      </c>
    </row>
    <row r="938" ht="15.75" customHeight="1">
      <c r="A938" s="1" t="s">
        <v>975</v>
      </c>
      <c r="B938" s="1" t="s">
        <v>24</v>
      </c>
      <c r="C938" s="1">
        <v>0.0</v>
      </c>
      <c r="D938" s="1" t="s">
        <v>25</v>
      </c>
      <c r="E938" s="1" t="s">
        <v>25</v>
      </c>
      <c r="F938" s="1">
        <v>0.0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1">
        <v>80.85</v>
      </c>
      <c r="T938" s="1" t="s">
        <v>527</v>
      </c>
      <c r="U938" s="1">
        <v>0.0</v>
      </c>
      <c r="V938" s="1">
        <v>0.0</v>
      </c>
      <c r="W938" s="1" t="s">
        <v>26</v>
      </c>
    </row>
    <row r="939" ht="15.75" customHeight="1">
      <c r="A939" s="1" t="s">
        <v>976</v>
      </c>
      <c r="B939" s="1" t="s">
        <v>24</v>
      </c>
      <c r="C939" s="1">
        <v>0.0</v>
      </c>
      <c r="D939" s="1" t="s">
        <v>26</v>
      </c>
      <c r="E939" s="1" t="s">
        <v>26</v>
      </c>
      <c r="F939" s="1">
        <v>6.0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1">
        <v>79.05</v>
      </c>
      <c r="T939" s="1">
        <v>434.5</v>
      </c>
      <c r="U939" s="1">
        <v>0.0</v>
      </c>
      <c r="V939" s="1">
        <v>0.0</v>
      </c>
      <c r="W939" s="1" t="s">
        <v>25</v>
      </c>
    </row>
    <row r="940" ht="15.75" customHeight="1">
      <c r="A940" s="1" t="s">
        <v>977</v>
      </c>
      <c r="B940" s="1" t="s">
        <v>24</v>
      </c>
      <c r="C940" s="1">
        <v>0.0</v>
      </c>
      <c r="D940" s="1" t="s">
        <v>25</v>
      </c>
      <c r="E940" s="1" t="s">
        <v>26</v>
      </c>
      <c r="F940" s="1">
        <v>65.0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1">
        <v>108.05</v>
      </c>
      <c r="T940" s="1">
        <v>7118.9</v>
      </c>
      <c r="U940" s="1">
        <v>0.0</v>
      </c>
      <c r="V940" s="1">
        <v>0.0</v>
      </c>
      <c r="W940" s="1" t="s">
        <v>26</v>
      </c>
    </row>
    <row r="941" ht="15.75" customHeight="1">
      <c r="A941" s="1" t="s">
        <v>978</v>
      </c>
      <c r="B941" s="1" t="s">
        <v>24</v>
      </c>
      <c r="C941" s="1">
        <v>0.0</v>
      </c>
      <c r="D941" s="1" t="s">
        <v>26</v>
      </c>
      <c r="E941" s="1" t="s">
        <v>26</v>
      </c>
      <c r="F941" s="1">
        <v>15.0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1">
        <v>19.9</v>
      </c>
      <c r="T941" s="1">
        <v>320.45</v>
      </c>
      <c r="U941" s="1">
        <v>0.0</v>
      </c>
      <c r="V941" s="1">
        <v>0.0</v>
      </c>
      <c r="W941" s="1" t="s">
        <v>26</v>
      </c>
    </row>
    <row r="942" ht="15.75" customHeight="1">
      <c r="A942" s="1" t="s">
        <v>979</v>
      </c>
      <c r="B942" s="1" t="s">
        <v>24</v>
      </c>
      <c r="C942" s="1">
        <v>0.0</v>
      </c>
      <c r="D942" s="1" t="s">
        <v>26</v>
      </c>
      <c r="E942" s="1" t="s">
        <v>25</v>
      </c>
      <c r="F942" s="1">
        <v>24.0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1">
        <v>21.05</v>
      </c>
      <c r="T942" s="1">
        <v>531.55</v>
      </c>
      <c r="U942" s="1">
        <v>0.0</v>
      </c>
      <c r="V942" s="1">
        <v>0.0</v>
      </c>
      <c r="W942" s="1" t="s">
        <v>26</v>
      </c>
    </row>
    <row r="943" ht="15.75" customHeight="1">
      <c r="A943" s="1" t="s">
        <v>980</v>
      </c>
      <c r="B943" s="1" t="s">
        <v>24</v>
      </c>
      <c r="C943" s="1">
        <v>0.0</v>
      </c>
      <c r="D943" s="1" t="s">
        <v>26</v>
      </c>
      <c r="E943" s="1" t="s">
        <v>25</v>
      </c>
      <c r="F943" s="1">
        <v>13.0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1">
        <v>30.15</v>
      </c>
      <c r="T943" s="1">
        <v>382.2</v>
      </c>
      <c r="U943" s="1">
        <v>0.0</v>
      </c>
      <c r="V943" s="1">
        <v>0.0</v>
      </c>
      <c r="W943" s="1" t="s">
        <v>26</v>
      </c>
    </row>
    <row r="944" ht="15.75" customHeight="1">
      <c r="A944" s="1" t="s">
        <v>981</v>
      </c>
      <c r="B944" s="1" t="s">
        <v>32</v>
      </c>
      <c r="C944" s="1">
        <v>0.0</v>
      </c>
      <c r="D944" s="1" t="s">
        <v>26</v>
      </c>
      <c r="E944" s="1" t="s">
        <v>26</v>
      </c>
      <c r="F944" s="1">
        <v>24.0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1">
        <v>79.85</v>
      </c>
      <c r="T944" s="1">
        <v>2001.0</v>
      </c>
      <c r="U944" s="1">
        <v>0.0</v>
      </c>
      <c r="V944" s="1">
        <v>0.0</v>
      </c>
      <c r="W944" s="1" t="s">
        <v>26</v>
      </c>
    </row>
    <row r="945" ht="15.75" customHeight="1">
      <c r="A945" s="1" t="s">
        <v>982</v>
      </c>
      <c r="B945" s="1" t="s">
        <v>24</v>
      </c>
      <c r="C945" s="1">
        <v>0.0</v>
      </c>
      <c r="D945" s="1" t="s">
        <v>25</v>
      </c>
      <c r="E945" s="1" t="s">
        <v>26</v>
      </c>
      <c r="F945" s="1">
        <v>72.0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1">
        <v>65.5</v>
      </c>
      <c r="T945" s="1">
        <v>4919.7</v>
      </c>
      <c r="U945" s="1">
        <v>0.0</v>
      </c>
      <c r="V945" s="1">
        <v>0.0</v>
      </c>
      <c r="W945" s="1" t="s">
        <v>26</v>
      </c>
    </row>
    <row r="946" ht="15.75" customHeight="1">
      <c r="A946" s="1" t="s">
        <v>983</v>
      </c>
      <c r="B946" s="1" t="s">
        <v>24</v>
      </c>
      <c r="C946" s="1">
        <v>0.0</v>
      </c>
      <c r="D946" s="1" t="s">
        <v>25</v>
      </c>
      <c r="E946" s="1" t="s">
        <v>25</v>
      </c>
      <c r="F946" s="1">
        <v>54.0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1">
        <v>104.1</v>
      </c>
      <c r="T946" s="1">
        <v>5645.8</v>
      </c>
      <c r="U946" s="1">
        <v>0.0</v>
      </c>
      <c r="V946" s="1">
        <v>0.0</v>
      </c>
      <c r="W946" s="1" t="s">
        <v>26</v>
      </c>
    </row>
    <row r="947" ht="15.75" customHeight="1">
      <c r="A947" s="1" t="s">
        <v>984</v>
      </c>
      <c r="B947" s="1" t="s">
        <v>24</v>
      </c>
      <c r="C947" s="1">
        <v>0.0</v>
      </c>
      <c r="D947" s="1" t="s">
        <v>26</v>
      </c>
      <c r="E947" s="1" t="s">
        <v>26</v>
      </c>
      <c r="F947" s="1">
        <v>3.0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1">
        <v>74.4</v>
      </c>
      <c r="T947" s="1">
        <v>215.8</v>
      </c>
      <c r="U947" s="1">
        <v>0.0</v>
      </c>
      <c r="V947" s="1">
        <v>0.0</v>
      </c>
      <c r="W947" s="1" t="s">
        <v>25</v>
      </c>
    </row>
    <row r="948" ht="15.75" customHeight="1">
      <c r="A948" s="1" t="s">
        <v>985</v>
      </c>
      <c r="B948" s="1" t="s">
        <v>32</v>
      </c>
      <c r="C948" s="1">
        <v>0.0</v>
      </c>
      <c r="D948" s="1" t="s">
        <v>25</v>
      </c>
      <c r="E948" s="1" t="s">
        <v>25</v>
      </c>
      <c r="F948" s="1">
        <v>4.0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1">
        <v>20.5</v>
      </c>
      <c r="T948" s="1">
        <v>77.6</v>
      </c>
      <c r="U948" s="1">
        <v>0.0</v>
      </c>
      <c r="V948" s="1">
        <v>0.0</v>
      </c>
      <c r="W948" s="1" t="s">
        <v>26</v>
      </c>
    </row>
    <row r="949" ht="15.75" customHeight="1">
      <c r="A949" s="1" t="s">
        <v>986</v>
      </c>
      <c r="B949" s="1" t="s">
        <v>24</v>
      </c>
      <c r="C949" s="1">
        <v>1.0</v>
      </c>
      <c r="D949" s="1" t="s">
        <v>25</v>
      </c>
      <c r="E949" s="1" t="s">
        <v>25</v>
      </c>
      <c r="F949" s="1">
        <v>32.0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1">
        <v>91.35</v>
      </c>
      <c r="T949" s="1">
        <v>2896.55</v>
      </c>
      <c r="U949" s="1">
        <v>0.0</v>
      </c>
      <c r="V949" s="1">
        <v>0.0</v>
      </c>
      <c r="W949" s="1" t="s">
        <v>26</v>
      </c>
    </row>
    <row r="950" ht="15.75" customHeight="1">
      <c r="A950" s="1" t="s">
        <v>987</v>
      </c>
      <c r="B950" s="1" t="s">
        <v>32</v>
      </c>
      <c r="C950" s="1">
        <v>1.0</v>
      </c>
      <c r="D950" s="1" t="s">
        <v>26</v>
      </c>
      <c r="E950" s="1" t="s">
        <v>26</v>
      </c>
      <c r="F950" s="1">
        <v>35.0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1">
        <v>99.05</v>
      </c>
      <c r="T950" s="1">
        <v>3395.8</v>
      </c>
      <c r="U950" s="1">
        <v>0.0</v>
      </c>
      <c r="V950" s="1">
        <v>1.0</v>
      </c>
      <c r="W950" s="1" t="s">
        <v>25</v>
      </c>
    </row>
    <row r="951" ht="15.75" customHeight="1">
      <c r="A951" s="1" t="s">
        <v>988</v>
      </c>
      <c r="B951" s="1" t="s">
        <v>32</v>
      </c>
      <c r="C951" s="1">
        <v>0.0</v>
      </c>
      <c r="D951" s="1" t="s">
        <v>25</v>
      </c>
      <c r="E951" s="1" t="s">
        <v>25</v>
      </c>
      <c r="F951" s="1">
        <v>35.0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1">
        <v>20.5</v>
      </c>
      <c r="T951" s="1">
        <v>759.35</v>
      </c>
      <c r="U951" s="1">
        <v>5.0</v>
      </c>
      <c r="V951" s="1">
        <v>0.0</v>
      </c>
      <c r="W951" s="1" t="s">
        <v>26</v>
      </c>
    </row>
    <row r="952" ht="15.75" customHeight="1">
      <c r="A952" s="1" t="s">
        <v>989</v>
      </c>
      <c r="B952" s="1" t="s">
        <v>32</v>
      </c>
      <c r="C952" s="1">
        <v>1.0</v>
      </c>
      <c r="D952" s="1" t="s">
        <v>26</v>
      </c>
      <c r="E952" s="1" t="s">
        <v>26</v>
      </c>
      <c r="F952" s="1">
        <v>2.0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1">
        <v>44.95</v>
      </c>
      <c r="T952" s="1">
        <v>85.15</v>
      </c>
      <c r="U952" s="1">
        <v>0.0</v>
      </c>
      <c r="V952" s="1">
        <v>0.0</v>
      </c>
      <c r="W952" s="1" t="s">
        <v>25</v>
      </c>
    </row>
    <row r="953" ht="15.75" customHeight="1">
      <c r="A953" s="1" t="s">
        <v>990</v>
      </c>
      <c r="B953" s="1" t="s">
        <v>24</v>
      </c>
      <c r="C953" s="1">
        <v>0.0</v>
      </c>
      <c r="D953" s="1" t="s">
        <v>26</v>
      </c>
      <c r="E953" s="1" t="s">
        <v>26</v>
      </c>
      <c r="F953" s="1">
        <v>8.0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1">
        <v>75.6</v>
      </c>
      <c r="T953" s="1">
        <v>535.55</v>
      </c>
      <c r="U953" s="1">
        <v>0.0</v>
      </c>
      <c r="V953" s="1">
        <v>0.0</v>
      </c>
      <c r="W953" s="1" t="s">
        <v>26</v>
      </c>
    </row>
    <row r="954" ht="15.75" customHeight="1">
      <c r="A954" s="1" t="s">
        <v>991</v>
      </c>
      <c r="B954" s="1" t="s">
        <v>32</v>
      </c>
      <c r="C954" s="1">
        <v>0.0</v>
      </c>
      <c r="D954" s="1" t="s">
        <v>26</v>
      </c>
      <c r="E954" s="1" t="s">
        <v>26</v>
      </c>
      <c r="F954" s="1">
        <v>22.0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1">
        <v>55.1</v>
      </c>
      <c r="T954" s="1">
        <v>1253.15</v>
      </c>
      <c r="U954" s="1">
        <v>0.0</v>
      </c>
      <c r="V954" s="1">
        <v>0.0</v>
      </c>
      <c r="W954" s="1" t="s">
        <v>26</v>
      </c>
    </row>
    <row r="955" ht="15.75" customHeight="1">
      <c r="A955" s="1" t="s">
        <v>992</v>
      </c>
      <c r="B955" s="1" t="s">
        <v>24</v>
      </c>
      <c r="C955" s="1">
        <v>0.0</v>
      </c>
      <c r="D955" s="1" t="s">
        <v>26</v>
      </c>
      <c r="E955" s="1" t="s">
        <v>26</v>
      </c>
      <c r="F955" s="1">
        <v>15.0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1">
        <v>58.95</v>
      </c>
      <c r="T955" s="1">
        <v>955.15</v>
      </c>
      <c r="U955" s="1">
        <v>0.0</v>
      </c>
      <c r="V955" s="1">
        <v>0.0</v>
      </c>
      <c r="W955" s="1" t="s">
        <v>26</v>
      </c>
    </row>
    <row r="956" ht="15.75" customHeight="1">
      <c r="A956" s="1" t="s">
        <v>993</v>
      </c>
      <c r="B956" s="1" t="s">
        <v>32</v>
      </c>
      <c r="C956" s="1">
        <v>0.0</v>
      </c>
      <c r="D956" s="1" t="s">
        <v>26</v>
      </c>
      <c r="E956" s="1" t="s">
        <v>26</v>
      </c>
      <c r="F956" s="1">
        <v>22.0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1">
        <v>95.1</v>
      </c>
      <c r="T956" s="1">
        <v>2162.6</v>
      </c>
      <c r="U956" s="1">
        <v>0.0</v>
      </c>
      <c r="V956" s="1">
        <v>0.0</v>
      </c>
      <c r="W956" s="1" t="s">
        <v>26</v>
      </c>
    </row>
    <row r="957" ht="15.75" customHeight="1">
      <c r="A957" s="1" t="s">
        <v>994</v>
      </c>
      <c r="B957" s="1" t="s">
        <v>32</v>
      </c>
      <c r="C957" s="1">
        <v>0.0</v>
      </c>
      <c r="D957" s="1" t="s">
        <v>25</v>
      </c>
      <c r="E957" s="1" t="s">
        <v>26</v>
      </c>
      <c r="F957" s="1">
        <v>1.0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1">
        <v>44.7</v>
      </c>
      <c r="T957" s="1">
        <v>44.7</v>
      </c>
      <c r="U957" s="1">
        <v>0.0</v>
      </c>
      <c r="V957" s="1">
        <v>0.0</v>
      </c>
      <c r="W957" s="1" t="s">
        <v>25</v>
      </c>
    </row>
    <row r="958" ht="15.75" customHeight="1">
      <c r="A958" s="1" t="s">
        <v>995</v>
      </c>
      <c r="B958" s="1" t="s">
        <v>24</v>
      </c>
      <c r="C958" s="1">
        <v>0.0</v>
      </c>
      <c r="D958" s="1" t="s">
        <v>25</v>
      </c>
      <c r="E958" s="1" t="s">
        <v>25</v>
      </c>
      <c r="F958" s="1">
        <v>71.0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1">
        <v>25.45</v>
      </c>
      <c r="T958" s="1">
        <v>1813.35</v>
      </c>
      <c r="U958" s="1">
        <v>0.0</v>
      </c>
      <c r="V958" s="1">
        <v>0.0</v>
      </c>
      <c r="W958" s="1" t="s">
        <v>26</v>
      </c>
    </row>
    <row r="959" ht="15.75" customHeight="1">
      <c r="A959" s="1" t="s">
        <v>996</v>
      </c>
      <c r="B959" s="1" t="s">
        <v>32</v>
      </c>
      <c r="C959" s="1">
        <v>0.0</v>
      </c>
      <c r="D959" s="1" t="s">
        <v>26</v>
      </c>
      <c r="E959" s="1" t="s">
        <v>26</v>
      </c>
      <c r="F959" s="1">
        <v>4.0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1">
        <v>56.75</v>
      </c>
      <c r="T959" s="1">
        <v>245.15</v>
      </c>
      <c r="U959" s="1">
        <v>0.0</v>
      </c>
      <c r="V959" s="1">
        <v>0.0</v>
      </c>
      <c r="W959" s="1" t="s">
        <v>26</v>
      </c>
    </row>
    <row r="960" ht="15.75" customHeight="1">
      <c r="A960" s="1" t="s">
        <v>997</v>
      </c>
      <c r="B960" s="1" t="s">
        <v>32</v>
      </c>
      <c r="C960" s="1">
        <v>0.0</v>
      </c>
      <c r="D960" s="1" t="s">
        <v>26</v>
      </c>
      <c r="E960" s="1" t="s">
        <v>26</v>
      </c>
      <c r="F960" s="1">
        <v>25.0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1">
        <v>81.75</v>
      </c>
      <c r="T960" s="1">
        <v>2028.8</v>
      </c>
      <c r="U960" s="1">
        <v>0.0</v>
      </c>
      <c r="V960" s="1">
        <v>0.0</v>
      </c>
      <c r="W960" s="1" t="s">
        <v>26</v>
      </c>
    </row>
    <row r="961" ht="15.75" customHeight="1">
      <c r="A961" s="1" t="s">
        <v>998</v>
      </c>
      <c r="B961" s="1" t="s">
        <v>24</v>
      </c>
      <c r="C961" s="1">
        <v>0.0</v>
      </c>
      <c r="D961" s="1" t="s">
        <v>25</v>
      </c>
      <c r="E961" s="1" t="s">
        <v>25</v>
      </c>
      <c r="F961" s="1">
        <v>32.0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1">
        <v>86.1</v>
      </c>
      <c r="T961" s="1">
        <v>2723.75</v>
      </c>
      <c r="U961" s="1">
        <v>0.0</v>
      </c>
      <c r="V961" s="1">
        <v>0.0</v>
      </c>
      <c r="W961" s="1" t="s">
        <v>26</v>
      </c>
    </row>
    <row r="962" ht="15.75" customHeight="1">
      <c r="A962" s="1" t="s">
        <v>999</v>
      </c>
      <c r="B962" s="1" t="s">
        <v>32</v>
      </c>
      <c r="C962" s="1">
        <v>1.0</v>
      </c>
      <c r="D962" s="1" t="s">
        <v>25</v>
      </c>
      <c r="E962" s="1" t="s">
        <v>26</v>
      </c>
      <c r="F962" s="1">
        <v>7.0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1">
        <v>29.8</v>
      </c>
      <c r="T962" s="1">
        <v>220.45</v>
      </c>
      <c r="U962" s="1">
        <v>0.0</v>
      </c>
      <c r="V962" s="1">
        <v>0.0</v>
      </c>
      <c r="W962" s="1" t="s">
        <v>26</v>
      </c>
    </row>
    <row r="963" ht="15.75" customHeight="1">
      <c r="A963" s="1" t="s">
        <v>1000</v>
      </c>
      <c r="B963" s="1" t="s">
        <v>32</v>
      </c>
      <c r="C963" s="1">
        <v>0.0</v>
      </c>
      <c r="D963" s="1" t="s">
        <v>26</v>
      </c>
      <c r="E963" s="1" t="s">
        <v>26</v>
      </c>
      <c r="F963" s="1">
        <v>17.0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1">
        <v>20.5</v>
      </c>
      <c r="T963" s="1">
        <v>365.8</v>
      </c>
      <c r="U963" s="1">
        <v>0.0</v>
      </c>
      <c r="V963" s="1">
        <v>0.0</v>
      </c>
      <c r="W963" s="1" t="s">
        <v>26</v>
      </c>
    </row>
    <row r="964" ht="15.75" customHeight="1">
      <c r="A964" s="1" t="s">
        <v>1001</v>
      </c>
      <c r="B964" s="1" t="s">
        <v>32</v>
      </c>
      <c r="C964" s="1">
        <v>1.0</v>
      </c>
      <c r="D964" s="1" t="s">
        <v>25</v>
      </c>
      <c r="E964" s="1" t="s">
        <v>26</v>
      </c>
      <c r="F964" s="1">
        <v>8.0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1">
        <v>60.9</v>
      </c>
      <c r="T964" s="1">
        <v>551.95</v>
      </c>
      <c r="U964" s="1">
        <v>0.0</v>
      </c>
      <c r="V964" s="1">
        <v>0.0</v>
      </c>
      <c r="W964" s="1" t="s">
        <v>26</v>
      </c>
    </row>
    <row r="965" ht="15.75" customHeight="1">
      <c r="A965" s="1" t="s">
        <v>1002</v>
      </c>
      <c r="B965" s="1" t="s">
        <v>24</v>
      </c>
      <c r="C965" s="1">
        <v>1.0</v>
      </c>
      <c r="D965" s="1" t="s">
        <v>26</v>
      </c>
      <c r="E965" s="1" t="s">
        <v>26</v>
      </c>
      <c r="F965" s="1">
        <v>56.0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1">
        <v>73.25</v>
      </c>
      <c r="T965" s="1">
        <v>4054.2</v>
      </c>
      <c r="U965" s="1">
        <v>1.0</v>
      </c>
      <c r="V965" s="1">
        <v>0.0</v>
      </c>
      <c r="W965" s="1" t="s">
        <v>26</v>
      </c>
    </row>
    <row r="966" ht="15.75" customHeight="1">
      <c r="A966" s="1" t="s">
        <v>1003</v>
      </c>
      <c r="B966" s="1" t="s">
        <v>32</v>
      </c>
      <c r="C966" s="1">
        <v>0.0</v>
      </c>
      <c r="D966" s="1" t="s">
        <v>26</v>
      </c>
      <c r="E966" s="1" t="s">
        <v>26</v>
      </c>
      <c r="F966" s="1">
        <v>1.0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1">
        <v>45.7</v>
      </c>
      <c r="T966" s="1">
        <v>45.7</v>
      </c>
      <c r="U966" s="1">
        <v>0.0</v>
      </c>
      <c r="V966" s="1">
        <v>0.0</v>
      </c>
      <c r="W966" s="1" t="s">
        <v>25</v>
      </c>
    </row>
    <row r="967" ht="15.75" customHeight="1">
      <c r="A967" s="1" t="s">
        <v>1004</v>
      </c>
      <c r="B967" s="1" t="s">
        <v>32</v>
      </c>
      <c r="C967" s="1">
        <v>1.0</v>
      </c>
      <c r="D967" s="1" t="s">
        <v>26</v>
      </c>
      <c r="E967" s="1" t="s">
        <v>26</v>
      </c>
      <c r="F967" s="1">
        <v>8.0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1">
        <v>100.3</v>
      </c>
      <c r="T967" s="1">
        <v>832.35</v>
      </c>
      <c r="U967" s="1">
        <v>0.0</v>
      </c>
      <c r="V967" s="1">
        <v>1.0</v>
      </c>
      <c r="W967" s="1" t="s">
        <v>25</v>
      </c>
    </row>
    <row r="968" ht="15.75" customHeight="1">
      <c r="A968" s="1" t="s">
        <v>1005</v>
      </c>
      <c r="B968" s="1" t="s">
        <v>32</v>
      </c>
      <c r="C968" s="1">
        <v>0.0</v>
      </c>
      <c r="D968" s="1" t="s">
        <v>26</v>
      </c>
      <c r="E968" s="1" t="s">
        <v>26</v>
      </c>
      <c r="F968" s="1">
        <v>7.0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1">
        <v>19.25</v>
      </c>
      <c r="T968" s="1">
        <v>112.3</v>
      </c>
      <c r="U968" s="1">
        <v>0.0</v>
      </c>
      <c r="V968" s="1">
        <v>0.0</v>
      </c>
      <c r="W968" s="1" t="s">
        <v>25</v>
      </c>
    </row>
    <row r="969" ht="15.75" customHeight="1">
      <c r="A969" s="1" t="s">
        <v>1006</v>
      </c>
      <c r="B969" s="1" t="s">
        <v>32</v>
      </c>
      <c r="C969" s="1">
        <v>0.0</v>
      </c>
      <c r="D969" s="1" t="s">
        <v>26</v>
      </c>
      <c r="E969" s="1" t="s">
        <v>25</v>
      </c>
      <c r="F969" s="1">
        <v>3.0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1">
        <v>20.85</v>
      </c>
      <c r="T969" s="1">
        <v>60.65</v>
      </c>
      <c r="U969" s="1">
        <v>5.0</v>
      </c>
      <c r="V969" s="1">
        <v>0.0</v>
      </c>
      <c r="W969" s="1" t="s">
        <v>26</v>
      </c>
    </row>
    <row r="970" ht="15.75" customHeight="1">
      <c r="A970" s="1" t="s">
        <v>1007</v>
      </c>
      <c r="B970" s="1" t="s">
        <v>24</v>
      </c>
      <c r="C970" s="1">
        <v>0.0</v>
      </c>
      <c r="D970" s="1" t="s">
        <v>26</v>
      </c>
      <c r="E970" s="1" t="s">
        <v>26</v>
      </c>
      <c r="F970" s="1">
        <v>71.0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1">
        <v>77.35</v>
      </c>
      <c r="T970" s="1">
        <v>5550.1</v>
      </c>
      <c r="U970" s="1">
        <v>0.0</v>
      </c>
      <c r="V970" s="1">
        <v>0.0</v>
      </c>
      <c r="W970" s="1" t="s">
        <v>26</v>
      </c>
    </row>
    <row r="971" ht="15.75" customHeight="1">
      <c r="A971" s="1" t="s">
        <v>1008</v>
      </c>
      <c r="B971" s="1" t="s">
        <v>24</v>
      </c>
      <c r="C971" s="1">
        <v>0.0</v>
      </c>
      <c r="D971" s="1" t="s">
        <v>26</v>
      </c>
      <c r="E971" s="1" t="s">
        <v>26</v>
      </c>
      <c r="F971" s="1">
        <v>2.0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1">
        <v>96.0</v>
      </c>
      <c r="T971" s="1">
        <v>174.8</v>
      </c>
      <c r="U971" s="1">
        <v>0.0</v>
      </c>
      <c r="V971" s="1">
        <v>1.0</v>
      </c>
      <c r="W971" s="1" t="s">
        <v>25</v>
      </c>
    </row>
    <row r="972" ht="15.75" customHeight="1">
      <c r="A972" s="1" t="s">
        <v>1009</v>
      </c>
      <c r="B972" s="1" t="s">
        <v>24</v>
      </c>
      <c r="C972" s="1">
        <v>0.0</v>
      </c>
      <c r="D972" s="1" t="s">
        <v>26</v>
      </c>
      <c r="E972" s="1" t="s">
        <v>26</v>
      </c>
      <c r="F972" s="1">
        <v>1.0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1">
        <v>90.55</v>
      </c>
      <c r="T972" s="1">
        <v>90.55</v>
      </c>
      <c r="U972" s="1">
        <v>0.0</v>
      </c>
      <c r="V972" s="1">
        <v>0.0</v>
      </c>
      <c r="W972" s="1" t="s">
        <v>25</v>
      </c>
    </row>
    <row r="973" ht="15.75" customHeight="1">
      <c r="A973" s="1" t="s">
        <v>1010</v>
      </c>
      <c r="B973" s="1" t="s">
        <v>32</v>
      </c>
      <c r="C973" s="1">
        <v>0.0</v>
      </c>
      <c r="D973" s="1" t="s">
        <v>25</v>
      </c>
      <c r="E973" s="1" t="s">
        <v>26</v>
      </c>
      <c r="F973" s="1">
        <v>49.0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1">
        <v>93.85</v>
      </c>
      <c r="T973" s="1">
        <v>4733.1</v>
      </c>
      <c r="U973" s="1">
        <v>2.0</v>
      </c>
      <c r="V973" s="1">
        <v>0.0</v>
      </c>
      <c r="W973" s="1" t="s">
        <v>26</v>
      </c>
    </row>
    <row r="974" ht="15.75" customHeight="1">
      <c r="A974" s="1" t="s">
        <v>1011</v>
      </c>
      <c r="B974" s="1" t="s">
        <v>32</v>
      </c>
      <c r="C974" s="1">
        <v>0.0</v>
      </c>
      <c r="D974" s="1" t="s">
        <v>26</v>
      </c>
      <c r="E974" s="1" t="s">
        <v>26</v>
      </c>
      <c r="F974" s="1">
        <v>58.0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1">
        <v>70.1</v>
      </c>
      <c r="T974" s="1">
        <v>4048.95</v>
      </c>
      <c r="U974" s="1">
        <v>0.0</v>
      </c>
      <c r="V974" s="1">
        <v>0.0</v>
      </c>
      <c r="W974" s="1" t="s">
        <v>26</v>
      </c>
    </row>
    <row r="975" ht="15.75" customHeight="1">
      <c r="A975" s="1" t="s">
        <v>1012</v>
      </c>
      <c r="B975" s="1" t="s">
        <v>32</v>
      </c>
      <c r="C975" s="1">
        <v>1.0</v>
      </c>
      <c r="D975" s="1" t="s">
        <v>25</v>
      </c>
      <c r="E975" s="1" t="s">
        <v>26</v>
      </c>
      <c r="F975" s="1">
        <v>44.0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1">
        <v>30.35</v>
      </c>
      <c r="T975" s="1">
        <v>1359.7</v>
      </c>
      <c r="U975" s="1">
        <v>0.0</v>
      </c>
      <c r="V975" s="1">
        <v>0.0</v>
      </c>
      <c r="W975" s="1" t="s">
        <v>25</v>
      </c>
    </row>
    <row r="976" ht="15.75" customHeight="1">
      <c r="A976" s="1" t="s">
        <v>1013</v>
      </c>
      <c r="B976" s="1" t="s">
        <v>24</v>
      </c>
      <c r="C976" s="1">
        <v>0.0</v>
      </c>
      <c r="D976" s="1" t="s">
        <v>25</v>
      </c>
      <c r="E976" s="1" t="s">
        <v>25</v>
      </c>
      <c r="F976" s="1">
        <v>59.0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1">
        <v>75.95</v>
      </c>
      <c r="T976" s="1">
        <v>4542.35</v>
      </c>
      <c r="U976" s="1">
        <v>0.0</v>
      </c>
      <c r="V976" s="1">
        <v>0.0</v>
      </c>
      <c r="W976" s="1" t="s">
        <v>26</v>
      </c>
    </row>
    <row r="977" ht="15.75" customHeight="1">
      <c r="A977" s="1" t="s">
        <v>1014</v>
      </c>
      <c r="B977" s="1" t="s">
        <v>32</v>
      </c>
      <c r="C977" s="1">
        <v>0.0</v>
      </c>
      <c r="D977" s="1" t="s">
        <v>26</v>
      </c>
      <c r="E977" s="1" t="s">
        <v>26</v>
      </c>
      <c r="F977" s="1">
        <v>71.0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1">
        <v>108.05</v>
      </c>
      <c r="T977" s="1">
        <v>7532.15</v>
      </c>
      <c r="U977" s="1">
        <v>0.0</v>
      </c>
      <c r="V977" s="1">
        <v>8.0</v>
      </c>
      <c r="W977" s="1" t="s">
        <v>25</v>
      </c>
    </row>
    <row r="978" ht="15.75" customHeight="1">
      <c r="A978" s="1" t="s">
        <v>1015</v>
      </c>
      <c r="B978" s="1" t="s">
        <v>32</v>
      </c>
      <c r="C978" s="1">
        <v>0.0</v>
      </c>
      <c r="D978" s="1" t="s">
        <v>26</v>
      </c>
      <c r="E978" s="1" t="s">
        <v>26</v>
      </c>
      <c r="F978" s="1">
        <v>1.0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1">
        <v>69.9</v>
      </c>
      <c r="T978" s="1">
        <v>69.9</v>
      </c>
      <c r="U978" s="1">
        <v>0.0</v>
      </c>
      <c r="V978" s="1">
        <v>0.0</v>
      </c>
      <c r="W978" s="1" t="s">
        <v>25</v>
      </c>
    </row>
    <row r="979" ht="15.75" customHeight="1">
      <c r="A979" s="1" t="s">
        <v>1016</v>
      </c>
      <c r="B979" s="1" t="s">
        <v>24</v>
      </c>
      <c r="C979" s="1">
        <v>0.0</v>
      </c>
      <c r="D979" s="1" t="s">
        <v>26</v>
      </c>
      <c r="E979" s="1" t="s">
        <v>26</v>
      </c>
      <c r="F979" s="1">
        <v>11.0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1">
        <v>75.25</v>
      </c>
      <c r="T979" s="1">
        <v>888.65</v>
      </c>
      <c r="U979" s="1">
        <v>0.0</v>
      </c>
      <c r="V979" s="1">
        <v>0.0</v>
      </c>
      <c r="W979" s="1" t="s">
        <v>26</v>
      </c>
    </row>
    <row r="980" ht="15.75" customHeight="1">
      <c r="A980" s="1" t="s">
        <v>1017</v>
      </c>
      <c r="B980" s="1" t="s">
        <v>32</v>
      </c>
      <c r="C980" s="1">
        <v>1.0</v>
      </c>
      <c r="D980" s="1" t="s">
        <v>25</v>
      </c>
      <c r="E980" s="1" t="s">
        <v>26</v>
      </c>
      <c r="F980" s="1">
        <v>62.0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1">
        <v>103.75</v>
      </c>
      <c r="T980" s="1">
        <v>6383.35</v>
      </c>
      <c r="U980" s="1">
        <v>0.0</v>
      </c>
      <c r="V980" s="1">
        <v>6.0</v>
      </c>
      <c r="W980" s="1" t="s">
        <v>25</v>
      </c>
    </row>
    <row r="981" ht="15.75" customHeight="1">
      <c r="A981" s="1" t="s">
        <v>1018</v>
      </c>
      <c r="B981" s="1" t="s">
        <v>24</v>
      </c>
      <c r="C981" s="1">
        <v>0.0</v>
      </c>
      <c r="D981" s="1" t="s">
        <v>25</v>
      </c>
      <c r="E981" s="1" t="s">
        <v>25</v>
      </c>
      <c r="F981" s="1">
        <v>35.0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1">
        <v>54.95</v>
      </c>
      <c r="T981" s="1">
        <v>1916.0</v>
      </c>
      <c r="U981" s="1">
        <v>0.0</v>
      </c>
      <c r="V981" s="1">
        <v>0.0</v>
      </c>
      <c r="W981" s="1" t="s">
        <v>26</v>
      </c>
    </row>
    <row r="982" ht="15.75" customHeight="1">
      <c r="A982" s="1" t="s">
        <v>1019</v>
      </c>
      <c r="B982" s="1" t="s">
        <v>24</v>
      </c>
      <c r="C982" s="1">
        <v>0.0</v>
      </c>
      <c r="D982" s="1" t="s">
        <v>26</v>
      </c>
      <c r="E982" s="1" t="s">
        <v>26</v>
      </c>
      <c r="F982" s="1">
        <v>20.0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1">
        <v>19.5</v>
      </c>
      <c r="T982" s="1">
        <v>413.0</v>
      </c>
      <c r="U982" s="1">
        <v>0.0</v>
      </c>
      <c r="V982" s="1">
        <v>0.0</v>
      </c>
      <c r="W982" s="1" t="s">
        <v>26</v>
      </c>
    </row>
    <row r="983" ht="15.75" customHeight="1">
      <c r="A983" s="1" t="s">
        <v>1020</v>
      </c>
      <c r="B983" s="1" t="s">
        <v>32</v>
      </c>
      <c r="C983" s="1">
        <v>0.0</v>
      </c>
      <c r="D983" s="1" t="s">
        <v>25</v>
      </c>
      <c r="E983" s="1" t="s">
        <v>25</v>
      </c>
      <c r="F983" s="1">
        <v>40.0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1">
        <v>19.6</v>
      </c>
      <c r="T983" s="1">
        <v>808.95</v>
      </c>
      <c r="U983" s="1">
        <v>0.0</v>
      </c>
      <c r="V983" s="1">
        <v>0.0</v>
      </c>
      <c r="W983" s="1" t="s">
        <v>26</v>
      </c>
    </row>
    <row r="984" ht="15.75" customHeight="1">
      <c r="A984" s="1" t="s">
        <v>1021</v>
      </c>
      <c r="B984" s="1" t="s">
        <v>24</v>
      </c>
      <c r="C984" s="1">
        <v>0.0</v>
      </c>
      <c r="D984" s="1" t="s">
        <v>26</v>
      </c>
      <c r="E984" s="1" t="s">
        <v>26</v>
      </c>
      <c r="F984" s="1">
        <v>39.0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1">
        <v>47.85</v>
      </c>
      <c r="T984" s="1">
        <v>1886.4</v>
      </c>
      <c r="U984" s="1">
        <v>0.0</v>
      </c>
      <c r="V984" s="1">
        <v>0.0</v>
      </c>
      <c r="W984" s="1" t="s">
        <v>26</v>
      </c>
    </row>
    <row r="985" ht="15.75" customHeight="1">
      <c r="A985" s="1" t="s">
        <v>1022</v>
      </c>
      <c r="B985" s="1" t="s">
        <v>32</v>
      </c>
      <c r="C985" s="1">
        <v>0.0</v>
      </c>
      <c r="D985" s="1" t="s">
        <v>26</v>
      </c>
      <c r="E985" s="1" t="s">
        <v>26</v>
      </c>
      <c r="F985" s="1">
        <v>1.0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1">
        <v>86.6</v>
      </c>
      <c r="T985" s="1">
        <v>86.6</v>
      </c>
      <c r="U985" s="1">
        <v>0.0</v>
      </c>
      <c r="V985" s="1">
        <v>0.0</v>
      </c>
      <c r="W985" s="1" t="s">
        <v>25</v>
      </c>
    </row>
    <row r="986" ht="15.75" customHeight="1">
      <c r="A986" s="1" t="s">
        <v>1023</v>
      </c>
      <c r="B986" s="1" t="s">
        <v>24</v>
      </c>
      <c r="C986" s="1">
        <v>0.0</v>
      </c>
      <c r="D986" s="1" t="s">
        <v>25</v>
      </c>
      <c r="E986" s="1" t="s">
        <v>25</v>
      </c>
      <c r="F986" s="1">
        <v>72.0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1">
        <v>23.75</v>
      </c>
      <c r="T986" s="1">
        <v>1679.25</v>
      </c>
      <c r="U986" s="1">
        <v>0.0</v>
      </c>
      <c r="V986" s="1">
        <v>0.0</v>
      </c>
      <c r="W986" s="1" t="s">
        <v>26</v>
      </c>
    </row>
    <row r="987" ht="15.75" customHeight="1">
      <c r="A987" s="1" t="s">
        <v>1024</v>
      </c>
      <c r="B987" s="1" t="s">
        <v>24</v>
      </c>
      <c r="C987" s="1">
        <v>1.0</v>
      </c>
      <c r="D987" s="1" t="s">
        <v>25</v>
      </c>
      <c r="E987" s="1" t="s">
        <v>26</v>
      </c>
      <c r="F987" s="1">
        <v>33.0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1">
        <v>80.6</v>
      </c>
      <c r="T987" s="1">
        <v>2656.5</v>
      </c>
      <c r="U987" s="1">
        <v>0.0</v>
      </c>
      <c r="V987" s="1">
        <v>0.0</v>
      </c>
      <c r="W987" s="1" t="s">
        <v>25</v>
      </c>
    </row>
    <row r="988" ht="15.75" customHeight="1">
      <c r="A988" s="1" t="s">
        <v>1025</v>
      </c>
      <c r="B988" s="1" t="s">
        <v>24</v>
      </c>
      <c r="C988" s="1">
        <v>0.0</v>
      </c>
      <c r="D988" s="1" t="s">
        <v>26</v>
      </c>
      <c r="E988" s="1" t="s">
        <v>26</v>
      </c>
      <c r="F988" s="1">
        <v>12.0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1">
        <v>43.8</v>
      </c>
      <c r="T988" s="1">
        <v>540.95</v>
      </c>
      <c r="U988" s="1">
        <v>0.0</v>
      </c>
      <c r="V988" s="1">
        <v>0.0</v>
      </c>
      <c r="W988" s="1" t="s">
        <v>26</v>
      </c>
    </row>
    <row r="989" ht="15.75" customHeight="1">
      <c r="A989" s="1" t="s">
        <v>1026</v>
      </c>
      <c r="B989" s="1" t="s">
        <v>32</v>
      </c>
      <c r="C989" s="1">
        <v>0.0</v>
      </c>
      <c r="D989" s="1" t="s">
        <v>26</v>
      </c>
      <c r="E989" s="1" t="s">
        <v>26</v>
      </c>
      <c r="F989" s="1">
        <v>1.0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1">
        <v>19.75</v>
      </c>
      <c r="T989" s="1">
        <v>19.75</v>
      </c>
      <c r="U989" s="1">
        <v>0.0</v>
      </c>
      <c r="V989" s="1">
        <v>0.0</v>
      </c>
      <c r="W989" s="1" t="s">
        <v>26</v>
      </c>
    </row>
    <row r="990" ht="15.75" customHeight="1">
      <c r="A990" s="1" t="s">
        <v>1027</v>
      </c>
      <c r="B990" s="1" t="s">
        <v>32</v>
      </c>
      <c r="C990" s="1">
        <v>0.0</v>
      </c>
      <c r="D990" s="1" t="s">
        <v>26</v>
      </c>
      <c r="E990" s="1" t="s">
        <v>25</v>
      </c>
      <c r="F990" s="1">
        <v>27.0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1">
        <v>19.15</v>
      </c>
      <c r="T990" s="1">
        <v>537.35</v>
      </c>
      <c r="U990" s="1">
        <v>0.0</v>
      </c>
      <c r="V990" s="1">
        <v>0.0</v>
      </c>
      <c r="W990" s="1" t="s">
        <v>26</v>
      </c>
    </row>
    <row r="991" ht="15.75" customHeight="1">
      <c r="A991" s="1" t="s">
        <v>1028</v>
      </c>
      <c r="B991" s="1" t="s">
        <v>32</v>
      </c>
      <c r="C991" s="1">
        <v>0.0</v>
      </c>
      <c r="D991" s="1" t="s">
        <v>25</v>
      </c>
      <c r="E991" s="1" t="s">
        <v>25</v>
      </c>
      <c r="F991" s="1">
        <v>34.0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1">
        <v>19.6</v>
      </c>
      <c r="T991" s="1">
        <v>678.8</v>
      </c>
      <c r="U991" s="1">
        <v>0.0</v>
      </c>
      <c r="V991" s="1">
        <v>0.0</v>
      </c>
      <c r="W991" s="1" t="s">
        <v>26</v>
      </c>
    </row>
    <row r="992" ht="15.75" customHeight="1">
      <c r="A992" s="1" t="s">
        <v>1029</v>
      </c>
      <c r="B992" s="1" t="s">
        <v>24</v>
      </c>
      <c r="C992" s="1">
        <v>0.0</v>
      </c>
      <c r="D992" s="1" t="s">
        <v>25</v>
      </c>
      <c r="E992" s="1" t="s">
        <v>26</v>
      </c>
      <c r="F992" s="1">
        <v>56.0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1">
        <v>80.3</v>
      </c>
      <c r="T992" s="1">
        <v>4513.65</v>
      </c>
      <c r="U992" s="1">
        <v>0.0</v>
      </c>
      <c r="V992" s="1">
        <v>0.0</v>
      </c>
      <c r="W992" s="1" t="s">
        <v>26</v>
      </c>
    </row>
    <row r="993" ht="15.75" customHeight="1">
      <c r="A993" s="1" t="s">
        <v>1030</v>
      </c>
      <c r="B993" s="1" t="s">
        <v>24</v>
      </c>
      <c r="C993" s="1">
        <v>0.0</v>
      </c>
      <c r="D993" s="1" t="s">
        <v>26</v>
      </c>
      <c r="E993" s="1" t="s">
        <v>26</v>
      </c>
      <c r="F993" s="1">
        <v>58.0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1">
        <v>24.35</v>
      </c>
      <c r="T993" s="1">
        <v>1423.85</v>
      </c>
      <c r="U993" s="1">
        <v>0.0</v>
      </c>
      <c r="V993" s="1">
        <v>0.0</v>
      </c>
      <c r="W993" s="1" t="s">
        <v>26</v>
      </c>
    </row>
    <row r="994" ht="15.75" customHeight="1">
      <c r="A994" s="1" t="s">
        <v>1031</v>
      </c>
      <c r="B994" s="1" t="s">
        <v>24</v>
      </c>
      <c r="C994" s="1">
        <v>0.0</v>
      </c>
      <c r="D994" s="1" t="s">
        <v>25</v>
      </c>
      <c r="E994" s="1" t="s">
        <v>25</v>
      </c>
      <c r="F994" s="1">
        <v>22.0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1">
        <v>25.25</v>
      </c>
      <c r="T994" s="1">
        <v>555.4</v>
      </c>
      <c r="U994" s="1">
        <v>2.0</v>
      </c>
      <c r="V994" s="1">
        <v>0.0</v>
      </c>
      <c r="W994" s="1" t="s">
        <v>26</v>
      </c>
    </row>
    <row r="995" ht="15.75" customHeight="1">
      <c r="A995" s="1" t="s">
        <v>1032</v>
      </c>
      <c r="B995" s="1" t="s">
        <v>24</v>
      </c>
      <c r="C995" s="1">
        <v>0.0</v>
      </c>
      <c r="D995" s="1" t="s">
        <v>25</v>
      </c>
      <c r="E995" s="1" t="s">
        <v>25</v>
      </c>
      <c r="F995" s="1">
        <v>10.0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1">
        <v>26.1</v>
      </c>
      <c r="T995" s="1">
        <v>225.55</v>
      </c>
      <c r="U995" s="1">
        <v>0.0</v>
      </c>
      <c r="V995" s="1">
        <v>0.0</v>
      </c>
      <c r="W995" s="1" t="s">
        <v>26</v>
      </c>
    </row>
    <row r="996" ht="15.75" customHeight="1">
      <c r="A996" s="1" t="s">
        <v>1033</v>
      </c>
      <c r="B996" s="1" t="s">
        <v>32</v>
      </c>
      <c r="C996" s="1">
        <v>0.0</v>
      </c>
      <c r="D996" s="1" t="s">
        <v>26</v>
      </c>
      <c r="E996" s="1" t="s">
        <v>26</v>
      </c>
      <c r="F996" s="1">
        <v>13.0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1">
        <v>20.0</v>
      </c>
      <c r="T996" s="1">
        <v>268.45</v>
      </c>
      <c r="U996" s="1">
        <v>0.0</v>
      </c>
      <c r="V996" s="1">
        <v>0.0</v>
      </c>
      <c r="W996" s="1" t="s">
        <v>26</v>
      </c>
    </row>
    <row r="997" ht="15.75" customHeight="1">
      <c r="A997" s="1" t="s">
        <v>1034</v>
      </c>
      <c r="B997" s="1" t="s">
        <v>24</v>
      </c>
      <c r="C997" s="1">
        <v>0.0</v>
      </c>
      <c r="D997" s="1" t="s">
        <v>26</v>
      </c>
      <c r="E997" s="1" t="s">
        <v>26</v>
      </c>
      <c r="F997" s="1">
        <v>35.0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1">
        <v>85.3</v>
      </c>
      <c r="T997" s="1">
        <v>2917.5</v>
      </c>
      <c r="U997" s="1">
        <v>0.0</v>
      </c>
      <c r="V997" s="1">
        <v>0.0</v>
      </c>
      <c r="W997" s="1" t="s">
        <v>25</v>
      </c>
    </row>
    <row r="998" ht="15.75" customHeight="1">
      <c r="A998" s="1" t="s">
        <v>1035</v>
      </c>
      <c r="B998" s="1" t="s">
        <v>24</v>
      </c>
      <c r="C998" s="1">
        <v>0.0</v>
      </c>
      <c r="D998" s="1" t="s">
        <v>26</v>
      </c>
      <c r="E998" s="1" t="s">
        <v>26</v>
      </c>
      <c r="F998" s="1">
        <v>34.0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1">
        <v>70.0</v>
      </c>
      <c r="T998" s="1">
        <v>2416.1</v>
      </c>
      <c r="U998" s="1">
        <v>0.0</v>
      </c>
      <c r="V998" s="1">
        <v>0.0</v>
      </c>
      <c r="W998" s="1" t="s">
        <v>25</v>
      </c>
    </row>
    <row r="999" ht="15.75" customHeight="1">
      <c r="A999" s="1" t="s">
        <v>1036</v>
      </c>
      <c r="B999" s="1" t="s">
        <v>24</v>
      </c>
      <c r="C999" s="1">
        <v>1.0</v>
      </c>
      <c r="D999" s="1" t="s">
        <v>26</v>
      </c>
      <c r="E999" s="1" t="s">
        <v>26</v>
      </c>
      <c r="F999" s="1">
        <v>4.0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1">
        <v>94.3</v>
      </c>
      <c r="T999" s="1">
        <v>424.45</v>
      </c>
      <c r="U999" s="1">
        <v>1.0</v>
      </c>
      <c r="V999" s="1">
        <v>2.0</v>
      </c>
      <c r="W999" s="1" t="s">
        <v>25</v>
      </c>
    </row>
    <row r="1000" ht="15.75" customHeight="1">
      <c r="A1000" s="1" t="s">
        <v>1037</v>
      </c>
      <c r="B1000" s="1" t="s">
        <v>32</v>
      </c>
      <c r="C1000" s="1">
        <v>0.0</v>
      </c>
      <c r="D1000" s="1" t="s">
        <v>25</v>
      </c>
      <c r="E1000" s="1" t="s">
        <v>26</v>
      </c>
      <c r="F1000" s="1">
        <v>72.0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1">
        <v>20.7</v>
      </c>
      <c r="T1000" s="1">
        <v>1492.1</v>
      </c>
      <c r="U1000" s="1">
        <v>3.0</v>
      </c>
      <c r="V1000" s="1">
        <v>0.0</v>
      </c>
      <c r="W1000" s="1" t="s">
        <v>26</v>
      </c>
    </row>
    <row r="1001" ht="15.75" customHeight="1">
      <c r="A1001" s="1" t="s">
        <v>1038</v>
      </c>
      <c r="B1001" s="1" t="s">
        <v>32</v>
      </c>
      <c r="C1001" s="1">
        <v>0.0</v>
      </c>
      <c r="D1001" s="1" t="s">
        <v>26</v>
      </c>
      <c r="E1001" s="1" t="s">
        <v>26</v>
      </c>
      <c r="F1001" s="1">
        <v>2.0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1">
        <v>70.3</v>
      </c>
      <c r="T1001" s="1">
        <v>132.4</v>
      </c>
      <c r="U1001" s="1">
        <v>3.0</v>
      </c>
      <c r="V1001" s="1">
        <v>0.0</v>
      </c>
      <c r="W1001" s="1" t="s">
        <v>26</v>
      </c>
    </row>
    <row r="1002" ht="15.75" customHeight="1">
      <c r="A1002" s="1" t="s">
        <v>1039</v>
      </c>
      <c r="B1002" s="1" t="s">
        <v>24</v>
      </c>
      <c r="C1002" s="1">
        <v>0.0</v>
      </c>
      <c r="D1002" s="1" t="s">
        <v>26</v>
      </c>
      <c r="E1002" s="1" t="s">
        <v>26</v>
      </c>
      <c r="F1002" s="1">
        <v>7.0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1">
        <v>95.35</v>
      </c>
      <c r="T1002" s="1">
        <v>660.9</v>
      </c>
      <c r="U1002" s="1">
        <v>1.0</v>
      </c>
      <c r="V1002" s="1">
        <v>0.0</v>
      </c>
      <c r="W1002" s="1" t="s">
        <v>25</v>
      </c>
    </row>
    <row r="1003" ht="15.75" customHeight="1">
      <c r="A1003" s="1" t="s">
        <v>1040</v>
      </c>
      <c r="B1003" s="1" t="s">
        <v>32</v>
      </c>
      <c r="C1003" s="1">
        <v>1.0</v>
      </c>
      <c r="D1003" s="1" t="s">
        <v>25</v>
      </c>
      <c r="E1003" s="1" t="s">
        <v>26</v>
      </c>
      <c r="F1003" s="1">
        <v>27.0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1">
        <v>75.5</v>
      </c>
      <c r="T1003" s="1">
        <v>1893.95</v>
      </c>
      <c r="U1003" s="1">
        <v>3.0</v>
      </c>
      <c r="V1003" s="1">
        <v>0.0</v>
      </c>
      <c r="W1003" s="1" t="s">
        <v>25</v>
      </c>
    </row>
    <row r="1004" ht="15.75" customHeight="1">
      <c r="A1004" s="1" t="s">
        <v>1041</v>
      </c>
      <c r="B1004" s="1" t="s">
        <v>32</v>
      </c>
      <c r="C1004" s="1">
        <v>0.0</v>
      </c>
      <c r="D1004" s="1" t="s">
        <v>25</v>
      </c>
      <c r="E1004" s="1" t="s">
        <v>25</v>
      </c>
      <c r="F1004" s="1">
        <v>4.0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1">
        <v>69.55</v>
      </c>
      <c r="T1004" s="1">
        <v>284.9</v>
      </c>
      <c r="U1004" s="1">
        <v>0.0</v>
      </c>
      <c r="V1004" s="1">
        <v>0.0</v>
      </c>
      <c r="W1004" s="1" t="s">
        <v>26</v>
      </c>
    </row>
    <row r="1005" ht="15.75" customHeight="1">
      <c r="A1005" s="1" t="s">
        <v>1042</v>
      </c>
      <c r="B1005" s="1" t="s">
        <v>24</v>
      </c>
      <c r="C1005" s="1">
        <v>0.0</v>
      </c>
      <c r="D1005" s="1" t="s">
        <v>26</v>
      </c>
      <c r="E1005" s="1" t="s">
        <v>26</v>
      </c>
      <c r="F1005" s="1">
        <v>37.0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1">
        <v>19.85</v>
      </c>
      <c r="T1005" s="1">
        <v>784.25</v>
      </c>
      <c r="U1005" s="1">
        <v>0.0</v>
      </c>
      <c r="V1005" s="1">
        <v>0.0</v>
      </c>
      <c r="W1005" s="1" t="s">
        <v>26</v>
      </c>
    </row>
    <row r="1006" ht="15.75" customHeight="1">
      <c r="A1006" s="1" t="s">
        <v>1043</v>
      </c>
      <c r="B1006" s="1" t="s">
        <v>32</v>
      </c>
      <c r="C1006" s="1">
        <v>0.0</v>
      </c>
      <c r="D1006" s="1" t="s">
        <v>26</v>
      </c>
      <c r="E1006" s="1" t="s">
        <v>26</v>
      </c>
      <c r="F1006" s="1">
        <v>21.0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1">
        <v>20.0</v>
      </c>
      <c r="T1006" s="1">
        <v>417.7</v>
      </c>
      <c r="U1006" s="1">
        <v>0.0</v>
      </c>
      <c r="V1006" s="1">
        <v>0.0</v>
      </c>
      <c r="W1006" s="1" t="s">
        <v>26</v>
      </c>
    </row>
    <row r="1007" ht="15.75" customHeight="1">
      <c r="A1007" s="1" t="s">
        <v>1044</v>
      </c>
      <c r="B1007" s="1" t="s">
        <v>24</v>
      </c>
      <c r="C1007" s="1">
        <v>1.0</v>
      </c>
      <c r="D1007" s="1" t="s">
        <v>25</v>
      </c>
      <c r="E1007" s="1" t="s">
        <v>26</v>
      </c>
      <c r="F1007" s="1">
        <v>53.0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1">
        <v>95.85</v>
      </c>
      <c r="T1007" s="1">
        <v>5016.25</v>
      </c>
      <c r="U1007" s="1">
        <v>0.0</v>
      </c>
      <c r="V1007" s="1">
        <v>0.0</v>
      </c>
      <c r="W1007" s="1" t="s">
        <v>26</v>
      </c>
    </row>
    <row r="1008" ht="15.75" customHeight="1">
      <c r="A1008" s="1" t="s">
        <v>1045</v>
      </c>
      <c r="B1008" s="1" t="s">
        <v>24</v>
      </c>
      <c r="C1008" s="1">
        <v>0.0</v>
      </c>
      <c r="D1008" s="1" t="s">
        <v>26</v>
      </c>
      <c r="E1008" s="1" t="s">
        <v>26</v>
      </c>
      <c r="F1008" s="1">
        <v>18.0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1">
        <v>90.1</v>
      </c>
      <c r="T1008" s="1">
        <v>1612.75</v>
      </c>
      <c r="U1008" s="1">
        <v>0.0</v>
      </c>
      <c r="V1008" s="1">
        <v>0.0</v>
      </c>
      <c r="W1008" s="1" t="s">
        <v>25</v>
      </c>
    </row>
    <row r="1009" ht="15.75" customHeight="1">
      <c r="A1009" s="1" t="s">
        <v>1046</v>
      </c>
      <c r="B1009" s="1" t="s">
        <v>24</v>
      </c>
      <c r="C1009" s="1">
        <v>0.0</v>
      </c>
      <c r="D1009" s="1" t="s">
        <v>26</v>
      </c>
      <c r="E1009" s="1" t="s">
        <v>26</v>
      </c>
      <c r="F1009" s="1">
        <v>2.0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1">
        <v>68.95</v>
      </c>
      <c r="T1009" s="1">
        <v>119.75</v>
      </c>
      <c r="U1009" s="1">
        <v>0.0</v>
      </c>
      <c r="V1009" s="1">
        <v>0.0</v>
      </c>
      <c r="W1009" s="1" t="s">
        <v>25</v>
      </c>
    </row>
    <row r="1010" ht="15.75" customHeight="1">
      <c r="A1010" s="1" t="s">
        <v>1047</v>
      </c>
      <c r="B1010" s="1" t="s">
        <v>32</v>
      </c>
      <c r="C1010" s="1">
        <v>0.0</v>
      </c>
      <c r="D1010" s="1" t="s">
        <v>25</v>
      </c>
      <c r="E1010" s="1" t="s">
        <v>25</v>
      </c>
      <c r="F1010" s="1">
        <v>32.0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1">
        <v>99.55</v>
      </c>
      <c r="T1010" s="1">
        <v>3204.65</v>
      </c>
      <c r="U1010" s="1">
        <v>4.0</v>
      </c>
      <c r="V1010" s="1">
        <v>3.0</v>
      </c>
      <c r="W1010" s="1" t="s">
        <v>25</v>
      </c>
    </row>
    <row r="1011" ht="15.75" customHeight="1">
      <c r="A1011" s="1" t="s">
        <v>1048</v>
      </c>
      <c r="B1011" s="1" t="s">
        <v>32</v>
      </c>
      <c r="C1011" s="1">
        <v>1.0</v>
      </c>
      <c r="D1011" s="1" t="s">
        <v>25</v>
      </c>
      <c r="E1011" s="1" t="s">
        <v>26</v>
      </c>
      <c r="F1011" s="1">
        <v>23.0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1">
        <v>20.75</v>
      </c>
      <c r="T1011" s="1">
        <v>485.2</v>
      </c>
      <c r="U1011" s="1">
        <v>0.0</v>
      </c>
      <c r="V1011" s="1">
        <v>0.0</v>
      </c>
      <c r="W1011" s="1" t="s">
        <v>26</v>
      </c>
    </row>
    <row r="1012" ht="15.75" customHeight="1">
      <c r="A1012" s="1" t="s">
        <v>1049</v>
      </c>
      <c r="B1012" s="1" t="s">
        <v>32</v>
      </c>
      <c r="C1012" s="1">
        <v>0.0</v>
      </c>
      <c r="D1012" s="1" t="s">
        <v>26</v>
      </c>
      <c r="E1012" s="1" t="s">
        <v>26</v>
      </c>
      <c r="F1012" s="1">
        <v>3.0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1">
        <v>50.15</v>
      </c>
      <c r="T1012" s="1">
        <v>160.85</v>
      </c>
      <c r="U1012" s="1">
        <v>0.0</v>
      </c>
      <c r="V1012" s="1">
        <v>0.0</v>
      </c>
      <c r="W1012" s="1" t="s">
        <v>26</v>
      </c>
    </row>
    <row r="1013" ht="15.75" customHeight="1">
      <c r="A1013" s="1" t="s">
        <v>1050</v>
      </c>
      <c r="B1013" s="1" t="s">
        <v>24</v>
      </c>
      <c r="C1013" s="1">
        <v>0.0</v>
      </c>
      <c r="D1013" s="1" t="s">
        <v>25</v>
      </c>
      <c r="E1013" s="1" t="s">
        <v>25</v>
      </c>
      <c r="F1013" s="1">
        <v>71.0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1">
        <v>58.65</v>
      </c>
      <c r="T1013" s="1">
        <v>4145.25</v>
      </c>
      <c r="U1013" s="1">
        <v>0.0</v>
      </c>
      <c r="V1013" s="1">
        <v>0.0</v>
      </c>
      <c r="W1013" s="1" t="s">
        <v>26</v>
      </c>
    </row>
    <row r="1014" ht="15.75" customHeight="1">
      <c r="A1014" s="1" t="s">
        <v>1051</v>
      </c>
      <c r="B1014" s="1" t="s">
        <v>32</v>
      </c>
      <c r="C1014" s="1">
        <v>0.0</v>
      </c>
      <c r="D1014" s="1" t="s">
        <v>26</v>
      </c>
      <c r="E1014" s="1" t="s">
        <v>26</v>
      </c>
      <c r="F1014" s="1">
        <v>9.0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1">
        <v>95.9</v>
      </c>
      <c r="T1014" s="1">
        <v>827.45</v>
      </c>
      <c r="U1014" s="1">
        <v>0.0</v>
      </c>
      <c r="V1014" s="1">
        <v>0.0</v>
      </c>
      <c r="W1014" s="1" t="s">
        <v>26</v>
      </c>
    </row>
    <row r="1015" ht="15.75" customHeight="1">
      <c r="A1015" s="1" t="s">
        <v>1052</v>
      </c>
      <c r="B1015" s="1" t="s">
        <v>24</v>
      </c>
      <c r="C1015" s="1">
        <v>0.0</v>
      </c>
      <c r="D1015" s="1" t="s">
        <v>26</v>
      </c>
      <c r="E1015" s="1" t="s">
        <v>26</v>
      </c>
      <c r="F1015" s="1">
        <v>1.0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1">
        <v>49.5</v>
      </c>
      <c r="T1015" s="1">
        <v>49.5</v>
      </c>
      <c r="U1015" s="1">
        <v>0.0</v>
      </c>
      <c r="V1015" s="1">
        <v>0.0</v>
      </c>
      <c r="W1015" s="1" t="s">
        <v>26</v>
      </c>
    </row>
    <row r="1016" ht="15.75" customHeight="1">
      <c r="A1016" s="1" t="s">
        <v>1053</v>
      </c>
      <c r="B1016" s="1" t="s">
        <v>32</v>
      </c>
      <c r="C1016" s="1">
        <v>0.0</v>
      </c>
      <c r="D1016" s="1" t="s">
        <v>25</v>
      </c>
      <c r="E1016" s="1" t="s">
        <v>25</v>
      </c>
      <c r="F1016" s="1">
        <v>18.0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1">
        <v>57.45</v>
      </c>
      <c r="T1016" s="1">
        <v>990.85</v>
      </c>
      <c r="U1016" s="1">
        <v>0.0</v>
      </c>
      <c r="V1016" s="1">
        <v>2.0</v>
      </c>
      <c r="W1016" s="1" t="s">
        <v>25</v>
      </c>
    </row>
    <row r="1017" ht="15.75" customHeight="1">
      <c r="A1017" s="1" t="s">
        <v>1054</v>
      </c>
      <c r="B1017" s="1" t="s">
        <v>32</v>
      </c>
      <c r="C1017" s="1">
        <v>0.0</v>
      </c>
      <c r="D1017" s="1" t="s">
        <v>25</v>
      </c>
      <c r="E1017" s="1" t="s">
        <v>25</v>
      </c>
      <c r="F1017" s="1">
        <v>12.0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1">
        <v>53.65</v>
      </c>
      <c r="T1017" s="1">
        <v>696.35</v>
      </c>
      <c r="U1017" s="1">
        <v>0.0</v>
      </c>
      <c r="V1017" s="1">
        <v>0.0</v>
      </c>
      <c r="W1017" s="1" t="s">
        <v>25</v>
      </c>
    </row>
    <row r="1018" ht="15.75" customHeight="1">
      <c r="A1018" s="1" t="s">
        <v>1055</v>
      </c>
      <c r="B1018" s="1" t="s">
        <v>32</v>
      </c>
      <c r="C1018" s="1">
        <v>0.0</v>
      </c>
      <c r="D1018" s="1" t="s">
        <v>25</v>
      </c>
      <c r="E1018" s="1" t="s">
        <v>26</v>
      </c>
      <c r="F1018" s="1">
        <v>71.0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1">
        <v>80.1</v>
      </c>
      <c r="T1018" s="1">
        <v>5585.4</v>
      </c>
      <c r="U1018" s="1">
        <v>0.0</v>
      </c>
      <c r="V1018" s="1">
        <v>0.0</v>
      </c>
      <c r="W1018" s="1" t="s">
        <v>26</v>
      </c>
    </row>
    <row r="1019" ht="15.75" customHeight="1">
      <c r="A1019" s="1" t="s">
        <v>1056</v>
      </c>
      <c r="B1019" s="1" t="s">
        <v>24</v>
      </c>
      <c r="C1019" s="1">
        <v>0.0</v>
      </c>
      <c r="D1019" s="1" t="s">
        <v>26</v>
      </c>
      <c r="E1019" s="1" t="s">
        <v>26</v>
      </c>
      <c r="F1019" s="1">
        <v>64.0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1">
        <v>24.4</v>
      </c>
      <c r="T1019" s="1">
        <v>1601.2</v>
      </c>
      <c r="U1019" s="1">
        <v>3.0</v>
      </c>
      <c r="V1019" s="1">
        <v>0.0</v>
      </c>
      <c r="W1019" s="1" t="s">
        <v>26</v>
      </c>
    </row>
    <row r="1020" ht="15.75" customHeight="1">
      <c r="A1020" s="1" t="s">
        <v>1057</v>
      </c>
      <c r="B1020" s="1" t="s">
        <v>32</v>
      </c>
      <c r="C1020" s="1">
        <v>0.0</v>
      </c>
      <c r="D1020" s="1" t="s">
        <v>26</v>
      </c>
      <c r="E1020" s="1" t="s">
        <v>26</v>
      </c>
      <c r="F1020" s="1">
        <v>4.0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1">
        <v>40.05</v>
      </c>
      <c r="T1020" s="1">
        <v>162.45</v>
      </c>
      <c r="U1020" s="1">
        <v>3.0</v>
      </c>
      <c r="V1020" s="1">
        <v>0.0</v>
      </c>
      <c r="W1020" s="1" t="s">
        <v>26</v>
      </c>
    </row>
    <row r="1021" ht="15.75" customHeight="1">
      <c r="A1021" s="1" t="s">
        <v>1058</v>
      </c>
      <c r="B1021" s="1" t="s">
        <v>24</v>
      </c>
      <c r="C1021" s="1">
        <v>0.0</v>
      </c>
      <c r="D1021" s="1" t="s">
        <v>26</v>
      </c>
      <c r="E1021" s="1" t="s">
        <v>26</v>
      </c>
      <c r="F1021" s="1">
        <v>23.0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1">
        <v>19.5</v>
      </c>
      <c r="T1021" s="1">
        <v>470.2</v>
      </c>
      <c r="U1021" s="1">
        <v>0.0</v>
      </c>
      <c r="V1021" s="1">
        <v>2.0</v>
      </c>
      <c r="W1021" s="1" t="s">
        <v>26</v>
      </c>
    </row>
    <row r="1022" ht="15.75" customHeight="1">
      <c r="A1022" s="1" t="s">
        <v>1059</v>
      </c>
      <c r="B1022" s="1" t="s">
        <v>24</v>
      </c>
      <c r="C1022" s="1">
        <v>0.0</v>
      </c>
      <c r="D1022" s="1" t="s">
        <v>25</v>
      </c>
      <c r="E1022" s="1" t="s">
        <v>25</v>
      </c>
      <c r="F1022" s="1">
        <v>39.0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1">
        <v>51.05</v>
      </c>
      <c r="T1022" s="1">
        <v>2066.0</v>
      </c>
      <c r="U1022" s="1">
        <v>0.0</v>
      </c>
      <c r="V1022" s="1">
        <v>0.0</v>
      </c>
      <c r="W1022" s="1" t="s">
        <v>26</v>
      </c>
    </row>
    <row r="1023" ht="15.75" customHeight="1">
      <c r="A1023" s="1" t="s">
        <v>1060</v>
      </c>
      <c r="B1023" s="1" t="s">
        <v>32</v>
      </c>
      <c r="C1023" s="1">
        <v>0.0</v>
      </c>
      <c r="D1023" s="1" t="s">
        <v>25</v>
      </c>
      <c r="E1023" s="1" t="s">
        <v>26</v>
      </c>
      <c r="F1023" s="1">
        <v>28.0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1">
        <v>54.35</v>
      </c>
      <c r="T1023" s="1">
        <v>1426.45</v>
      </c>
      <c r="U1023" s="1">
        <v>0.0</v>
      </c>
      <c r="V1023" s="1">
        <v>2.0</v>
      </c>
      <c r="W1023" s="1" t="s">
        <v>26</v>
      </c>
    </row>
    <row r="1024" ht="15.75" customHeight="1">
      <c r="A1024" s="1" t="s">
        <v>1061</v>
      </c>
      <c r="B1024" s="1" t="s">
        <v>24</v>
      </c>
      <c r="C1024" s="1">
        <v>1.0</v>
      </c>
      <c r="D1024" s="1" t="s">
        <v>26</v>
      </c>
      <c r="E1024" s="1" t="s">
        <v>26</v>
      </c>
      <c r="F1024" s="1">
        <v>5.0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1">
        <v>84.7</v>
      </c>
      <c r="T1024" s="1">
        <v>392.5</v>
      </c>
      <c r="U1024" s="1">
        <v>0.0</v>
      </c>
      <c r="V1024" s="1">
        <v>0.0</v>
      </c>
      <c r="W1024" s="1" t="s">
        <v>26</v>
      </c>
    </row>
    <row r="1025" ht="15.75" customHeight="1">
      <c r="A1025" s="1" t="s">
        <v>1062</v>
      </c>
      <c r="B1025" s="1" t="s">
        <v>24</v>
      </c>
      <c r="C1025" s="1">
        <v>1.0</v>
      </c>
      <c r="D1025" s="1" t="s">
        <v>25</v>
      </c>
      <c r="E1025" s="1" t="s">
        <v>26</v>
      </c>
      <c r="F1025" s="1">
        <v>45.0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1">
        <v>86.1</v>
      </c>
      <c r="T1025" s="1">
        <v>3861.45</v>
      </c>
      <c r="U1025" s="1">
        <v>0.0</v>
      </c>
      <c r="V1025" s="1">
        <v>0.0</v>
      </c>
      <c r="W1025" s="1" t="s">
        <v>26</v>
      </c>
    </row>
    <row r="1026" ht="15.75" customHeight="1">
      <c r="A1026" s="1" t="s">
        <v>1063</v>
      </c>
      <c r="B1026" s="1" t="s">
        <v>32</v>
      </c>
      <c r="C1026" s="1">
        <v>0.0</v>
      </c>
      <c r="D1026" s="1" t="s">
        <v>26</v>
      </c>
      <c r="E1026" s="1" t="s">
        <v>26</v>
      </c>
      <c r="F1026" s="1">
        <v>37.0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1">
        <v>70.35</v>
      </c>
      <c r="T1026" s="1">
        <v>2552.9</v>
      </c>
      <c r="U1026" s="1">
        <v>4.0</v>
      </c>
      <c r="V1026" s="1">
        <v>0.0</v>
      </c>
      <c r="W1026" s="1" t="s">
        <v>26</v>
      </c>
    </row>
    <row r="1027" ht="15.75" customHeight="1">
      <c r="A1027" s="1" t="s">
        <v>1064</v>
      </c>
      <c r="B1027" s="1" t="s">
        <v>24</v>
      </c>
      <c r="C1027" s="1">
        <v>1.0</v>
      </c>
      <c r="D1027" s="1" t="s">
        <v>25</v>
      </c>
      <c r="E1027" s="1" t="s">
        <v>26</v>
      </c>
      <c r="F1027" s="1">
        <v>60.0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1">
        <v>110.0</v>
      </c>
      <c r="T1027" s="1">
        <v>6668.35</v>
      </c>
      <c r="U1027" s="1">
        <v>0.0</v>
      </c>
      <c r="V1027" s="1">
        <v>0.0</v>
      </c>
      <c r="W1027" s="1" t="s">
        <v>26</v>
      </c>
    </row>
    <row r="1028" ht="15.75" customHeight="1">
      <c r="A1028" s="1" t="s">
        <v>1065</v>
      </c>
      <c r="B1028" s="1" t="s">
        <v>32</v>
      </c>
      <c r="C1028" s="1">
        <v>1.0</v>
      </c>
      <c r="D1028" s="1" t="s">
        <v>26</v>
      </c>
      <c r="E1028" s="1" t="s">
        <v>26</v>
      </c>
      <c r="F1028" s="1">
        <v>8.0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1">
        <v>100.6</v>
      </c>
      <c r="T1028" s="1">
        <v>819.4</v>
      </c>
      <c r="U1028" s="1">
        <v>0.0</v>
      </c>
      <c r="V1028" s="1">
        <v>0.0</v>
      </c>
      <c r="W1028" s="1" t="s">
        <v>25</v>
      </c>
    </row>
    <row r="1029" ht="15.75" customHeight="1">
      <c r="A1029" s="1" t="s">
        <v>1066</v>
      </c>
      <c r="B1029" s="1" t="s">
        <v>24</v>
      </c>
      <c r="C1029" s="1">
        <v>0.0</v>
      </c>
      <c r="D1029" s="1" t="s">
        <v>26</v>
      </c>
      <c r="E1029" s="1" t="s">
        <v>26</v>
      </c>
      <c r="F1029" s="1">
        <v>47.0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1">
        <v>94.9</v>
      </c>
      <c r="T1029" s="1">
        <v>4615.25</v>
      </c>
      <c r="U1029" s="1">
        <v>1.0</v>
      </c>
      <c r="V1029" s="1">
        <v>0.0</v>
      </c>
      <c r="W1029" s="1" t="s">
        <v>26</v>
      </c>
    </row>
    <row r="1030" ht="15.75" customHeight="1">
      <c r="A1030" s="1" t="s">
        <v>1067</v>
      </c>
      <c r="B1030" s="1" t="s">
        <v>32</v>
      </c>
      <c r="C1030" s="1">
        <v>0.0</v>
      </c>
      <c r="D1030" s="1" t="s">
        <v>25</v>
      </c>
      <c r="E1030" s="1" t="s">
        <v>25</v>
      </c>
      <c r="F1030" s="1">
        <v>26.0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1">
        <v>83.75</v>
      </c>
      <c r="T1030" s="1">
        <v>2070.6</v>
      </c>
      <c r="U1030" s="1">
        <v>0.0</v>
      </c>
      <c r="V1030" s="1">
        <v>0.0</v>
      </c>
      <c r="W1030" s="1" t="s">
        <v>25</v>
      </c>
    </row>
    <row r="1031" ht="15.75" customHeight="1">
      <c r="A1031" s="1" t="s">
        <v>1068</v>
      </c>
      <c r="B1031" s="1" t="s">
        <v>24</v>
      </c>
      <c r="C1031" s="1">
        <v>1.0</v>
      </c>
      <c r="D1031" s="1" t="s">
        <v>25</v>
      </c>
      <c r="E1031" s="1" t="s">
        <v>25</v>
      </c>
      <c r="F1031" s="1">
        <v>3.0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1">
        <v>88.3</v>
      </c>
      <c r="T1031" s="1">
        <v>273.75</v>
      </c>
      <c r="U1031" s="1">
        <v>0.0</v>
      </c>
      <c r="V1031" s="1">
        <v>0.0</v>
      </c>
      <c r="W1031" s="1" t="s">
        <v>25</v>
      </c>
    </row>
    <row r="1032" ht="15.75" customHeight="1">
      <c r="A1032" s="1" t="s">
        <v>1069</v>
      </c>
      <c r="B1032" s="1" t="s">
        <v>24</v>
      </c>
      <c r="C1032" s="1">
        <v>0.0</v>
      </c>
      <c r="D1032" s="1" t="s">
        <v>25</v>
      </c>
      <c r="E1032" s="1" t="s">
        <v>25</v>
      </c>
      <c r="F1032" s="1">
        <v>50.0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1">
        <v>69.75</v>
      </c>
      <c r="T1032" s="1">
        <v>3557.7</v>
      </c>
      <c r="U1032" s="1">
        <v>0.0</v>
      </c>
      <c r="V1032" s="1">
        <v>0.0</v>
      </c>
      <c r="W1032" s="1" t="s">
        <v>26</v>
      </c>
    </row>
    <row r="1033" ht="15.75" customHeight="1">
      <c r="A1033" s="1" t="s">
        <v>1070</v>
      </c>
      <c r="B1033" s="1" t="s">
        <v>32</v>
      </c>
      <c r="C1033" s="1">
        <v>0.0</v>
      </c>
      <c r="D1033" s="1" t="s">
        <v>25</v>
      </c>
      <c r="E1033" s="1" t="s">
        <v>25</v>
      </c>
      <c r="F1033" s="1">
        <v>27.0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1">
        <v>71.6</v>
      </c>
      <c r="T1033" s="1">
        <v>1957.1</v>
      </c>
      <c r="U1033" s="1">
        <v>0.0</v>
      </c>
      <c r="V1033" s="1">
        <v>0.0</v>
      </c>
      <c r="W1033" s="1" t="s">
        <v>26</v>
      </c>
    </row>
    <row r="1034" ht="15.75" customHeight="1">
      <c r="A1034" s="1" t="s">
        <v>1071</v>
      </c>
      <c r="B1034" s="1" t="s">
        <v>24</v>
      </c>
      <c r="C1034" s="1">
        <v>1.0</v>
      </c>
      <c r="D1034" s="1" t="s">
        <v>26</v>
      </c>
      <c r="E1034" s="1" t="s">
        <v>26</v>
      </c>
      <c r="F1034" s="1">
        <v>8.0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1">
        <v>92.1</v>
      </c>
      <c r="T1034" s="1">
        <v>729.95</v>
      </c>
      <c r="U1034" s="1">
        <v>0.0</v>
      </c>
      <c r="V1034" s="1">
        <v>0.0</v>
      </c>
      <c r="W1034" s="1" t="s">
        <v>25</v>
      </c>
    </row>
    <row r="1035" ht="15.75" customHeight="1">
      <c r="A1035" s="1" t="s">
        <v>1072</v>
      </c>
      <c r="B1035" s="1" t="s">
        <v>24</v>
      </c>
      <c r="C1035" s="1">
        <v>0.0</v>
      </c>
      <c r="D1035" s="1" t="s">
        <v>25</v>
      </c>
      <c r="E1035" s="1" t="s">
        <v>26</v>
      </c>
      <c r="F1035" s="1">
        <v>62.0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1">
        <v>23.65</v>
      </c>
      <c r="T1035" s="1">
        <v>1416.75</v>
      </c>
      <c r="U1035" s="1">
        <v>0.0</v>
      </c>
      <c r="V1035" s="1">
        <v>0.0</v>
      </c>
      <c r="W1035" s="1" t="s">
        <v>26</v>
      </c>
    </row>
    <row r="1036" ht="15.75" customHeight="1">
      <c r="A1036" s="1" t="s">
        <v>1073</v>
      </c>
      <c r="B1036" s="1" t="s">
        <v>24</v>
      </c>
      <c r="C1036" s="1">
        <v>0.0</v>
      </c>
      <c r="D1036" s="1" t="s">
        <v>25</v>
      </c>
      <c r="E1036" s="1" t="s">
        <v>26</v>
      </c>
      <c r="F1036" s="1">
        <v>71.0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1">
        <v>81.85</v>
      </c>
      <c r="T1036" s="1">
        <v>5924.4</v>
      </c>
      <c r="U1036" s="1">
        <v>4.0</v>
      </c>
      <c r="V1036" s="1">
        <v>0.0</v>
      </c>
      <c r="W1036" s="1" t="s">
        <v>26</v>
      </c>
    </row>
    <row r="1037" ht="15.75" customHeight="1">
      <c r="A1037" s="1" t="s">
        <v>1074</v>
      </c>
      <c r="B1037" s="1" t="s">
        <v>32</v>
      </c>
      <c r="C1037" s="1">
        <v>0.0</v>
      </c>
      <c r="D1037" s="1" t="s">
        <v>26</v>
      </c>
      <c r="E1037" s="1" t="s">
        <v>26</v>
      </c>
      <c r="F1037" s="1">
        <v>66.0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1">
        <v>25.1</v>
      </c>
      <c r="T1037" s="1">
        <v>1697.7</v>
      </c>
      <c r="U1037" s="1">
        <v>0.0</v>
      </c>
      <c r="V1037" s="1">
        <v>0.0</v>
      </c>
      <c r="W1037" s="1" t="s">
        <v>26</v>
      </c>
    </row>
    <row r="1038" ht="15.75" customHeight="1">
      <c r="A1038" s="1" t="s">
        <v>1075</v>
      </c>
      <c r="B1038" s="1" t="s">
        <v>32</v>
      </c>
      <c r="C1038" s="1">
        <v>0.0</v>
      </c>
      <c r="D1038" s="1" t="s">
        <v>25</v>
      </c>
      <c r="E1038" s="1" t="s">
        <v>25</v>
      </c>
      <c r="F1038" s="1">
        <v>68.0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1">
        <v>114.7</v>
      </c>
      <c r="T1038" s="1">
        <v>7849.85</v>
      </c>
      <c r="U1038" s="1">
        <v>0.0</v>
      </c>
      <c r="V1038" s="1">
        <v>0.0</v>
      </c>
      <c r="W1038" s="1" t="s">
        <v>26</v>
      </c>
    </row>
    <row r="1039" ht="15.75" customHeight="1">
      <c r="A1039" s="1" t="s">
        <v>1076</v>
      </c>
      <c r="B1039" s="1" t="s">
        <v>24</v>
      </c>
      <c r="C1039" s="1">
        <v>0.0</v>
      </c>
      <c r="D1039" s="1" t="s">
        <v>26</v>
      </c>
      <c r="E1039" s="1" t="s">
        <v>26</v>
      </c>
      <c r="F1039" s="1">
        <v>13.0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1">
        <v>49.15</v>
      </c>
      <c r="T1039" s="1">
        <v>649.4</v>
      </c>
      <c r="U1039" s="1">
        <v>3.0</v>
      </c>
      <c r="V1039" s="1">
        <v>0.0</v>
      </c>
      <c r="W1039" s="1" t="s">
        <v>26</v>
      </c>
    </row>
    <row r="1040" ht="15.75" customHeight="1">
      <c r="A1040" s="1" t="s">
        <v>1077</v>
      </c>
      <c r="B1040" s="1" t="s">
        <v>32</v>
      </c>
      <c r="C1040" s="1">
        <v>0.0</v>
      </c>
      <c r="D1040" s="1" t="s">
        <v>25</v>
      </c>
      <c r="E1040" s="1" t="s">
        <v>26</v>
      </c>
      <c r="F1040" s="1">
        <v>56.0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1">
        <v>80.9</v>
      </c>
      <c r="T1040" s="1">
        <v>4557.5</v>
      </c>
      <c r="U1040" s="1">
        <v>0.0</v>
      </c>
      <c r="V1040" s="1">
        <v>0.0</v>
      </c>
      <c r="W1040" s="1" t="s">
        <v>26</v>
      </c>
    </row>
    <row r="1041" ht="15.75" customHeight="1">
      <c r="A1041" s="1" t="s">
        <v>1078</v>
      </c>
      <c r="B1041" s="1" t="s">
        <v>32</v>
      </c>
      <c r="C1041" s="1">
        <v>0.0</v>
      </c>
      <c r="D1041" s="1" t="s">
        <v>25</v>
      </c>
      <c r="E1041" s="1" t="s">
        <v>26</v>
      </c>
      <c r="F1041" s="1">
        <v>38.0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1">
        <v>79.45</v>
      </c>
      <c r="T1041" s="1">
        <v>3013.05</v>
      </c>
      <c r="U1041" s="1">
        <v>0.0</v>
      </c>
      <c r="V1041" s="1">
        <v>4.0</v>
      </c>
      <c r="W1041" s="1" t="s">
        <v>25</v>
      </c>
    </row>
    <row r="1042" ht="15.75" customHeight="1">
      <c r="A1042" s="1" t="s">
        <v>1079</v>
      </c>
      <c r="B1042" s="1" t="s">
        <v>32</v>
      </c>
      <c r="C1042" s="1">
        <v>1.0</v>
      </c>
      <c r="D1042" s="1" t="s">
        <v>26</v>
      </c>
      <c r="E1042" s="1" t="s">
        <v>26</v>
      </c>
      <c r="F1042" s="1">
        <v>14.0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1">
        <v>90.45</v>
      </c>
      <c r="T1042" s="1">
        <v>1266.1</v>
      </c>
      <c r="U1042" s="1">
        <v>0.0</v>
      </c>
      <c r="V1042" s="1">
        <v>1.0</v>
      </c>
      <c r="W1042" s="1" t="s">
        <v>25</v>
      </c>
    </row>
    <row r="1043" ht="15.75" customHeight="1">
      <c r="A1043" s="1" t="s">
        <v>1080</v>
      </c>
      <c r="B1043" s="1" t="s">
        <v>24</v>
      </c>
      <c r="C1043" s="1">
        <v>0.0</v>
      </c>
      <c r="D1043" s="1" t="s">
        <v>26</v>
      </c>
      <c r="E1043" s="1" t="s">
        <v>25</v>
      </c>
      <c r="F1043" s="1">
        <v>16.0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1">
        <v>19.3</v>
      </c>
      <c r="T1043" s="1">
        <v>360.35</v>
      </c>
      <c r="U1043" s="1">
        <v>0.0</v>
      </c>
      <c r="V1043" s="1">
        <v>0.0</v>
      </c>
      <c r="W1043" s="1" t="s">
        <v>26</v>
      </c>
    </row>
    <row r="1044" ht="15.75" customHeight="1">
      <c r="A1044" s="1" t="s">
        <v>1081</v>
      </c>
      <c r="B1044" s="1" t="s">
        <v>24</v>
      </c>
      <c r="C1044" s="1">
        <v>0.0</v>
      </c>
      <c r="D1044" s="1" t="s">
        <v>25</v>
      </c>
      <c r="E1044" s="1" t="s">
        <v>25</v>
      </c>
      <c r="F1044" s="1">
        <v>14.0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1">
        <v>70.2</v>
      </c>
      <c r="T1044" s="1">
        <v>1046.5</v>
      </c>
      <c r="U1044" s="1">
        <v>0.0</v>
      </c>
      <c r="V1044" s="1">
        <v>0.0</v>
      </c>
      <c r="W1044" s="1" t="s">
        <v>26</v>
      </c>
    </row>
    <row r="1045" ht="15.75" customHeight="1">
      <c r="A1045" s="1" t="s">
        <v>1082</v>
      </c>
      <c r="B1045" s="1" t="s">
        <v>32</v>
      </c>
      <c r="C1045" s="1">
        <v>0.0</v>
      </c>
      <c r="D1045" s="1" t="s">
        <v>25</v>
      </c>
      <c r="E1045" s="1" t="s">
        <v>25</v>
      </c>
      <c r="F1045" s="1">
        <v>32.0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1">
        <v>69.75</v>
      </c>
      <c r="T1045" s="1">
        <v>2347.9</v>
      </c>
      <c r="U1045" s="1">
        <v>0.0</v>
      </c>
      <c r="V1045" s="1">
        <v>0.0</v>
      </c>
      <c r="W1045" s="1" t="s">
        <v>25</v>
      </c>
    </row>
    <row r="1046" ht="15.75" customHeight="1">
      <c r="A1046" s="1" t="s">
        <v>1083</v>
      </c>
      <c r="B1046" s="1" t="s">
        <v>24</v>
      </c>
      <c r="C1046" s="1">
        <v>0.0</v>
      </c>
      <c r="D1046" s="1" t="s">
        <v>26</v>
      </c>
      <c r="E1046" s="1" t="s">
        <v>26</v>
      </c>
      <c r="F1046" s="1">
        <v>8.0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1">
        <v>54.25</v>
      </c>
      <c r="T1046" s="1">
        <v>447.75</v>
      </c>
      <c r="U1046" s="1">
        <v>1.0</v>
      </c>
      <c r="V1046" s="1">
        <v>0.0</v>
      </c>
      <c r="W1046" s="1" t="s">
        <v>26</v>
      </c>
    </row>
    <row r="1047" ht="15.75" customHeight="1">
      <c r="A1047" s="1" t="s">
        <v>1084</v>
      </c>
      <c r="B1047" s="1" t="s">
        <v>24</v>
      </c>
      <c r="C1047" s="1">
        <v>0.0</v>
      </c>
      <c r="D1047" s="1" t="s">
        <v>25</v>
      </c>
      <c r="E1047" s="1" t="s">
        <v>25</v>
      </c>
      <c r="F1047" s="1">
        <v>43.0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1">
        <v>99.3</v>
      </c>
      <c r="T1047" s="1">
        <v>4209.95</v>
      </c>
      <c r="U1047" s="1">
        <v>0.0</v>
      </c>
      <c r="V1047" s="1">
        <v>0.0</v>
      </c>
      <c r="W1047" s="1" t="s">
        <v>26</v>
      </c>
    </row>
    <row r="1048" ht="15.75" customHeight="1">
      <c r="A1048" s="1" t="s">
        <v>1085</v>
      </c>
      <c r="B1048" s="1" t="s">
        <v>24</v>
      </c>
      <c r="C1048" s="1">
        <v>0.0</v>
      </c>
      <c r="D1048" s="1" t="s">
        <v>26</v>
      </c>
      <c r="E1048" s="1" t="s">
        <v>26</v>
      </c>
      <c r="F1048" s="1">
        <v>52.0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1">
        <v>74.0</v>
      </c>
      <c r="T1048" s="1">
        <v>3877.65</v>
      </c>
      <c r="U1048" s="1">
        <v>0.0</v>
      </c>
      <c r="V1048" s="1">
        <v>0.0</v>
      </c>
      <c r="W1048" s="1" t="s">
        <v>26</v>
      </c>
    </row>
    <row r="1049" ht="15.75" customHeight="1">
      <c r="A1049" s="1" t="s">
        <v>1086</v>
      </c>
      <c r="B1049" s="1" t="s">
        <v>32</v>
      </c>
      <c r="C1049" s="1">
        <v>0.0</v>
      </c>
      <c r="D1049" s="1" t="s">
        <v>26</v>
      </c>
      <c r="E1049" s="1" t="s">
        <v>26</v>
      </c>
      <c r="F1049" s="1">
        <v>3.0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1">
        <v>50.25</v>
      </c>
      <c r="T1049" s="1">
        <v>152.3</v>
      </c>
      <c r="U1049" s="1">
        <v>0.0</v>
      </c>
      <c r="V1049" s="1">
        <v>0.0</v>
      </c>
      <c r="W1049" s="1" t="s">
        <v>26</v>
      </c>
    </row>
    <row r="1050" ht="15.75" customHeight="1">
      <c r="A1050" s="1" t="s">
        <v>1087</v>
      </c>
      <c r="B1050" s="1" t="s">
        <v>32</v>
      </c>
      <c r="C1050" s="1">
        <v>0.0</v>
      </c>
      <c r="D1050" s="1" t="s">
        <v>26</v>
      </c>
      <c r="E1050" s="1" t="s">
        <v>26</v>
      </c>
      <c r="F1050" s="1">
        <v>29.0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1">
        <v>19.8</v>
      </c>
      <c r="T1050" s="1">
        <v>572.2</v>
      </c>
      <c r="U1050" s="1">
        <v>0.0</v>
      </c>
      <c r="V1050" s="1">
        <v>0.0</v>
      </c>
      <c r="W1050" s="1" t="s">
        <v>26</v>
      </c>
    </row>
    <row r="1051" ht="15.75" customHeight="1">
      <c r="A1051" s="1" t="s">
        <v>1088</v>
      </c>
      <c r="B1051" s="1" t="s">
        <v>24</v>
      </c>
      <c r="C1051" s="1">
        <v>0.0</v>
      </c>
      <c r="D1051" s="1" t="s">
        <v>26</v>
      </c>
      <c r="E1051" s="1" t="s">
        <v>26</v>
      </c>
      <c r="F1051" s="1">
        <v>1.0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1">
        <v>19.65</v>
      </c>
      <c r="T1051" s="1">
        <v>19.65</v>
      </c>
      <c r="U1051" s="1">
        <v>3.0</v>
      </c>
      <c r="V1051" s="1">
        <v>0.0</v>
      </c>
      <c r="W1051" s="1" t="s">
        <v>25</v>
      </c>
    </row>
    <row r="1052" ht="15.75" customHeight="1">
      <c r="A1052" s="1" t="s">
        <v>1089</v>
      </c>
      <c r="B1052" s="1" t="s">
        <v>32</v>
      </c>
      <c r="C1052" s="1">
        <v>1.0</v>
      </c>
      <c r="D1052" s="1" t="s">
        <v>26</v>
      </c>
      <c r="E1052" s="1" t="s">
        <v>26</v>
      </c>
      <c r="F1052" s="1">
        <v>12.0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1">
        <v>43.65</v>
      </c>
      <c r="T1052" s="1">
        <v>526.95</v>
      </c>
      <c r="U1052" s="1">
        <v>0.0</v>
      </c>
      <c r="V1052" s="1">
        <v>1.0</v>
      </c>
      <c r="W1052" s="1" t="s">
        <v>25</v>
      </c>
    </row>
    <row r="1053" ht="15.75" customHeight="1">
      <c r="A1053" s="1" t="s">
        <v>1090</v>
      </c>
      <c r="B1053" s="1" t="s">
        <v>24</v>
      </c>
      <c r="C1053" s="1">
        <v>0.0</v>
      </c>
      <c r="D1053" s="1" t="s">
        <v>25</v>
      </c>
      <c r="E1053" s="1" t="s">
        <v>25</v>
      </c>
      <c r="F1053" s="1">
        <v>16.0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1">
        <v>35.5</v>
      </c>
      <c r="T1053" s="1">
        <v>552.7</v>
      </c>
      <c r="U1053" s="1">
        <v>0.0</v>
      </c>
      <c r="V1053" s="1">
        <v>0.0</v>
      </c>
      <c r="W1053" s="1" t="s">
        <v>26</v>
      </c>
    </row>
    <row r="1054" ht="15.75" customHeight="1">
      <c r="A1054" s="1" t="s">
        <v>1091</v>
      </c>
      <c r="B1054" s="1" t="s">
        <v>24</v>
      </c>
      <c r="C1054" s="1">
        <v>0.0</v>
      </c>
      <c r="D1054" s="1" t="s">
        <v>26</v>
      </c>
      <c r="E1054" s="1" t="s">
        <v>26</v>
      </c>
      <c r="F1054" s="1">
        <v>40.0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1">
        <v>80.75</v>
      </c>
      <c r="T1054" s="1">
        <v>3208.65</v>
      </c>
      <c r="U1054" s="1">
        <v>0.0</v>
      </c>
      <c r="V1054" s="1">
        <v>1.0</v>
      </c>
      <c r="W1054" s="1" t="s">
        <v>26</v>
      </c>
    </row>
    <row r="1055" ht="15.75" customHeight="1">
      <c r="A1055" s="1" t="s">
        <v>1092</v>
      </c>
      <c r="B1055" s="1" t="s">
        <v>24</v>
      </c>
      <c r="C1055" s="1">
        <v>0.0</v>
      </c>
      <c r="D1055" s="1" t="s">
        <v>26</v>
      </c>
      <c r="E1055" s="1" t="s">
        <v>26</v>
      </c>
      <c r="F1055" s="1">
        <v>5.0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1">
        <v>39.5</v>
      </c>
      <c r="T1055" s="1">
        <v>210.75</v>
      </c>
      <c r="U1055" s="1">
        <v>0.0</v>
      </c>
      <c r="V1055" s="1">
        <v>0.0</v>
      </c>
      <c r="W1055" s="1" t="s">
        <v>25</v>
      </c>
    </row>
    <row r="1056" ht="15.75" customHeight="1">
      <c r="A1056" s="1" t="s">
        <v>1093</v>
      </c>
      <c r="B1056" s="1" t="s">
        <v>32</v>
      </c>
      <c r="C1056" s="1">
        <v>0.0</v>
      </c>
      <c r="D1056" s="1" t="s">
        <v>25</v>
      </c>
      <c r="E1056" s="1" t="s">
        <v>26</v>
      </c>
      <c r="F1056" s="1">
        <v>40.0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1">
        <v>97.1</v>
      </c>
      <c r="T1056" s="1">
        <v>3706.95</v>
      </c>
      <c r="U1056" s="1">
        <v>0.0</v>
      </c>
      <c r="V1056" s="1">
        <v>4.0</v>
      </c>
      <c r="W1056" s="1" t="s">
        <v>25</v>
      </c>
    </row>
    <row r="1057" ht="15.75" customHeight="1">
      <c r="A1057" s="1" t="s">
        <v>1094</v>
      </c>
      <c r="B1057" s="1" t="s">
        <v>24</v>
      </c>
      <c r="C1057" s="1">
        <v>0.0</v>
      </c>
      <c r="D1057" s="1" t="s">
        <v>26</v>
      </c>
      <c r="E1057" s="1" t="s">
        <v>26</v>
      </c>
      <c r="F1057" s="1">
        <v>36.0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1">
        <v>19.55</v>
      </c>
      <c r="T1057" s="1">
        <v>620.75</v>
      </c>
      <c r="U1057" s="1">
        <v>0.0</v>
      </c>
      <c r="V1057" s="1">
        <v>0.0</v>
      </c>
      <c r="W1057" s="1" t="s">
        <v>26</v>
      </c>
    </row>
    <row r="1058" ht="15.75" customHeight="1">
      <c r="A1058" s="1" t="s">
        <v>1095</v>
      </c>
      <c r="B1058" s="1" t="s">
        <v>24</v>
      </c>
      <c r="C1058" s="1">
        <v>0.0</v>
      </c>
      <c r="D1058" s="1" t="s">
        <v>26</v>
      </c>
      <c r="E1058" s="1" t="s">
        <v>26</v>
      </c>
      <c r="F1058" s="1">
        <v>5.0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1">
        <v>80.0</v>
      </c>
      <c r="T1058" s="1">
        <v>412.5</v>
      </c>
      <c r="U1058" s="1">
        <v>0.0</v>
      </c>
      <c r="V1058" s="1">
        <v>0.0</v>
      </c>
      <c r="W1058" s="1" t="s">
        <v>25</v>
      </c>
    </row>
    <row r="1059" ht="15.75" customHeight="1">
      <c r="A1059" s="1" t="s">
        <v>1096</v>
      </c>
      <c r="B1059" s="1" t="s">
        <v>24</v>
      </c>
      <c r="C1059" s="1">
        <v>0.0</v>
      </c>
      <c r="D1059" s="1" t="s">
        <v>26</v>
      </c>
      <c r="E1059" s="1" t="s">
        <v>26</v>
      </c>
      <c r="F1059" s="1">
        <v>10.0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1">
        <v>84.7</v>
      </c>
      <c r="T1059" s="1">
        <v>832.05</v>
      </c>
      <c r="U1059" s="1">
        <v>0.0</v>
      </c>
      <c r="V1059" s="1">
        <v>1.0</v>
      </c>
      <c r="W1059" s="1" t="s">
        <v>25</v>
      </c>
    </row>
    <row r="1060" ht="15.75" customHeight="1">
      <c r="A1060" s="1" t="s">
        <v>1097</v>
      </c>
      <c r="B1060" s="1" t="s">
        <v>32</v>
      </c>
      <c r="C1060" s="1">
        <v>0.0</v>
      </c>
      <c r="D1060" s="1" t="s">
        <v>25</v>
      </c>
      <c r="E1060" s="1" t="s">
        <v>25</v>
      </c>
      <c r="F1060" s="1">
        <v>2.0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1">
        <v>89.55</v>
      </c>
      <c r="T1060" s="1">
        <v>185.55</v>
      </c>
      <c r="U1060" s="1">
        <v>1.0</v>
      </c>
      <c r="V1060" s="1">
        <v>0.0</v>
      </c>
      <c r="W1060" s="1" t="s">
        <v>25</v>
      </c>
    </row>
    <row r="1061" ht="15.75" customHeight="1">
      <c r="A1061" s="1" t="s">
        <v>1098</v>
      </c>
      <c r="B1061" s="1" t="s">
        <v>32</v>
      </c>
      <c r="C1061" s="1">
        <v>0.0</v>
      </c>
      <c r="D1061" s="1" t="s">
        <v>26</v>
      </c>
      <c r="E1061" s="1" t="s">
        <v>26</v>
      </c>
      <c r="F1061" s="1">
        <v>23.0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1">
        <v>90.6</v>
      </c>
      <c r="T1061" s="1">
        <v>1943.2</v>
      </c>
      <c r="U1061" s="1">
        <v>3.0</v>
      </c>
      <c r="V1061" s="1">
        <v>0.0</v>
      </c>
      <c r="W1061" s="1" t="s">
        <v>25</v>
      </c>
    </row>
    <row r="1062" ht="15.75" customHeight="1">
      <c r="A1062" s="1" t="s">
        <v>1099</v>
      </c>
      <c r="B1062" s="1" t="s">
        <v>32</v>
      </c>
      <c r="C1062" s="1">
        <v>0.0</v>
      </c>
      <c r="D1062" s="1" t="s">
        <v>25</v>
      </c>
      <c r="E1062" s="1" t="s">
        <v>25</v>
      </c>
      <c r="F1062" s="1">
        <v>26.0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1">
        <v>20.05</v>
      </c>
      <c r="T1062" s="1">
        <v>505.9</v>
      </c>
      <c r="U1062" s="1">
        <v>0.0</v>
      </c>
      <c r="V1062" s="1">
        <v>0.0</v>
      </c>
      <c r="W1062" s="1" t="s">
        <v>26</v>
      </c>
    </row>
    <row r="1063" ht="15.75" customHeight="1">
      <c r="A1063" s="1" t="s">
        <v>1100</v>
      </c>
      <c r="B1063" s="1" t="s">
        <v>24</v>
      </c>
      <c r="C1063" s="1">
        <v>1.0</v>
      </c>
      <c r="D1063" s="1" t="s">
        <v>25</v>
      </c>
      <c r="E1063" s="1" t="s">
        <v>26</v>
      </c>
      <c r="F1063" s="1">
        <v>72.0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1">
        <v>112.4</v>
      </c>
      <c r="T1063" s="1">
        <v>8046.85</v>
      </c>
      <c r="U1063" s="1">
        <v>0.0</v>
      </c>
      <c r="V1063" s="1">
        <v>0.0</v>
      </c>
      <c r="W1063" s="1" t="s">
        <v>26</v>
      </c>
    </row>
    <row r="1064" ht="15.75" customHeight="1">
      <c r="A1064" s="1" t="s">
        <v>1101</v>
      </c>
      <c r="B1064" s="1" t="s">
        <v>24</v>
      </c>
      <c r="C1064" s="1">
        <v>0.0</v>
      </c>
      <c r="D1064" s="1" t="s">
        <v>25</v>
      </c>
      <c r="E1064" s="1" t="s">
        <v>26</v>
      </c>
      <c r="F1064" s="1">
        <v>34.0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1">
        <v>50.2</v>
      </c>
      <c r="T1064" s="1">
        <v>1815.3</v>
      </c>
      <c r="U1064" s="1">
        <v>0.0</v>
      </c>
      <c r="V1064" s="1">
        <v>0.0</v>
      </c>
      <c r="W1064" s="1" t="s">
        <v>26</v>
      </c>
    </row>
    <row r="1065" ht="15.75" customHeight="1">
      <c r="A1065" s="1" t="s">
        <v>1102</v>
      </c>
      <c r="B1065" s="1" t="s">
        <v>32</v>
      </c>
      <c r="C1065" s="1">
        <v>0.0</v>
      </c>
      <c r="D1065" s="1" t="s">
        <v>26</v>
      </c>
      <c r="E1065" s="1" t="s">
        <v>26</v>
      </c>
      <c r="F1065" s="1">
        <v>10.0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1">
        <v>62.25</v>
      </c>
      <c r="T1065" s="1">
        <v>612.95</v>
      </c>
      <c r="U1065" s="1">
        <v>0.0</v>
      </c>
      <c r="V1065" s="1">
        <v>0.0</v>
      </c>
      <c r="W1065" s="1" t="s">
        <v>26</v>
      </c>
    </row>
    <row r="1066" ht="15.75" customHeight="1">
      <c r="A1066" s="1" t="s">
        <v>1103</v>
      </c>
      <c r="B1066" s="1" t="s">
        <v>24</v>
      </c>
      <c r="C1066" s="1">
        <v>0.0</v>
      </c>
      <c r="D1066" s="1" t="s">
        <v>26</v>
      </c>
      <c r="E1066" s="1" t="s">
        <v>26</v>
      </c>
      <c r="F1066" s="1">
        <v>14.0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1">
        <v>55.7</v>
      </c>
      <c r="T1066" s="1">
        <v>795.15</v>
      </c>
      <c r="U1066" s="1">
        <v>0.0</v>
      </c>
      <c r="V1066" s="1">
        <v>0.0</v>
      </c>
      <c r="W1066" s="1" t="s">
        <v>26</v>
      </c>
    </row>
    <row r="1067" ht="15.75" customHeight="1">
      <c r="A1067" s="1" t="s">
        <v>1104</v>
      </c>
      <c r="B1067" s="1" t="s">
        <v>24</v>
      </c>
      <c r="C1067" s="1">
        <v>0.0</v>
      </c>
      <c r="D1067" s="1" t="s">
        <v>26</v>
      </c>
      <c r="E1067" s="1" t="s">
        <v>26</v>
      </c>
      <c r="F1067" s="1">
        <v>23.0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1">
        <v>90.05</v>
      </c>
      <c r="T1067" s="1">
        <v>2169.8</v>
      </c>
      <c r="U1067" s="1">
        <v>0.0</v>
      </c>
      <c r="V1067" s="1">
        <v>2.0</v>
      </c>
      <c r="W1067" s="1" t="s">
        <v>25</v>
      </c>
    </row>
    <row r="1068" ht="15.75" customHeight="1">
      <c r="A1068" s="1" t="s">
        <v>1105</v>
      </c>
      <c r="B1068" s="1" t="s">
        <v>32</v>
      </c>
      <c r="C1068" s="1">
        <v>0.0</v>
      </c>
      <c r="D1068" s="1" t="s">
        <v>25</v>
      </c>
      <c r="E1068" s="1" t="s">
        <v>26</v>
      </c>
      <c r="F1068" s="1">
        <v>47.0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1">
        <v>19.65</v>
      </c>
      <c r="T1068" s="1">
        <v>973.1</v>
      </c>
      <c r="U1068" s="1">
        <v>0.0</v>
      </c>
      <c r="V1068" s="1">
        <v>0.0</v>
      </c>
      <c r="W1068" s="1" t="s">
        <v>26</v>
      </c>
    </row>
    <row r="1069" ht="15.75" customHeight="1">
      <c r="A1069" s="1" t="s">
        <v>1106</v>
      </c>
      <c r="B1069" s="1" t="s">
        <v>32</v>
      </c>
      <c r="C1069" s="1">
        <v>0.0</v>
      </c>
      <c r="D1069" s="1" t="s">
        <v>25</v>
      </c>
      <c r="E1069" s="1" t="s">
        <v>26</v>
      </c>
      <c r="F1069" s="1">
        <v>24.0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1">
        <v>89.25</v>
      </c>
      <c r="T1069" s="1">
        <v>2210.2</v>
      </c>
      <c r="U1069" s="1">
        <v>2.0</v>
      </c>
      <c r="V1069" s="1">
        <v>0.0</v>
      </c>
      <c r="W1069" s="1" t="s">
        <v>26</v>
      </c>
    </row>
    <row r="1070" ht="15.75" customHeight="1">
      <c r="A1070" s="1" t="s">
        <v>1107</v>
      </c>
      <c r="B1070" s="1" t="s">
        <v>32</v>
      </c>
      <c r="C1070" s="1">
        <v>0.0</v>
      </c>
      <c r="D1070" s="1" t="s">
        <v>25</v>
      </c>
      <c r="E1070" s="1" t="s">
        <v>26</v>
      </c>
      <c r="F1070" s="1">
        <v>49.0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1">
        <v>99.05</v>
      </c>
      <c r="T1070" s="1">
        <v>4853.75</v>
      </c>
      <c r="U1070" s="1">
        <v>0.0</v>
      </c>
      <c r="V1070" s="1">
        <v>4.0</v>
      </c>
      <c r="W1070" s="1" t="s">
        <v>25</v>
      </c>
    </row>
    <row r="1071" ht="15.75" customHeight="1">
      <c r="A1071" s="1" t="s">
        <v>1108</v>
      </c>
      <c r="B1071" s="1" t="s">
        <v>32</v>
      </c>
      <c r="C1071" s="1">
        <v>1.0</v>
      </c>
      <c r="D1071" s="1" t="s">
        <v>26</v>
      </c>
      <c r="E1071" s="1" t="s">
        <v>26</v>
      </c>
      <c r="F1071" s="1">
        <v>20.0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1">
        <v>54.0</v>
      </c>
      <c r="T1071" s="1">
        <v>1055.9</v>
      </c>
      <c r="U1071" s="1">
        <v>0.0</v>
      </c>
      <c r="V1071" s="1">
        <v>0.0</v>
      </c>
      <c r="W1071" s="1" t="s">
        <v>26</v>
      </c>
    </row>
    <row r="1072" ht="15.75" customHeight="1">
      <c r="A1072" s="1" t="s">
        <v>1109</v>
      </c>
      <c r="B1072" s="1" t="s">
        <v>24</v>
      </c>
      <c r="C1072" s="1">
        <v>0.0</v>
      </c>
      <c r="D1072" s="1" t="s">
        <v>26</v>
      </c>
      <c r="E1072" s="1" t="s">
        <v>26</v>
      </c>
      <c r="F1072" s="1">
        <v>2.0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1">
        <v>69.75</v>
      </c>
      <c r="T1072" s="1">
        <v>144.55</v>
      </c>
      <c r="U1072" s="1">
        <v>0.0</v>
      </c>
      <c r="V1072" s="1">
        <v>0.0</v>
      </c>
      <c r="W1072" s="1" t="s">
        <v>25</v>
      </c>
    </row>
    <row r="1073" ht="15.75" customHeight="1">
      <c r="A1073" s="1" t="s">
        <v>1110</v>
      </c>
      <c r="B1073" s="1" t="s">
        <v>24</v>
      </c>
      <c r="C1073" s="1">
        <v>0.0</v>
      </c>
      <c r="D1073" s="1" t="s">
        <v>26</v>
      </c>
      <c r="E1073" s="1" t="s">
        <v>26</v>
      </c>
      <c r="F1073" s="1">
        <v>2.0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1">
        <v>49.05</v>
      </c>
      <c r="T1073" s="1">
        <v>91.1</v>
      </c>
      <c r="U1073" s="1">
        <v>0.0</v>
      </c>
      <c r="V1073" s="1">
        <v>0.0</v>
      </c>
      <c r="W1073" s="1" t="s">
        <v>25</v>
      </c>
    </row>
    <row r="1074" ht="15.75" customHeight="1">
      <c r="A1074" s="1" t="s">
        <v>1111</v>
      </c>
      <c r="B1074" s="1" t="s">
        <v>32</v>
      </c>
      <c r="C1074" s="1">
        <v>0.0</v>
      </c>
      <c r="D1074" s="1" t="s">
        <v>26</v>
      </c>
      <c r="E1074" s="1" t="s">
        <v>26</v>
      </c>
      <c r="F1074" s="1">
        <v>22.0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1">
        <v>56.75</v>
      </c>
      <c r="T1074" s="1">
        <v>1304.85</v>
      </c>
      <c r="U1074" s="1">
        <v>0.0</v>
      </c>
      <c r="V1074" s="1">
        <v>0.0</v>
      </c>
      <c r="W1074" s="1" t="s">
        <v>26</v>
      </c>
    </row>
    <row r="1075" ht="15.75" customHeight="1">
      <c r="A1075" s="1" t="s">
        <v>1112</v>
      </c>
      <c r="B1075" s="1" t="s">
        <v>32</v>
      </c>
      <c r="C1075" s="1">
        <v>0.0</v>
      </c>
      <c r="D1075" s="1" t="s">
        <v>26</v>
      </c>
      <c r="E1075" s="1" t="s">
        <v>26</v>
      </c>
      <c r="F1075" s="1">
        <v>7.0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1">
        <v>98.05</v>
      </c>
      <c r="T1075" s="1">
        <v>713.0</v>
      </c>
      <c r="U1075" s="1">
        <v>0.0</v>
      </c>
      <c r="V1075" s="1">
        <v>2.0</v>
      </c>
      <c r="W1075" s="1" t="s">
        <v>25</v>
      </c>
    </row>
    <row r="1076" ht="15.75" customHeight="1">
      <c r="A1076" s="1" t="s">
        <v>1113</v>
      </c>
      <c r="B1076" s="1" t="s">
        <v>32</v>
      </c>
      <c r="C1076" s="1">
        <v>0.0</v>
      </c>
      <c r="D1076" s="1" t="s">
        <v>26</v>
      </c>
      <c r="E1076" s="1" t="s">
        <v>26</v>
      </c>
      <c r="F1076" s="1">
        <v>1.0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1">
        <v>21.1</v>
      </c>
      <c r="T1076" s="1">
        <v>21.1</v>
      </c>
      <c r="U1076" s="1">
        <v>4.0</v>
      </c>
      <c r="V1076" s="1">
        <v>0.0</v>
      </c>
      <c r="W1076" s="1" t="s">
        <v>26</v>
      </c>
    </row>
    <row r="1077" ht="15.75" customHeight="1">
      <c r="A1077" s="1" t="s">
        <v>1114</v>
      </c>
      <c r="B1077" s="1" t="s">
        <v>24</v>
      </c>
      <c r="C1077" s="1">
        <v>0.0</v>
      </c>
      <c r="D1077" s="1" t="s">
        <v>25</v>
      </c>
      <c r="E1077" s="1" t="s">
        <v>25</v>
      </c>
      <c r="F1077" s="1">
        <v>59.0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1">
        <v>96.65</v>
      </c>
      <c r="T1077" s="1">
        <v>5580.8</v>
      </c>
      <c r="U1077" s="1">
        <v>0.0</v>
      </c>
      <c r="V1077" s="1">
        <v>0.0</v>
      </c>
      <c r="W1077" s="1" t="s">
        <v>26</v>
      </c>
    </row>
    <row r="1078" ht="15.75" customHeight="1">
      <c r="A1078" s="1" t="s">
        <v>1115</v>
      </c>
      <c r="B1078" s="1" t="s">
        <v>24</v>
      </c>
      <c r="C1078" s="1">
        <v>0.0</v>
      </c>
      <c r="D1078" s="1" t="s">
        <v>25</v>
      </c>
      <c r="E1078" s="1" t="s">
        <v>25</v>
      </c>
      <c r="F1078" s="1">
        <v>58.0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1">
        <v>24.5</v>
      </c>
      <c r="T1078" s="1">
        <v>1497.9</v>
      </c>
      <c r="U1078" s="1">
        <v>0.0</v>
      </c>
      <c r="V1078" s="1">
        <v>0.0</v>
      </c>
      <c r="W1078" s="1" t="s">
        <v>26</v>
      </c>
    </row>
    <row r="1079" ht="15.75" customHeight="1">
      <c r="A1079" s="1" t="s">
        <v>1116</v>
      </c>
      <c r="B1079" s="1" t="s">
        <v>24</v>
      </c>
      <c r="C1079" s="1">
        <v>0.0</v>
      </c>
      <c r="D1079" s="1" t="s">
        <v>26</v>
      </c>
      <c r="E1079" s="1" t="s">
        <v>26</v>
      </c>
      <c r="F1079" s="1">
        <v>41.0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1">
        <v>114.5</v>
      </c>
      <c r="T1079" s="1">
        <v>4527.45</v>
      </c>
      <c r="U1079" s="1">
        <v>0.0</v>
      </c>
      <c r="V1079" s="1">
        <v>4.0</v>
      </c>
      <c r="W1079" s="1" t="s">
        <v>25</v>
      </c>
    </row>
    <row r="1080" ht="15.75" customHeight="1">
      <c r="A1080" s="1" t="s">
        <v>1117</v>
      </c>
      <c r="B1080" s="1" t="s">
        <v>24</v>
      </c>
      <c r="C1080" s="1">
        <v>1.0</v>
      </c>
      <c r="D1080" s="1" t="s">
        <v>26</v>
      </c>
      <c r="E1080" s="1" t="s">
        <v>26</v>
      </c>
      <c r="F1080" s="1">
        <v>59.0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1">
        <v>79.2</v>
      </c>
      <c r="T1080" s="1">
        <v>4590.35</v>
      </c>
      <c r="U1080" s="1">
        <v>5.0</v>
      </c>
      <c r="V1080" s="1">
        <v>0.0</v>
      </c>
      <c r="W1080" s="1" t="s">
        <v>26</v>
      </c>
    </row>
    <row r="1081" ht="15.75" customHeight="1">
      <c r="A1081" s="1" t="s">
        <v>1118</v>
      </c>
      <c r="B1081" s="1" t="s">
        <v>24</v>
      </c>
      <c r="C1081" s="1">
        <v>0.0</v>
      </c>
      <c r="D1081" s="1" t="s">
        <v>25</v>
      </c>
      <c r="E1081" s="1" t="s">
        <v>25</v>
      </c>
      <c r="F1081" s="1">
        <v>3.0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1">
        <v>69.55</v>
      </c>
      <c r="T1081" s="1">
        <v>200.2</v>
      </c>
      <c r="U1081" s="1">
        <v>0.0</v>
      </c>
      <c r="V1081" s="1">
        <v>0.0</v>
      </c>
      <c r="W1081" s="1" t="s">
        <v>26</v>
      </c>
    </row>
    <row r="1082" ht="15.75" customHeight="1">
      <c r="A1082" s="1" t="s">
        <v>1119</v>
      </c>
      <c r="B1082" s="1" t="s">
        <v>32</v>
      </c>
      <c r="C1082" s="1">
        <v>0.0</v>
      </c>
      <c r="D1082" s="1" t="s">
        <v>26</v>
      </c>
      <c r="E1082" s="1" t="s">
        <v>26</v>
      </c>
      <c r="F1082" s="1">
        <v>32.0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1">
        <v>20.05</v>
      </c>
      <c r="T1082" s="1">
        <v>614.45</v>
      </c>
      <c r="U1082" s="1">
        <v>0.0</v>
      </c>
      <c r="V1082" s="1">
        <v>0.0</v>
      </c>
      <c r="W1082" s="1" t="s">
        <v>26</v>
      </c>
    </row>
    <row r="1083" ht="15.75" customHeight="1">
      <c r="A1083" s="1" t="s">
        <v>1120</v>
      </c>
      <c r="B1083" s="1" t="s">
        <v>32</v>
      </c>
      <c r="C1083" s="1">
        <v>1.0</v>
      </c>
      <c r="D1083" s="1" t="s">
        <v>25</v>
      </c>
      <c r="E1083" s="1" t="s">
        <v>26</v>
      </c>
      <c r="F1083" s="1">
        <v>46.0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1">
        <v>98.85</v>
      </c>
      <c r="T1083" s="1">
        <v>4564.9</v>
      </c>
      <c r="U1083" s="1">
        <v>0.0</v>
      </c>
      <c r="V1083" s="1">
        <v>0.0</v>
      </c>
      <c r="W1083" s="1" t="s">
        <v>26</v>
      </c>
    </row>
    <row r="1084" ht="15.75" customHeight="1">
      <c r="A1084" s="1" t="s">
        <v>1121</v>
      </c>
      <c r="B1084" s="1" t="s">
        <v>32</v>
      </c>
      <c r="C1084" s="1">
        <v>0.0</v>
      </c>
      <c r="D1084" s="1" t="s">
        <v>25</v>
      </c>
      <c r="E1084" s="1" t="s">
        <v>25</v>
      </c>
      <c r="F1084" s="1">
        <v>0.0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1">
        <v>25.75</v>
      </c>
      <c r="T1084" s="1" t="s">
        <v>527</v>
      </c>
      <c r="U1084" s="1">
        <v>1.0</v>
      </c>
      <c r="V1084" s="1">
        <v>0.0</v>
      </c>
      <c r="W1084" s="1" t="s">
        <v>26</v>
      </c>
    </row>
    <row r="1085" ht="15.75" customHeight="1">
      <c r="A1085" s="1" t="s">
        <v>1122</v>
      </c>
      <c r="B1085" s="1" t="s">
        <v>32</v>
      </c>
      <c r="C1085" s="1">
        <v>0.0</v>
      </c>
      <c r="D1085" s="1" t="s">
        <v>26</v>
      </c>
      <c r="E1085" s="1" t="s">
        <v>26</v>
      </c>
      <c r="F1085" s="1">
        <v>2.0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1">
        <v>80.95</v>
      </c>
      <c r="T1085" s="1">
        <v>171.15</v>
      </c>
      <c r="U1085" s="1">
        <v>0.0</v>
      </c>
      <c r="V1085" s="1">
        <v>0.0</v>
      </c>
      <c r="W1085" s="1" t="s">
        <v>25</v>
      </c>
    </row>
    <row r="1086" ht="15.75" customHeight="1">
      <c r="A1086" s="1" t="s">
        <v>1123</v>
      </c>
      <c r="B1086" s="1" t="s">
        <v>24</v>
      </c>
      <c r="C1086" s="1">
        <v>0.0</v>
      </c>
      <c r="D1086" s="1" t="s">
        <v>25</v>
      </c>
      <c r="E1086" s="1" t="s">
        <v>25</v>
      </c>
      <c r="F1086" s="1">
        <v>52.0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1">
        <v>19.6</v>
      </c>
      <c r="T1086" s="1">
        <v>1012.4</v>
      </c>
      <c r="U1086" s="1">
        <v>0.0</v>
      </c>
      <c r="V1086" s="1">
        <v>0.0</v>
      </c>
      <c r="W1086" s="1" t="s">
        <v>26</v>
      </c>
    </row>
    <row r="1087" ht="15.75" customHeight="1">
      <c r="A1087" s="1" t="s">
        <v>1124</v>
      </c>
      <c r="B1087" s="1" t="s">
        <v>24</v>
      </c>
      <c r="C1087" s="1">
        <v>1.0</v>
      </c>
      <c r="D1087" s="1" t="s">
        <v>26</v>
      </c>
      <c r="E1087" s="1" t="s">
        <v>26</v>
      </c>
      <c r="F1087" s="1">
        <v>13.0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1">
        <v>74.3</v>
      </c>
      <c r="T1087" s="1">
        <v>940.35</v>
      </c>
      <c r="U1087" s="1">
        <v>1.0</v>
      </c>
      <c r="V1087" s="1">
        <v>1.0</v>
      </c>
      <c r="W1087" s="1" t="s">
        <v>25</v>
      </c>
    </row>
    <row r="1088" ht="15.75" customHeight="1">
      <c r="A1088" s="1" t="s">
        <v>1125</v>
      </c>
      <c r="B1088" s="1" t="s">
        <v>24</v>
      </c>
      <c r="C1088" s="1">
        <v>1.0</v>
      </c>
      <c r="D1088" s="1" t="s">
        <v>26</v>
      </c>
      <c r="E1088" s="1" t="s">
        <v>26</v>
      </c>
      <c r="F1088" s="1">
        <v>11.0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1">
        <v>89.7</v>
      </c>
      <c r="T1088" s="1">
        <v>1047.7</v>
      </c>
      <c r="U1088" s="1">
        <v>0.0</v>
      </c>
      <c r="V1088" s="1">
        <v>1.0</v>
      </c>
      <c r="W1088" s="1" t="s">
        <v>25</v>
      </c>
    </row>
    <row r="1089" ht="15.75" customHeight="1">
      <c r="A1089" s="1" t="s">
        <v>1126</v>
      </c>
      <c r="B1089" s="1" t="s">
        <v>32</v>
      </c>
      <c r="C1089" s="1">
        <v>0.0</v>
      </c>
      <c r="D1089" s="1" t="s">
        <v>26</v>
      </c>
      <c r="E1089" s="1" t="s">
        <v>26</v>
      </c>
      <c r="F1089" s="1">
        <v>32.0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1">
        <v>87.65</v>
      </c>
      <c r="T1089" s="1">
        <v>2766.4</v>
      </c>
      <c r="U1089" s="1">
        <v>0.0</v>
      </c>
      <c r="V1089" s="1">
        <v>0.0</v>
      </c>
      <c r="W1089" s="1" t="s">
        <v>26</v>
      </c>
    </row>
    <row r="1090" ht="15.75" customHeight="1">
      <c r="A1090" s="1" t="s">
        <v>1127</v>
      </c>
      <c r="B1090" s="1" t="s">
        <v>32</v>
      </c>
      <c r="C1090" s="1">
        <v>1.0</v>
      </c>
      <c r="D1090" s="1" t="s">
        <v>25</v>
      </c>
      <c r="E1090" s="1" t="s">
        <v>26</v>
      </c>
      <c r="F1090" s="1">
        <v>17.0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1">
        <v>100.45</v>
      </c>
      <c r="T1090" s="1">
        <v>1622.45</v>
      </c>
      <c r="U1090" s="1">
        <v>2.0</v>
      </c>
      <c r="V1090" s="1">
        <v>1.0</v>
      </c>
      <c r="W1090" s="1" t="s">
        <v>25</v>
      </c>
    </row>
    <row r="1091" ht="15.75" customHeight="1">
      <c r="A1091" s="1" t="s">
        <v>1128</v>
      </c>
      <c r="B1091" s="1" t="s">
        <v>24</v>
      </c>
      <c r="C1091" s="1">
        <v>0.0</v>
      </c>
      <c r="D1091" s="1" t="s">
        <v>26</v>
      </c>
      <c r="E1091" s="1" t="s">
        <v>26</v>
      </c>
      <c r="F1091" s="1">
        <v>16.0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1">
        <v>74.75</v>
      </c>
      <c r="T1091" s="1">
        <v>1129.35</v>
      </c>
      <c r="U1091" s="1">
        <v>0.0</v>
      </c>
      <c r="V1091" s="1">
        <v>0.0</v>
      </c>
      <c r="W1091" s="1" t="s">
        <v>26</v>
      </c>
    </row>
    <row r="1092" ht="15.75" customHeight="1">
      <c r="A1092" s="1" t="s">
        <v>1129</v>
      </c>
      <c r="B1092" s="1" t="s">
        <v>24</v>
      </c>
      <c r="C1092" s="1">
        <v>0.0</v>
      </c>
      <c r="D1092" s="1" t="s">
        <v>26</v>
      </c>
      <c r="E1092" s="1" t="s">
        <v>26</v>
      </c>
      <c r="F1092" s="1">
        <v>51.0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1">
        <v>107.45</v>
      </c>
      <c r="T1092" s="1">
        <v>5680.9</v>
      </c>
      <c r="U1092" s="1">
        <v>0.0</v>
      </c>
      <c r="V1092" s="1">
        <v>1.0</v>
      </c>
      <c r="W1092" s="1" t="s">
        <v>26</v>
      </c>
    </row>
    <row r="1093" ht="15.75" customHeight="1">
      <c r="A1093" s="1" t="s">
        <v>1130</v>
      </c>
      <c r="B1093" s="1" t="s">
        <v>32</v>
      </c>
      <c r="C1093" s="1">
        <v>0.0</v>
      </c>
      <c r="D1093" s="1" t="s">
        <v>26</v>
      </c>
      <c r="E1093" s="1" t="s">
        <v>26</v>
      </c>
      <c r="F1093" s="1">
        <v>29.0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1">
        <v>75.35</v>
      </c>
      <c r="T1093" s="1">
        <v>2243.9</v>
      </c>
      <c r="U1093" s="1">
        <v>0.0</v>
      </c>
      <c r="V1093" s="1">
        <v>0.0</v>
      </c>
      <c r="W1093" s="1" t="s">
        <v>26</v>
      </c>
    </row>
    <row r="1094" ht="15.75" customHeight="1">
      <c r="A1094" s="1" t="s">
        <v>1131</v>
      </c>
      <c r="B1094" s="1" t="s">
        <v>32</v>
      </c>
      <c r="C1094" s="1">
        <v>0.0</v>
      </c>
      <c r="D1094" s="1" t="s">
        <v>25</v>
      </c>
      <c r="E1094" s="1" t="s">
        <v>26</v>
      </c>
      <c r="F1094" s="1">
        <v>70.0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1">
        <v>64.95</v>
      </c>
      <c r="T1094" s="1">
        <v>4523.25</v>
      </c>
      <c r="U1094" s="1">
        <v>0.0</v>
      </c>
      <c r="V1094" s="1">
        <v>0.0</v>
      </c>
      <c r="W1094" s="1" t="s">
        <v>26</v>
      </c>
    </row>
    <row r="1095" ht="15.75" customHeight="1">
      <c r="A1095" s="1" t="s">
        <v>1132</v>
      </c>
      <c r="B1095" s="1" t="s">
        <v>24</v>
      </c>
      <c r="C1095" s="1">
        <v>0.0</v>
      </c>
      <c r="D1095" s="1" t="s">
        <v>25</v>
      </c>
      <c r="E1095" s="1" t="s">
        <v>25</v>
      </c>
      <c r="F1095" s="1">
        <v>71.0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1">
        <v>100.45</v>
      </c>
      <c r="T1095" s="1">
        <v>7159.7</v>
      </c>
      <c r="U1095" s="1">
        <v>4.0</v>
      </c>
      <c r="V1095" s="1">
        <v>0.0</v>
      </c>
      <c r="W1095" s="1" t="s">
        <v>26</v>
      </c>
    </row>
    <row r="1096" ht="15.75" customHeight="1">
      <c r="A1096" s="1" t="s">
        <v>1133</v>
      </c>
      <c r="B1096" s="1" t="s">
        <v>32</v>
      </c>
      <c r="C1096" s="1">
        <v>0.0</v>
      </c>
      <c r="D1096" s="1" t="s">
        <v>25</v>
      </c>
      <c r="E1096" s="1" t="s">
        <v>25</v>
      </c>
      <c r="F1096" s="1">
        <v>41.0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1">
        <v>68.5</v>
      </c>
      <c r="T1096" s="1">
        <v>2839.95</v>
      </c>
      <c r="U1096" s="1">
        <v>0.0</v>
      </c>
      <c r="V1096" s="1">
        <v>0.0</v>
      </c>
      <c r="W1096" s="1" t="s">
        <v>26</v>
      </c>
    </row>
    <row r="1097" ht="15.75" customHeight="1">
      <c r="A1097" s="1" t="s">
        <v>1134</v>
      </c>
      <c r="B1097" s="1" t="s">
        <v>32</v>
      </c>
      <c r="C1097" s="1">
        <v>0.0</v>
      </c>
      <c r="D1097" s="1" t="s">
        <v>26</v>
      </c>
      <c r="E1097" s="1" t="s">
        <v>26</v>
      </c>
      <c r="F1097" s="1">
        <v>1.0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1">
        <v>80.55</v>
      </c>
      <c r="T1097" s="1">
        <v>80.55</v>
      </c>
      <c r="U1097" s="1">
        <v>0.0</v>
      </c>
      <c r="V1097" s="1">
        <v>0.0</v>
      </c>
      <c r="W1097" s="1" t="s">
        <v>26</v>
      </c>
    </row>
    <row r="1098" ht="15.75" customHeight="1">
      <c r="A1098" s="1" t="s">
        <v>1135</v>
      </c>
      <c r="B1098" s="1" t="s">
        <v>24</v>
      </c>
      <c r="C1098" s="1">
        <v>0.0</v>
      </c>
      <c r="D1098" s="1" t="s">
        <v>25</v>
      </c>
      <c r="E1098" s="1" t="s">
        <v>26</v>
      </c>
      <c r="F1098" s="1">
        <v>7.0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1">
        <v>81.25</v>
      </c>
      <c r="T1098" s="1">
        <v>580.1</v>
      </c>
      <c r="U1098" s="1">
        <v>0.0</v>
      </c>
      <c r="V1098" s="1">
        <v>0.0</v>
      </c>
      <c r="W1098" s="1" t="s">
        <v>26</v>
      </c>
    </row>
    <row r="1099" ht="15.75" customHeight="1">
      <c r="A1099" s="1" t="s">
        <v>1136</v>
      </c>
      <c r="B1099" s="1" t="s">
        <v>32</v>
      </c>
      <c r="C1099" s="1">
        <v>0.0</v>
      </c>
      <c r="D1099" s="1" t="s">
        <v>25</v>
      </c>
      <c r="E1099" s="1" t="s">
        <v>25</v>
      </c>
      <c r="F1099" s="1">
        <v>25.0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1">
        <v>90.4</v>
      </c>
      <c r="T1099" s="1">
        <v>2178.6</v>
      </c>
      <c r="U1099" s="1">
        <v>0.0</v>
      </c>
      <c r="V1099" s="1">
        <v>1.0</v>
      </c>
      <c r="W1099" s="1" t="s">
        <v>25</v>
      </c>
    </row>
    <row r="1100" ht="15.75" customHeight="1">
      <c r="A1100" s="1" t="s">
        <v>1137</v>
      </c>
      <c r="B1100" s="1" t="s">
        <v>32</v>
      </c>
      <c r="C1100" s="1">
        <v>0.0</v>
      </c>
      <c r="D1100" s="1" t="s">
        <v>25</v>
      </c>
      <c r="E1100" s="1" t="s">
        <v>25</v>
      </c>
      <c r="F1100" s="1">
        <v>67.0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1">
        <v>89.55</v>
      </c>
      <c r="T1100" s="1">
        <v>6038.55</v>
      </c>
      <c r="U1100" s="1">
        <v>0.0</v>
      </c>
      <c r="V1100" s="1">
        <v>0.0</v>
      </c>
      <c r="W1100" s="1" t="s">
        <v>26</v>
      </c>
    </row>
    <row r="1101" ht="15.75" customHeight="1">
      <c r="A1101" s="1" t="s">
        <v>1138</v>
      </c>
      <c r="B1101" s="1" t="s">
        <v>32</v>
      </c>
      <c r="C1101" s="1">
        <v>0.0</v>
      </c>
      <c r="D1101" s="1" t="s">
        <v>25</v>
      </c>
      <c r="E1101" s="1" t="s">
        <v>25</v>
      </c>
      <c r="F1101" s="1">
        <v>5.0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1">
        <v>55.7</v>
      </c>
      <c r="T1101" s="1">
        <v>259.4</v>
      </c>
      <c r="U1101" s="1">
        <v>0.0</v>
      </c>
      <c r="V1101" s="1">
        <v>0.0</v>
      </c>
      <c r="W1101" s="1" t="s">
        <v>26</v>
      </c>
    </row>
    <row r="1102" ht="15.75" customHeight="1">
      <c r="A1102" s="1" t="s">
        <v>1139</v>
      </c>
      <c r="B1102" s="1" t="s">
        <v>32</v>
      </c>
      <c r="C1102" s="1">
        <v>0.0</v>
      </c>
      <c r="D1102" s="1" t="s">
        <v>26</v>
      </c>
      <c r="E1102" s="1" t="s">
        <v>25</v>
      </c>
      <c r="F1102" s="1">
        <v>15.0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1">
        <v>24.8</v>
      </c>
      <c r="T1102" s="1">
        <v>324.15</v>
      </c>
      <c r="U1102" s="1">
        <v>0.0</v>
      </c>
      <c r="V1102" s="1">
        <v>0.0</v>
      </c>
      <c r="W1102" s="1" t="s">
        <v>26</v>
      </c>
    </row>
    <row r="1103" ht="15.75" customHeight="1">
      <c r="A1103" s="1" t="s">
        <v>1140</v>
      </c>
      <c r="B1103" s="1" t="s">
        <v>24</v>
      </c>
      <c r="C1103" s="1">
        <v>0.0</v>
      </c>
      <c r="D1103" s="1" t="s">
        <v>25</v>
      </c>
      <c r="E1103" s="1" t="s">
        <v>25</v>
      </c>
      <c r="F1103" s="1">
        <v>20.0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1">
        <v>20.0</v>
      </c>
      <c r="T1103" s="1">
        <v>417.65</v>
      </c>
      <c r="U1103" s="1">
        <v>0.0</v>
      </c>
      <c r="V1103" s="1">
        <v>0.0</v>
      </c>
      <c r="W1103" s="1" t="s">
        <v>26</v>
      </c>
    </row>
    <row r="1104" ht="15.75" customHeight="1">
      <c r="A1104" s="1" t="s">
        <v>1141</v>
      </c>
      <c r="B1104" s="1" t="s">
        <v>32</v>
      </c>
      <c r="C1104" s="1">
        <v>0.0</v>
      </c>
      <c r="D1104" s="1" t="s">
        <v>25</v>
      </c>
      <c r="E1104" s="1" t="s">
        <v>25</v>
      </c>
      <c r="F1104" s="1">
        <v>3.0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1">
        <v>56.15</v>
      </c>
      <c r="T1104" s="1">
        <v>168.15</v>
      </c>
      <c r="U1104" s="1">
        <v>0.0</v>
      </c>
      <c r="V1104" s="1">
        <v>0.0</v>
      </c>
      <c r="W1104" s="1" t="s">
        <v>25</v>
      </c>
    </row>
    <row r="1105" ht="15.75" customHeight="1">
      <c r="A1105" s="1" t="s">
        <v>1142</v>
      </c>
      <c r="B1105" s="1" t="s">
        <v>32</v>
      </c>
      <c r="C1105" s="1">
        <v>0.0</v>
      </c>
      <c r="D1105" s="1" t="s">
        <v>25</v>
      </c>
      <c r="E1105" s="1" t="s">
        <v>25</v>
      </c>
      <c r="F1105" s="1">
        <v>54.0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1">
        <v>105.2</v>
      </c>
      <c r="T1105" s="1">
        <v>5637.85</v>
      </c>
      <c r="U1105" s="1">
        <v>0.0</v>
      </c>
      <c r="V1105" s="1">
        <v>0.0</v>
      </c>
      <c r="W1105" s="1" t="s">
        <v>26</v>
      </c>
    </row>
    <row r="1106" ht="15.75" customHeight="1">
      <c r="A1106" s="1" t="s">
        <v>1143</v>
      </c>
      <c r="B1106" s="1" t="s">
        <v>32</v>
      </c>
      <c r="C1106" s="1">
        <v>0.0</v>
      </c>
      <c r="D1106" s="1" t="s">
        <v>26</v>
      </c>
      <c r="E1106" s="1" t="s">
        <v>26</v>
      </c>
      <c r="F1106" s="1">
        <v>42.0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1">
        <v>19.55</v>
      </c>
      <c r="T1106" s="1">
        <v>839.4</v>
      </c>
      <c r="U1106" s="1">
        <v>0.0</v>
      </c>
      <c r="V1106" s="1">
        <v>0.0</v>
      </c>
      <c r="W1106" s="1" t="s">
        <v>26</v>
      </c>
    </row>
    <row r="1107" ht="15.75" customHeight="1">
      <c r="A1107" s="1" t="s">
        <v>1144</v>
      </c>
      <c r="B1107" s="1" t="s">
        <v>24</v>
      </c>
      <c r="C1107" s="1">
        <v>0.0</v>
      </c>
      <c r="D1107" s="1" t="s">
        <v>25</v>
      </c>
      <c r="E1107" s="1" t="s">
        <v>26</v>
      </c>
      <c r="F1107" s="1">
        <v>9.0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1">
        <v>79.75</v>
      </c>
      <c r="T1107" s="1">
        <v>769.1</v>
      </c>
      <c r="U1107" s="1">
        <v>0.0</v>
      </c>
      <c r="V1107" s="1">
        <v>0.0</v>
      </c>
      <c r="W1107" s="1" t="s">
        <v>26</v>
      </c>
    </row>
    <row r="1108" ht="15.75" customHeight="1">
      <c r="A1108" s="1" t="s">
        <v>1145</v>
      </c>
      <c r="B1108" s="1" t="s">
        <v>24</v>
      </c>
      <c r="C1108" s="1">
        <v>0.0</v>
      </c>
      <c r="D1108" s="1" t="s">
        <v>26</v>
      </c>
      <c r="E1108" s="1" t="s">
        <v>26</v>
      </c>
      <c r="F1108" s="1">
        <v>63.0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1">
        <v>97.45</v>
      </c>
      <c r="T1108" s="1">
        <v>6253.0</v>
      </c>
      <c r="U1108" s="1">
        <v>0.0</v>
      </c>
      <c r="V1108" s="1">
        <v>0.0</v>
      </c>
      <c r="W1108" s="1" t="s">
        <v>26</v>
      </c>
    </row>
    <row r="1109" ht="15.75" customHeight="1">
      <c r="A1109" s="1" t="s">
        <v>1146</v>
      </c>
      <c r="B1109" s="1" t="s">
        <v>24</v>
      </c>
      <c r="C1109" s="1">
        <v>0.0</v>
      </c>
      <c r="D1109" s="1" t="s">
        <v>25</v>
      </c>
      <c r="E1109" s="1" t="s">
        <v>26</v>
      </c>
      <c r="F1109" s="1">
        <v>69.0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1">
        <v>24.25</v>
      </c>
      <c r="T1109" s="1">
        <v>1641.8</v>
      </c>
      <c r="U1109" s="1">
        <v>0.0</v>
      </c>
      <c r="V1109" s="1">
        <v>0.0</v>
      </c>
      <c r="W1109" s="1" t="s">
        <v>26</v>
      </c>
    </row>
    <row r="1110" ht="15.75" customHeight="1">
      <c r="A1110" s="1" t="s">
        <v>1147</v>
      </c>
      <c r="B1110" s="1" t="s">
        <v>24</v>
      </c>
      <c r="C1110" s="1">
        <v>0.0</v>
      </c>
      <c r="D1110" s="1" t="s">
        <v>26</v>
      </c>
      <c r="E1110" s="1" t="s">
        <v>26</v>
      </c>
      <c r="F1110" s="1">
        <v>69.0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1">
        <v>24.6</v>
      </c>
      <c r="T1110" s="1">
        <v>1678.05</v>
      </c>
      <c r="U1110" s="1">
        <v>0.0</v>
      </c>
      <c r="V1110" s="1">
        <v>0.0</v>
      </c>
      <c r="W1110" s="1" t="s">
        <v>26</v>
      </c>
    </row>
    <row r="1111" ht="15.75" customHeight="1">
      <c r="A1111" s="1" t="s">
        <v>1148</v>
      </c>
      <c r="B1111" s="1" t="s">
        <v>32</v>
      </c>
      <c r="C1111" s="1">
        <v>0.0</v>
      </c>
      <c r="D1111" s="1" t="s">
        <v>25</v>
      </c>
      <c r="E1111" s="1" t="s">
        <v>26</v>
      </c>
      <c r="F1111" s="1">
        <v>40.0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1">
        <v>50.15</v>
      </c>
      <c r="T1111" s="1">
        <v>2058.5</v>
      </c>
      <c r="U1111" s="1">
        <v>0.0</v>
      </c>
      <c r="V1111" s="1">
        <v>0.0</v>
      </c>
      <c r="W1111" s="1" t="s">
        <v>26</v>
      </c>
    </row>
    <row r="1112" ht="15.75" customHeight="1">
      <c r="A1112" s="1" t="s">
        <v>1149</v>
      </c>
      <c r="B1112" s="1" t="s">
        <v>32</v>
      </c>
      <c r="C1112" s="1">
        <v>0.0</v>
      </c>
      <c r="D1112" s="1" t="s">
        <v>26</v>
      </c>
      <c r="E1112" s="1" t="s">
        <v>26</v>
      </c>
      <c r="F1112" s="1">
        <v>60.0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1">
        <v>39.6</v>
      </c>
      <c r="T1112" s="1">
        <v>2424.5</v>
      </c>
      <c r="U1112" s="1">
        <v>0.0</v>
      </c>
      <c r="V1112" s="1">
        <v>0.0</v>
      </c>
      <c r="W1112" s="1" t="s">
        <v>26</v>
      </c>
    </row>
    <row r="1113" ht="15.75" customHeight="1">
      <c r="A1113" s="1" t="s">
        <v>1150</v>
      </c>
      <c r="B1113" s="1" t="s">
        <v>24</v>
      </c>
      <c r="C1113" s="1">
        <v>0.0</v>
      </c>
      <c r="D1113" s="1" t="s">
        <v>26</v>
      </c>
      <c r="E1113" s="1" t="s">
        <v>26</v>
      </c>
      <c r="F1113" s="1">
        <v>4.0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1">
        <v>94.4</v>
      </c>
      <c r="T1113" s="1">
        <v>387.2</v>
      </c>
      <c r="U1113" s="1">
        <v>0.0</v>
      </c>
      <c r="V1113" s="1">
        <v>0.0</v>
      </c>
      <c r="W1113" s="1" t="s">
        <v>25</v>
      </c>
    </row>
    <row r="1114" ht="15.75" customHeight="1">
      <c r="A1114" s="1" t="s">
        <v>1151</v>
      </c>
      <c r="B1114" s="1" t="s">
        <v>24</v>
      </c>
      <c r="C1114" s="1">
        <v>1.0</v>
      </c>
      <c r="D1114" s="1" t="s">
        <v>26</v>
      </c>
      <c r="E1114" s="1" t="s">
        <v>26</v>
      </c>
      <c r="F1114" s="1">
        <v>71.0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1">
        <v>89.85</v>
      </c>
      <c r="T1114" s="1">
        <v>6293.45</v>
      </c>
      <c r="U1114" s="1">
        <v>1.0</v>
      </c>
      <c r="V1114" s="1">
        <v>0.0</v>
      </c>
      <c r="W1114" s="1" t="s">
        <v>26</v>
      </c>
    </row>
    <row r="1115" ht="15.75" customHeight="1">
      <c r="A1115" s="1" t="s">
        <v>1152</v>
      </c>
      <c r="B1115" s="1" t="s">
        <v>24</v>
      </c>
      <c r="C1115" s="1">
        <v>0.0</v>
      </c>
      <c r="D1115" s="1" t="s">
        <v>25</v>
      </c>
      <c r="E1115" s="1" t="s">
        <v>26</v>
      </c>
      <c r="F1115" s="1">
        <v>37.0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1">
        <v>78.95</v>
      </c>
      <c r="T1115" s="1">
        <v>2839.65</v>
      </c>
      <c r="U1115" s="1">
        <v>0.0</v>
      </c>
      <c r="V1115" s="1">
        <v>0.0</v>
      </c>
      <c r="W1115" s="1" t="s">
        <v>25</v>
      </c>
    </row>
    <row r="1116" ht="15.75" customHeight="1">
      <c r="A1116" s="1" t="s">
        <v>1153</v>
      </c>
      <c r="B1116" s="1" t="s">
        <v>32</v>
      </c>
      <c r="C1116" s="1">
        <v>0.0</v>
      </c>
      <c r="D1116" s="1" t="s">
        <v>25</v>
      </c>
      <c r="E1116" s="1" t="s">
        <v>26</v>
      </c>
      <c r="F1116" s="1">
        <v>32.0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1">
        <v>98.85</v>
      </c>
      <c r="T1116" s="1">
        <v>3145.9</v>
      </c>
      <c r="U1116" s="1">
        <v>5.0</v>
      </c>
      <c r="V1116" s="1">
        <v>2.0</v>
      </c>
      <c r="W1116" s="1" t="s">
        <v>26</v>
      </c>
    </row>
    <row r="1117" ht="15.75" customHeight="1">
      <c r="A1117" s="1" t="s">
        <v>1154</v>
      </c>
      <c r="B1117" s="1" t="s">
        <v>32</v>
      </c>
      <c r="C1117" s="1">
        <v>0.0</v>
      </c>
      <c r="D1117" s="1" t="s">
        <v>26</v>
      </c>
      <c r="E1117" s="1" t="s">
        <v>26</v>
      </c>
      <c r="F1117" s="1">
        <v>39.0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1">
        <v>53.85</v>
      </c>
      <c r="T1117" s="1">
        <v>2200.7</v>
      </c>
      <c r="U1117" s="1">
        <v>0.0</v>
      </c>
      <c r="V1117" s="1">
        <v>0.0</v>
      </c>
      <c r="W1117" s="1" t="s">
        <v>26</v>
      </c>
    </row>
    <row r="1118" ht="15.75" customHeight="1">
      <c r="A1118" s="1" t="s">
        <v>1155</v>
      </c>
      <c r="B1118" s="1" t="s">
        <v>24</v>
      </c>
      <c r="C1118" s="1">
        <v>0.0</v>
      </c>
      <c r="D1118" s="1" t="s">
        <v>26</v>
      </c>
      <c r="E1118" s="1" t="s">
        <v>26</v>
      </c>
      <c r="F1118" s="1">
        <v>38.0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1">
        <v>24.25</v>
      </c>
      <c r="T1118" s="1">
        <v>914.4</v>
      </c>
      <c r="U1118" s="1">
        <v>0.0</v>
      </c>
      <c r="V1118" s="1">
        <v>0.0</v>
      </c>
      <c r="W1118" s="1" t="s">
        <v>26</v>
      </c>
    </row>
    <row r="1119" ht="15.75" customHeight="1">
      <c r="A1119" s="1" t="s">
        <v>1156</v>
      </c>
      <c r="B1119" s="1" t="s">
        <v>32</v>
      </c>
      <c r="C1119" s="1">
        <v>0.0</v>
      </c>
      <c r="D1119" s="1" t="s">
        <v>26</v>
      </c>
      <c r="E1119" s="1" t="s">
        <v>26</v>
      </c>
      <c r="F1119" s="1">
        <v>52.0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1">
        <v>89.45</v>
      </c>
      <c r="T1119" s="1">
        <v>4577.75</v>
      </c>
      <c r="U1119" s="1">
        <v>0.0</v>
      </c>
      <c r="V1119" s="1">
        <v>0.0</v>
      </c>
      <c r="W1119" s="1" t="s">
        <v>26</v>
      </c>
    </row>
    <row r="1120" ht="15.75" customHeight="1">
      <c r="A1120" s="1" t="s">
        <v>1157</v>
      </c>
      <c r="B1120" s="1" t="s">
        <v>24</v>
      </c>
      <c r="C1120" s="1">
        <v>0.0</v>
      </c>
      <c r="D1120" s="1" t="s">
        <v>25</v>
      </c>
      <c r="E1120" s="1" t="s">
        <v>25</v>
      </c>
      <c r="F1120" s="1">
        <v>48.0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1">
        <v>105.25</v>
      </c>
      <c r="T1120" s="1">
        <v>4997.5</v>
      </c>
      <c r="U1120" s="1">
        <v>2.0</v>
      </c>
      <c r="V1120" s="1">
        <v>0.0</v>
      </c>
      <c r="W1120" s="1" t="s">
        <v>26</v>
      </c>
    </row>
    <row r="1121" ht="15.75" customHeight="1">
      <c r="A1121" s="1" t="s">
        <v>1158</v>
      </c>
      <c r="B1121" s="1" t="s">
        <v>32</v>
      </c>
      <c r="C1121" s="1">
        <v>0.0</v>
      </c>
      <c r="D1121" s="1" t="s">
        <v>25</v>
      </c>
      <c r="E1121" s="1" t="s">
        <v>25</v>
      </c>
      <c r="F1121" s="1">
        <v>70.0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1">
        <v>59.5</v>
      </c>
      <c r="T1121" s="1">
        <v>4144.8</v>
      </c>
      <c r="U1121" s="1">
        <v>0.0</v>
      </c>
      <c r="V1121" s="1">
        <v>0.0</v>
      </c>
      <c r="W1121" s="1" t="s">
        <v>26</v>
      </c>
    </row>
    <row r="1122" ht="15.75" customHeight="1">
      <c r="A1122" s="1" t="s">
        <v>1159</v>
      </c>
      <c r="B1122" s="1" t="s">
        <v>32</v>
      </c>
      <c r="C1122" s="1">
        <v>0.0</v>
      </c>
      <c r="D1122" s="1" t="s">
        <v>26</v>
      </c>
      <c r="E1122" s="1" t="s">
        <v>26</v>
      </c>
      <c r="F1122" s="1">
        <v>20.0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1">
        <v>70.55</v>
      </c>
      <c r="T1122" s="1">
        <v>1493.55</v>
      </c>
      <c r="U1122" s="1">
        <v>2.0</v>
      </c>
      <c r="V1122" s="1">
        <v>0.0</v>
      </c>
      <c r="W1122" s="1" t="s">
        <v>26</v>
      </c>
    </row>
    <row r="1123" ht="15.75" customHeight="1">
      <c r="A1123" s="1" t="s">
        <v>1160</v>
      </c>
      <c r="B1123" s="1" t="s">
        <v>24</v>
      </c>
      <c r="C1123" s="1">
        <v>0.0</v>
      </c>
      <c r="D1123" s="1" t="s">
        <v>26</v>
      </c>
      <c r="E1123" s="1" t="s">
        <v>26</v>
      </c>
      <c r="F1123" s="1">
        <v>50.0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1">
        <v>82.5</v>
      </c>
      <c r="T1123" s="1">
        <v>4179.1</v>
      </c>
      <c r="U1123" s="1">
        <v>0.0</v>
      </c>
      <c r="V1123" s="1">
        <v>0.0</v>
      </c>
      <c r="W1123" s="1" t="s">
        <v>26</v>
      </c>
    </row>
    <row r="1124" ht="15.75" customHeight="1">
      <c r="A1124" s="1" t="s">
        <v>1161</v>
      </c>
      <c r="B1124" s="1" t="s">
        <v>24</v>
      </c>
      <c r="C1124" s="1">
        <v>0.0</v>
      </c>
      <c r="D1124" s="1" t="s">
        <v>26</v>
      </c>
      <c r="E1124" s="1" t="s">
        <v>26</v>
      </c>
      <c r="F1124" s="1">
        <v>19.0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1">
        <v>44.85</v>
      </c>
      <c r="T1124" s="1">
        <v>893.55</v>
      </c>
      <c r="U1124" s="1">
        <v>0.0</v>
      </c>
      <c r="V1124" s="1">
        <v>0.0</v>
      </c>
      <c r="W1124" s="1" t="s">
        <v>25</v>
      </c>
    </row>
    <row r="1125" ht="15.75" customHeight="1">
      <c r="A1125" s="1" t="s">
        <v>1162</v>
      </c>
      <c r="B1125" s="1" t="s">
        <v>32</v>
      </c>
      <c r="C1125" s="1">
        <v>0.0</v>
      </c>
      <c r="D1125" s="1" t="s">
        <v>25</v>
      </c>
      <c r="E1125" s="1" t="s">
        <v>25</v>
      </c>
      <c r="F1125" s="1">
        <v>25.0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1">
        <v>61.6</v>
      </c>
      <c r="T1125" s="1">
        <v>1611.0</v>
      </c>
      <c r="U1125" s="1">
        <v>0.0</v>
      </c>
      <c r="V1125" s="1">
        <v>0.0</v>
      </c>
      <c r="W1125" s="1" t="s">
        <v>26</v>
      </c>
    </row>
    <row r="1126" ht="15.75" customHeight="1">
      <c r="A1126" s="1" t="s">
        <v>1163</v>
      </c>
      <c r="B1126" s="1" t="s">
        <v>32</v>
      </c>
      <c r="C1126" s="1">
        <v>0.0</v>
      </c>
      <c r="D1126" s="1" t="s">
        <v>26</v>
      </c>
      <c r="E1126" s="1" t="s">
        <v>26</v>
      </c>
      <c r="F1126" s="1">
        <v>12.0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1">
        <v>49.05</v>
      </c>
      <c r="T1126" s="1">
        <v>593.05</v>
      </c>
      <c r="U1126" s="1">
        <v>0.0</v>
      </c>
      <c r="V1126" s="1">
        <v>0.0</v>
      </c>
      <c r="W1126" s="1" t="s">
        <v>26</v>
      </c>
    </row>
    <row r="1127" ht="15.75" customHeight="1">
      <c r="A1127" s="1" t="s">
        <v>1164</v>
      </c>
      <c r="B1127" s="1" t="s">
        <v>32</v>
      </c>
      <c r="C1127" s="1">
        <v>1.0</v>
      </c>
      <c r="D1127" s="1" t="s">
        <v>25</v>
      </c>
      <c r="E1127" s="1" t="s">
        <v>26</v>
      </c>
      <c r="F1127" s="1">
        <v>39.0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1">
        <v>105.65</v>
      </c>
      <c r="T1127" s="1">
        <v>4284.8</v>
      </c>
      <c r="U1127" s="1">
        <v>0.0</v>
      </c>
      <c r="V1127" s="1">
        <v>3.0</v>
      </c>
      <c r="W1127" s="1" t="s">
        <v>25</v>
      </c>
    </row>
    <row r="1128" ht="15.75" customHeight="1">
      <c r="A1128" s="1" t="s">
        <v>1165</v>
      </c>
      <c r="B1128" s="1" t="s">
        <v>32</v>
      </c>
      <c r="C1128" s="1">
        <v>0.0</v>
      </c>
      <c r="D1128" s="1" t="s">
        <v>26</v>
      </c>
      <c r="E1128" s="1" t="s">
        <v>26</v>
      </c>
      <c r="F1128" s="1">
        <v>7.0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1">
        <v>74.65</v>
      </c>
      <c r="T1128" s="1">
        <v>544.55</v>
      </c>
      <c r="U1128" s="1">
        <v>0.0</v>
      </c>
      <c r="V1128" s="1">
        <v>0.0</v>
      </c>
      <c r="W1128" s="1" t="s">
        <v>25</v>
      </c>
    </row>
    <row r="1129" ht="15.75" customHeight="1">
      <c r="A1129" s="1" t="s">
        <v>1166</v>
      </c>
      <c r="B1129" s="1" t="s">
        <v>24</v>
      </c>
      <c r="C1129" s="1">
        <v>0.0</v>
      </c>
      <c r="D1129" s="1" t="s">
        <v>25</v>
      </c>
      <c r="E1129" s="1" t="s">
        <v>25</v>
      </c>
      <c r="F1129" s="1">
        <v>23.0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1">
        <v>66.25</v>
      </c>
      <c r="T1129" s="1">
        <v>1533.8</v>
      </c>
      <c r="U1129" s="1">
        <v>0.0</v>
      </c>
      <c r="V1129" s="1">
        <v>0.0</v>
      </c>
      <c r="W1129" s="1" t="s">
        <v>26</v>
      </c>
    </row>
    <row r="1130" ht="15.75" customHeight="1">
      <c r="A1130" s="1" t="s">
        <v>1167</v>
      </c>
      <c r="B1130" s="1" t="s">
        <v>32</v>
      </c>
      <c r="C1130" s="1">
        <v>0.0</v>
      </c>
      <c r="D1130" s="1" t="s">
        <v>26</v>
      </c>
      <c r="E1130" s="1" t="s">
        <v>26</v>
      </c>
      <c r="F1130" s="1">
        <v>27.0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1">
        <v>19.4</v>
      </c>
      <c r="T1130" s="1">
        <v>529.8</v>
      </c>
      <c r="U1130" s="1">
        <v>0.0</v>
      </c>
      <c r="V1130" s="1">
        <v>0.0</v>
      </c>
      <c r="W1130" s="1" t="s">
        <v>26</v>
      </c>
    </row>
    <row r="1131" ht="15.75" customHeight="1">
      <c r="A1131" s="1" t="s">
        <v>1168</v>
      </c>
      <c r="B1131" s="1" t="s">
        <v>32</v>
      </c>
      <c r="C1131" s="1">
        <v>1.0</v>
      </c>
      <c r="D1131" s="1" t="s">
        <v>26</v>
      </c>
      <c r="E1131" s="1" t="s">
        <v>26</v>
      </c>
      <c r="F1131" s="1">
        <v>47.0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1">
        <v>86.05</v>
      </c>
      <c r="T1131" s="1">
        <v>3865.6</v>
      </c>
      <c r="U1131" s="1">
        <v>0.0</v>
      </c>
      <c r="V1131" s="1">
        <v>0.0</v>
      </c>
      <c r="W1131" s="1" t="s">
        <v>26</v>
      </c>
    </row>
    <row r="1132" ht="15.75" customHeight="1">
      <c r="A1132" s="1" t="s">
        <v>1169</v>
      </c>
      <c r="B1132" s="1" t="s">
        <v>32</v>
      </c>
      <c r="C1132" s="1">
        <v>0.0</v>
      </c>
      <c r="D1132" s="1" t="s">
        <v>25</v>
      </c>
      <c r="E1132" s="1" t="s">
        <v>25</v>
      </c>
      <c r="F1132" s="1">
        <v>26.0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1">
        <v>19.15</v>
      </c>
      <c r="T1132" s="1">
        <v>515.75</v>
      </c>
      <c r="U1132" s="1">
        <v>0.0</v>
      </c>
      <c r="V1132" s="1">
        <v>0.0</v>
      </c>
      <c r="W1132" s="1" t="s">
        <v>26</v>
      </c>
    </row>
    <row r="1133" ht="15.75" customHeight="1">
      <c r="A1133" s="1" t="s">
        <v>1170</v>
      </c>
      <c r="B1133" s="1" t="s">
        <v>24</v>
      </c>
      <c r="C1133" s="1">
        <v>0.0</v>
      </c>
      <c r="D1133" s="1" t="s">
        <v>25</v>
      </c>
      <c r="E1133" s="1" t="s">
        <v>26</v>
      </c>
      <c r="F1133" s="1">
        <v>14.0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1">
        <v>64.7</v>
      </c>
      <c r="T1133" s="1">
        <v>941.0</v>
      </c>
      <c r="U1133" s="1">
        <v>0.0</v>
      </c>
      <c r="V1133" s="1">
        <v>0.0</v>
      </c>
      <c r="W1133" s="1" t="s">
        <v>25</v>
      </c>
    </row>
    <row r="1134" ht="15.75" customHeight="1">
      <c r="A1134" s="1" t="s">
        <v>1171</v>
      </c>
      <c r="B1134" s="1" t="s">
        <v>24</v>
      </c>
      <c r="C1134" s="1">
        <v>1.0</v>
      </c>
      <c r="D1134" s="1" t="s">
        <v>25</v>
      </c>
      <c r="E1134" s="1" t="s">
        <v>26</v>
      </c>
      <c r="F1134" s="1">
        <v>11.0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1">
        <v>104.05</v>
      </c>
      <c r="T1134" s="1">
        <v>1133.65</v>
      </c>
      <c r="U1134" s="1">
        <v>0.0</v>
      </c>
      <c r="V1134" s="1">
        <v>1.0</v>
      </c>
      <c r="W1134" s="1" t="s">
        <v>25</v>
      </c>
    </row>
    <row r="1135" ht="15.75" customHeight="1">
      <c r="A1135" s="1" t="s">
        <v>1172</v>
      </c>
      <c r="B1135" s="1" t="s">
        <v>32</v>
      </c>
      <c r="C1135" s="1">
        <v>0.0</v>
      </c>
      <c r="D1135" s="1" t="s">
        <v>26</v>
      </c>
      <c r="E1135" s="1" t="s">
        <v>25</v>
      </c>
      <c r="F1135" s="1">
        <v>2.0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1">
        <v>19.25</v>
      </c>
      <c r="T1135" s="1">
        <v>48.35</v>
      </c>
      <c r="U1135" s="1">
        <v>3.0</v>
      </c>
      <c r="V1135" s="1">
        <v>0.0</v>
      </c>
      <c r="W1135" s="1" t="s">
        <v>26</v>
      </c>
    </row>
    <row r="1136" ht="15.75" customHeight="1">
      <c r="A1136" s="1" t="s">
        <v>1173</v>
      </c>
      <c r="B1136" s="1" t="s">
        <v>24</v>
      </c>
      <c r="C1136" s="1">
        <v>0.0</v>
      </c>
      <c r="D1136" s="1" t="s">
        <v>25</v>
      </c>
      <c r="E1136" s="1" t="s">
        <v>25</v>
      </c>
      <c r="F1136" s="1">
        <v>26.0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1">
        <v>81.95</v>
      </c>
      <c r="T1136" s="1">
        <v>2070.05</v>
      </c>
      <c r="U1136" s="1">
        <v>0.0</v>
      </c>
      <c r="V1136" s="1">
        <v>0.0</v>
      </c>
      <c r="W1136" s="1" t="s">
        <v>26</v>
      </c>
    </row>
    <row r="1137" ht="15.75" customHeight="1">
      <c r="A1137" s="1" t="s">
        <v>1174</v>
      </c>
      <c r="B1137" s="1" t="s">
        <v>24</v>
      </c>
      <c r="C1137" s="1">
        <v>1.0</v>
      </c>
      <c r="D1137" s="1" t="s">
        <v>25</v>
      </c>
      <c r="E1137" s="1" t="s">
        <v>26</v>
      </c>
      <c r="F1137" s="1">
        <v>72.0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1">
        <v>114.65</v>
      </c>
      <c r="T1137" s="1">
        <v>8333.95</v>
      </c>
      <c r="U1137" s="1">
        <v>0.0</v>
      </c>
      <c r="V1137" s="1">
        <v>0.0</v>
      </c>
      <c r="W1137" s="1" t="s">
        <v>26</v>
      </c>
    </row>
    <row r="1138" ht="15.75" customHeight="1">
      <c r="A1138" s="1" t="s">
        <v>1175</v>
      </c>
      <c r="B1138" s="1" t="s">
        <v>24</v>
      </c>
      <c r="C1138" s="1">
        <v>0.0</v>
      </c>
      <c r="D1138" s="1" t="s">
        <v>25</v>
      </c>
      <c r="E1138" s="1" t="s">
        <v>25</v>
      </c>
      <c r="F1138" s="1">
        <v>63.0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1">
        <v>20.0</v>
      </c>
      <c r="T1138" s="1">
        <v>1209.25</v>
      </c>
      <c r="U1138" s="1">
        <v>0.0</v>
      </c>
      <c r="V1138" s="1">
        <v>0.0</v>
      </c>
      <c r="W1138" s="1" t="s">
        <v>26</v>
      </c>
    </row>
    <row r="1139" ht="15.75" customHeight="1">
      <c r="A1139" s="1" t="s">
        <v>1176</v>
      </c>
      <c r="B1139" s="1" t="s">
        <v>32</v>
      </c>
      <c r="C1139" s="1">
        <v>0.0</v>
      </c>
      <c r="D1139" s="1" t="s">
        <v>25</v>
      </c>
      <c r="E1139" s="1" t="s">
        <v>25</v>
      </c>
      <c r="F1139" s="1">
        <v>71.0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1">
        <v>19.8</v>
      </c>
      <c r="T1139" s="1">
        <v>1396.25</v>
      </c>
      <c r="U1139" s="1">
        <v>0.0</v>
      </c>
      <c r="V1139" s="1">
        <v>3.0</v>
      </c>
      <c r="W1139" s="1" t="s">
        <v>26</v>
      </c>
    </row>
    <row r="1140" ht="15.75" customHeight="1">
      <c r="A1140" s="1" t="s">
        <v>1177</v>
      </c>
      <c r="B1140" s="1" t="s">
        <v>32</v>
      </c>
      <c r="C1140" s="1">
        <v>0.0</v>
      </c>
      <c r="D1140" s="1" t="s">
        <v>25</v>
      </c>
      <c r="E1140" s="1" t="s">
        <v>25</v>
      </c>
      <c r="F1140" s="1">
        <v>11.0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1">
        <v>65.15</v>
      </c>
      <c r="T1140" s="1">
        <v>723.35</v>
      </c>
      <c r="U1140" s="1">
        <v>0.0</v>
      </c>
      <c r="V1140" s="1">
        <v>0.0</v>
      </c>
      <c r="W1140" s="1" t="s">
        <v>26</v>
      </c>
    </row>
    <row r="1141" ht="15.75" customHeight="1">
      <c r="A1141" s="1" t="s">
        <v>1178</v>
      </c>
      <c r="B1141" s="1" t="s">
        <v>32</v>
      </c>
      <c r="C1141" s="1">
        <v>1.0</v>
      </c>
      <c r="D1141" s="1" t="s">
        <v>25</v>
      </c>
      <c r="E1141" s="1" t="s">
        <v>26</v>
      </c>
      <c r="F1141" s="1">
        <v>14.0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1">
        <v>19.65</v>
      </c>
      <c r="T1141" s="1">
        <v>228.65</v>
      </c>
      <c r="U1141" s="1">
        <v>0.0</v>
      </c>
      <c r="V1141" s="1">
        <v>0.0</v>
      </c>
      <c r="W1141" s="1" t="s">
        <v>26</v>
      </c>
    </row>
    <row r="1142" ht="15.75" customHeight="1">
      <c r="A1142" s="1" t="s">
        <v>1179</v>
      </c>
      <c r="B1142" s="1" t="s">
        <v>24</v>
      </c>
      <c r="C1142" s="1">
        <v>0.0</v>
      </c>
      <c r="D1142" s="1" t="s">
        <v>26</v>
      </c>
      <c r="E1142" s="1" t="s">
        <v>25</v>
      </c>
      <c r="F1142" s="1">
        <v>13.0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1">
        <v>88.95</v>
      </c>
      <c r="T1142" s="1">
        <v>1161.75</v>
      </c>
      <c r="U1142" s="1">
        <v>0.0</v>
      </c>
      <c r="V1142" s="1">
        <v>0.0</v>
      </c>
      <c r="W1142" s="1" t="s">
        <v>26</v>
      </c>
    </row>
    <row r="1143" ht="15.75" customHeight="1">
      <c r="A1143" s="1" t="s">
        <v>1180</v>
      </c>
      <c r="B1143" s="1" t="s">
        <v>32</v>
      </c>
      <c r="C1143" s="1">
        <v>0.0</v>
      </c>
      <c r="D1143" s="1" t="s">
        <v>26</v>
      </c>
      <c r="E1143" s="1" t="s">
        <v>25</v>
      </c>
      <c r="F1143" s="1">
        <v>6.0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1">
        <v>20.2</v>
      </c>
      <c r="T1143" s="1">
        <v>98.35</v>
      </c>
      <c r="U1143" s="1">
        <v>3.0</v>
      </c>
      <c r="V1143" s="1">
        <v>0.0</v>
      </c>
      <c r="W1143" s="1" t="s">
        <v>26</v>
      </c>
    </row>
    <row r="1144" ht="15.75" customHeight="1">
      <c r="A1144" s="1" t="s">
        <v>1181</v>
      </c>
      <c r="B1144" s="1" t="s">
        <v>32</v>
      </c>
      <c r="C1144" s="1">
        <v>1.0</v>
      </c>
      <c r="D1144" s="1" t="s">
        <v>25</v>
      </c>
      <c r="E1144" s="1" t="s">
        <v>25</v>
      </c>
      <c r="F1144" s="1">
        <v>11.0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1">
        <v>75.2</v>
      </c>
      <c r="T1144" s="1">
        <v>775.3</v>
      </c>
      <c r="U1144" s="1">
        <v>0.0</v>
      </c>
      <c r="V1144" s="1">
        <v>0.0</v>
      </c>
      <c r="W1144" s="1" t="s">
        <v>26</v>
      </c>
    </row>
    <row r="1145" ht="15.75" customHeight="1">
      <c r="A1145" s="1" t="s">
        <v>1182</v>
      </c>
      <c r="B1145" s="1" t="s">
        <v>32</v>
      </c>
      <c r="C1145" s="1">
        <v>0.0</v>
      </c>
      <c r="D1145" s="1" t="s">
        <v>25</v>
      </c>
      <c r="E1145" s="1" t="s">
        <v>26</v>
      </c>
      <c r="F1145" s="1">
        <v>18.0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1">
        <v>56.8</v>
      </c>
      <c r="T1145" s="1">
        <v>1074.65</v>
      </c>
      <c r="U1145" s="1">
        <v>0.0</v>
      </c>
      <c r="V1145" s="1">
        <v>0.0</v>
      </c>
      <c r="W1145" s="1" t="s">
        <v>26</v>
      </c>
    </row>
    <row r="1146" ht="15.75" customHeight="1">
      <c r="A1146" s="1" t="s">
        <v>1183</v>
      </c>
      <c r="B1146" s="1" t="s">
        <v>32</v>
      </c>
      <c r="C1146" s="1">
        <v>0.0</v>
      </c>
      <c r="D1146" s="1" t="s">
        <v>26</v>
      </c>
      <c r="E1146" s="1" t="s">
        <v>26</v>
      </c>
      <c r="F1146" s="1">
        <v>1.0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1">
        <v>35.55</v>
      </c>
      <c r="T1146" s="1">
        <v>35.55</v>
      </c>
      <c r="U1146" s="1">
        <v>0.0</v>
      </c>
      <c r="V1146" s="1">
        <v>0.0</v>
      </c>
      <c r="W1146" s="1" t="s">
        <v>25</v>
      </c>
    </row>
    <row r="1147" ht="15.75" customHeight="1">
      <c r="A1147" s="1" t="s">
        <v>1184</v>
      </c>
      <c r="B1147" s="1" t="s">
        <v>24</v>
      </c>
      <c r="C1147" s="1">
        <v>0.0</v>
      </c>
      <c r="D1147" s="1" t="s">
        <v>25</v>
      </c>
      <c r="E1147" s="1" t="s">
        <v>26</v>
      </c>
      <c r="F1147" s="1">
        <v>32.0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1">
        <v>75.5</v>
      </c>
      <c r="T1147" s="1">
        <v>2324.7</v>
      </c>
      <c r="U1147" s="1">
        <v>2.0</v>
      </c>
      <c r="V1147" s="1">
        <v>0.0</v>
      </c>
      <c r="W1147" s="1" t="s">
        <v>26</v>
      </c>
    </row>
    <row r="1148" ht="15.75" customHeight="1">
      <c r="A1148" s="1" t="s">
        <v>1185</v>
      </c>
      <c r="B1148" s="1" t="s">
        <v>32</v>
      </c>
      <c r="C1148" s="1">
        <v>0.0</v>
      </c>
      <c r="D1148" s="1" t="s">
        <v>26</v>
      </c>
      <c r="E1148" s="1" t="s">
        <v>26</v>
      </c>
      <c r="F1148" s="1">
        <v>29.0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1">
        <v>35.6</v>
      </c>
      <c r="T1148" s="1">
        <v>1072.6</v>
      </c>
      <c r="U1148" s="1">
        <v>0.0</v>
      </c>
      <c r="V1148" s="1">
        <v>0.0</v>
      </c>
      <c r="W1148" s="1" t="s">
        <v>26</v>
      </c>
    </row>
    <row r="1149" ht="15.75" customHeight="1">
      <c r="A1149" s="1" t="s">
        <v>1186</v>
      </c>
      <c r="B1149" s="1" t="s">
        <v>24</v>
      </c>
      <c r="C1149" s="1">
        <v>0.0</v>
      </c>
      <c r="D1149" s="1" t="s">
        <v>26</v>
      </c>
      <c r="E1149" s="1" t="s">
        <v>26</v>
      </c>
      <c r="F1149" s="1">
        <v>3.0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1">
        <v>60.25</v>
      </c>
      <c r="T1149" s="1">
        <v>170.5</v>
      </c>
      <c r="U1149" s="1">
        <v>0.0</v>
      </c>
      <c r="V1149" s="1">
        <v>0.0</v>
      </c>
      <c r="W1149" s="1" t="s">
        <v>26</v>
      </c>
    </row>
    <row r="1150" ht="15.75" customHeight="1">
      <c r="A1150" s="1" t="s">
        <v>1187</v>
      </c>
      <c r="B1150" s="1" t="s">
        <v>24</v>
      </c>
      <c r="C1150" s="1">
        <v>0.0</v>
      </c>
      <c r="D1150" s="1" t="s">
        <v>26</v>
      </c>
      <c r="E1150" s="1" t="s">
        <v>26</v>
      </c>
      <c r="F1150" s="1">
        <v>2.0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1">
        <v>95.15</v>
      </c>
      <c r="T1150" s="1">
        <v>196.9</v>
      </c>
      <c r="U1150" s="1">
        <v>0.0</v>
      </c>
      <c r="V1150" s="1">
        <v>0.0</v>
      </c>
      <c r="W1150" s="1" t="s">
        <v>25</v>
      </c>
    </row>
    <row r="1151" ht="15.75" customHeight="1">
      <c r="A1151" s="1" t="s">
        <v>1188</v>
      </c>
      <c r="B1151" s="1" t="s">
        <v>32</v>
      </c>
      <c r="C1151" s="1">
        <v>0.0</v>
      </c>
      <c r="D1151" s="1" t="s">
        <v>25</v>
      </c>
      <c r="E1151" s="1" t="s">
        <v>25</v>
      </c>
      <c r="F1151" s="1">
        <v>13.0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1">
        <v>96.65</v>
      </c>
      <c r="T1151" s="1">
        <v>1162.85</v>
      </c>
      <c r="U1151" s="1">
        <v>3.0</v>
      </c>
      <c r="V1151" s="1">
        <v>1.0</v>
      </c>
      <c r="W1151" s="1" t="s">
        <v>25</v>
      </c>
    </row>
    <row r="1152" ht="15.75" customHeight="1">
      <c r="A1152" s="1" t="s">
        <v>1189</v>
      </c>
      <c r="B1152" s="1" t="s">
        <v>24</v>
      </c>
      <c r="C1152" s="1">
        <v>0.0</v>
      </c>
      <c r="D1152" s="1" t="s">
        <v>26</v>
      </c>
      <c r="E1152" s="1" t="s">
        <v>26</v>
      </c>
      <c r="F1152" s="1">
        <v>41.0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1">
        <v>40.35</v>
      </c>
      <c r="T1152" s="1">
        <v>1677.85</v>
      </c>
      <c r="U1152" s="1">
        <v>0.0</v>
      </c>
      <c r="V1152" s="1">
        <v>0.0</v>
      </c>
      <c r="W1152" s="1" t="s">
        <v>26</v>
      </c>
    </row>
    <row r="1153" ht="15.75" customHeight="1">
      <c r="A1153" s="1" t="s">
        <v>1190</v>
      </c>
      <c r="B1153" s="1" t="s">
        <v>24</v>
      </c>
      <c r="C1153" s="1">
        <v>0.0</v>
      </c>
      <c r="D1153" s="1" t="s">
        <v>26</v>
      </c>
      <c r="E1153" s="1" t="s">
        <v>26</v>
      </c>
      <c r="F1153" s="1">
        <v>1.0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1">
        <v>18.85</v>
      </c>
      <c r="T1153" s="1">
        <v>18.85</v>
      </c>
      <c r="U1153" s="1">
        <v>0.0</v>
      </c>
      <c r="V1153" s="1">
        <v>0.0</v>
      </c>
      <c r="W1153" s="1" t="s">
        <v>26</v>
      </c>
    </row>
    <row r="1154" ht="15.75" customHeight="1">
      <c r="A1154" s="1" t="s">
        <v>1191</v>
      </c>
      <c r="B1154" s="1" t="s">
        <v>32</v>
      </c>
      <c r="C1154" s="1">
        <v>0.0</v>
      </c>
      <c r="D1154" s="1" t="s">
        <v>26</v>
      </c>
      <c r="E1154" s="1" t="s">
        <v>26</v>
      </c>
      <c r="F1154" s="1">
        <v>7.0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1">
        <v>54.85</v>
      </c>
      <c r="T1154" s="1">
        <v>370.4</v>
      </c>
      <c r="U1154" s="1">
        <v>0.0</v>
      </c>
      <c r="V1154" s="1">
        <v>0.0</v>
      </c>
      <c r="W1154" s="1" t="s">
        <v>26</v>
      </c>
    </row>
    <row r="1155" ht="15.75" customHeight="1">
      <c r="A1155" s="1" t="s">
        <v>1192</v>
      </c>
      <c r="B1155" s="1" t="s">
        <v>24</v>
      </c>
      <c r="C1155" s="1">
        <v>0.0</v>
      </c>
      <c r="D1155" s="1" t="s">
        <v>25</v>
      </c>
      <c r="E1155" s="1" t="s">
        <v>26</v>
      </c>
      <c r="F1155" s="1">
        <v>52.0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1">
        <v>64.3</v>
      </c>
      <c r="T1155" s="1">
        <v>3410.6</v>
      </c>
      <c r="U1155" s="1">
        <v>0.0</v>
      </c>
      <c r="V1155" s="1">
        <v>0.0</v>
      </c>
      <c r="W1155" s="1" t="s">
        <v>26</v>
      </c>
    </row>
    <row r="1156" ht="15.75" customHeight="1">
      <c r="A1156" s="1" t="s">
        <v>1193</v>
      </c>
      <c r="B1156" s="1" t="s">
        <v>24</v>
      </c>
      <c r="C1156" s="1">
        <v>0.0</v>
      </c>
      <c r="D1156" s="1" t="s">
        <v>25</v>
      </c>
      <c r="E1156" s="1" t="s">
        <v>25</v>
      </c>
      <c r="F1156" s="1">
        <v>45.0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1">
        <v>24.65</v>
      </c>
      <c r="T1156" s="1">
        <v>1138.8</v>
      </c>
      <c r="U1156" s="1">
        <v>0.0</v>
      </c>
      <c r="V1156" s="1">
        <v>0.0</v>
      </c>
      <c r="W1156" s="1" t="s">
        <v>26</v>
      </c>
    </row>
    <row r="1157" ht="15.75" customHeight="1">
      <c r="A1157" s="1" t="s">
        <v>1194</v>
      </c>
      <c r="B1157" s="1" t="s">
        <v>32</v>
      </c>
      <c r="C1157" s="1">
        <v>0.0</v>
      </c>
      <c r="D1157" s="1" t="s">
        <v>25</v>
      </c>
      <c r="E1157" s="1" t="s">
        <v>26</v>
      </c>
      <c r="F1157" s="1">
        <v>70.0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1">
        <v>76.1</v>
      </c>
      <c r="T1157" s="1">
        <v>5264.25</v>
      </c>
      <c r="U1157" s="1">
        <v>0.0</v>
      </c>
      <c r="V1157" s="1">
        <v>0.0</v>
      </c>
      <c r="W1157" s="1" t="s">
        <v>26</v>
      </c>
    </row>
    <row r="1158" ht="15.75" customHeight="1">
      <c r="A1158" s="1" t="s">
        <v>1195</v>
      </c>
      <c r="B1158" s="1" t="s">
        <v>24</v>
      </c>
      <c r="C1158" s="1">
        <v>0.0</v>
      </c>
      <c r="D1158" s="1" t="s">
        <v>26</v>
      </c>
      <c r="E1158" s="1" t="s">
        <v>26</v>
      </c>
      <c r="F1158" s="1">
        <v>53.0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1">
        <v>18.7</v>
      </c>
      <c r="T1158" s="1">
        <v>1005.7</v>
      </c>
      <c r="U1158" s="1">
        <v>0.0</v>
      </c>
      <c r="V1158" s="1">
        <v>0.0</v>
      </c>
      <c r="W1158" s="1" t="s">
        <v>26</v>
      </c>
    </row>
    <row r="1159" ht="15.75" customHeight="1">
      <c r="A1159" s="1" t="s">
        <v>1196</v>
      </c>
      <c r="B1159" s="1" t="s">
        <v>24</v>
      </c>
      <c r="C1159" s="1">
        <v>1.0</v>
      </c>
      <c r="D1159" s="1" t="s">
        <v>25</v>
      </c>
      <c r="E1159" s="1" t="s">
        <v>26</v>
      </c>
      <c r="F1159" s="1">
        <v>62.0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1">
        <v>97.95</v>
      </c>
      <c r="T1159" s="1">
        <v>5936.55</v>
      </c>
      <c r="U1159" s="1">
        <v>0.0</v>
      </c>
      <c r="V1159" s="1">
        <v>0.0</v>
      </c>
      <c r="W1159" s="1" t="s">
        <v>26</v>
      </c>
    </row>
    <row r="1160" ht="15.75" customHeight="1">
      <c r="A1160" s="1" t="s">
        <v>1197</v>
      </c>
      <c r="B1160" s="1" t="s">
        <v>24</v>
      </c>
      <c r="C1160" s="1">
        <v>0.0</v>
      </c>
      <c r="D1160" s="1" t="s">
        <v>25</v>
      </c>
      <c r="E1160" s="1" t="s">
        <v>26</v>
      </c>
      <c r="F1160" s="1">
        <v>60.0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1">
        <v>94.1</v>
      </c>
      <c r="T1160" s="1">
        <v>5475.9</v>
      </c>
      <c r="U1160" s="1">
        <v>0.0</v>
      </c>
      <c r="V1160" s="1">
        <v>5.0</v>
      </c>
      <c r="W1160" s="1" t="s">
        <v>26</v>
      </c>
    </row>
    <row r="1161" ht="15.75" customHeight="1">
      <c r="A1161" s="1" t="s">
        <v>1198</v>
      </c>
      <c r="B1161" s="1" t="s">
        <v>24</v>
      </c>
      <c r="C1161" s="1">
        <v>1.0</v>
      </c>
      <c r="D1161" s="1" t="s">
        <v>25</v>
      </c>
      <c r="E1161" s="1" t="s">
        <v>26</v>
      </c>
      <c r="F1161" s="1">
        <v>3.0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1">
        <v>80.4</v>
      </c>
      <c r="T1161" s="1">
        <v>224.05</v>
      </c>
      <c r="U1161" s="1">
        <v>0.0</v>
      </c>
      <c r="V1161" s="1">
        <v>0.0</v>
      </c>
      <c r="W1161" s="1" t="s">
        <v>25</v>
      </c>
    </row>
    <row r="1162" ht="15.75" customHeight="1">
      <c r="A1162" s="1" t="s">
        <v>1199</v>
      </c>
      <c r="B1162" s="1" t="s">
        <v>24</v>
      </c>
      <c r="C1162" s="1">
        <v>1.0</v>
      </c>
      <c r="D1162" s="1" t="s">
        <v>25</v>
      </c>
      <c r="E1162" s="1" t="s">
        <v>26</v>
      </c>
      <c r="F1162" s="1">
        <v>23.0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1">
        <v>95.1</v>
      </c>
      <c r="T1162" s="1">
        <v>2326.05</v>
      </c>
      <c r="U1162" s="1">
        <v>0.0</v>
      </c>
      <c r="V1162" s="1">
        <v>0.0</v>
      </c>
      <c r="W1162" s="1" t="s">
        <v>26</v>
      </c>
    </row>
    <row r="1163" ht="15.75" customHeight="1">
      <c r="A1163" s="1" t="s">
        <v>1200</v>
      </c>
      <c r="B1163" s="1" t="s">
        <v>32</v>
      </c>
      <c r="C1163" s="1">
        <v>0.0</v>
      </c>
      <c r="D1163" s="1" t="s">
        <v>26</v>
      </c>
      <c r="E1163" s="1" t="s">
        <v>25</v>
      </c>
      <c r="F1163" s="1">
        <v>1.0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1">
        <v>31.35</v>
      </c>
      <c r="T1163" s="1">
        <v>31.35</v>
      </c>
      <c r="U1163" s="1">
        <v>4.0</v>
      </c>
      <c r="V1163" s="1">
        <v>0.0</v>
      </c>
      <c r="W1163" s="1" t="s">
        <v>25</v>
      </c>
    </row>
    <row r="1164" ht="15.75" customHeight="1">
      <c r="A1164" s="1" t="s">
        <v>1201</v>
      </c>
      <c r="B1164" s="1" t="s">
        <v>24</v>
      </c>
      <c r="C1164" s="1">
        <v>0.0</v>
      </c>
      <c r="D1164" s="1" t="s">
        <v>26</v>
      </c>
      <c r="E1164" s="1" t="s">
        <v>26</v>
      </c>
      <c r="F1164" s="1">
        <v>67.0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1">
        <v>72.35</v>
      </c>
      <c r="T1164" s="1">
        <v>4991.5</v>
      </c>
      <c r="U1164" s="1">
        <v>0.0</v>
      </c>
      <c r="V1164" s="1">
        <v>0.0</v>
      </c>
      <c r="W1164" s="1" t="s">
        <v>26</v>
      </c>
    </row>
    <row r="1165" ht="15.75" customHeight="1">
      <c r="A1165" s="1" t="s">
        <v>1202</v>
      </c>
      <c r="B1165" s="1" t="s">
        <v>24</v>
      </c>
      <c r="C1165" s="1">
        <v>0.0</v>
      </c>
      <c r="D1165" s="1" t="s">
        <v>26</v>
      </c>
      <c r="E1165" s="1" t="s">
        <v>26</v>
      </c>
      <c r="F1165" s="1">
        <v>12.0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1">
        <v>89.75</v>
      </c>
      <c r="T1165" s="1">
        <v>1052.4</v>
      </c>
      <c r="U1165" s="1">
        <v>5.0</v>
      </c>
      <c r="V1165" s="1">
        <v>1.0</v>
      </c>
      <c r="W1165" s="1" t="s">
        <v>25</v>
      </c>
    </row>
    <row r="1166" ht="15.75" customHeight="1">
      <c r="A1166" s="1" t="s">
        <v>1203</v>
      </c>
      <c r="B1166" s="1" t="s">
        <v>24</v>
      </c>
      <c r="C1166" s="1">
        <v>1.0</v>
      </c>
      <c r="D1166" s="1" t="s">
        <v>25</v>
      </c>
      <c r="E1166" s="1" t="s">
        <v>26</v>
      </c>
      <c r="F1166" s="1">
        <v>71.0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1">
        <v>82.7</v>
      </c>
      <c r="T1166" s="1">
        <v>5831.2</v>
      </c>
      <c r="U1166" s="1">
        <v>0.0</v>
      </c>
      <c r="V1166" s="1">
        <v>0.0</v>
      </c>
      <c r="W1166" s="1" t="s">
        <v>26</v>
      </c>
    </row>
    <row r="1167" ht="15.75" customHeight="1">
      <c r="A1167" s="1" t="s">
        <v>1204</v>
      </c>
      <c r="B1167" s="1" t="s">
        <v>32</v>
      </c>
      <c r="C1167" s="1">
        <v>0.0</v>
      </c>
      <c r="D1167" s="1" t="s">
        <v>26</v>
      </c>
      <c r="E1167" s="1" t="s">
        <v>26</v>
      </c>
      <c r="F1167" s="1">
        <v>25.0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1">
        <v>19.9</v>
      </c>
      <c r="T1167" s="1">
        <v>510.8</v>
      </c>
      <c r="U1167" s="1">
        <v>0.0</v>
      </c>
      <c r="V1167" s="1">
        <v>0.0</v>
      </c>
      <c r="W1167" s="1" t="s">
        <v>26</v>
      </c>
    </row>
    <row r="1168" ht="15.75" customHeight="1">
      <c r="A1168" s="1" t="s">
        <v>1205</v>
      </c>
      <c r="B1168" s="1" t="s">
        <v>24</v>
      </c>
      <c r="C1168" s="1">
        <v>0.0</v>
      </c>
      <c r="D1168" s="1" t="s">
        <v>26</v>
      </c>
      <c r="E1168" s="1" t="s">
        <v>26</v>
      </c>
      <c r="F1168" s="1">
        <v>5.0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1">
        <v>53.8</v>
      </c>
      <c r="T1168" s="1">
        <v>283.95</v>
      </c>
      <c r="U1168" s="1">
        <v>0.0</v>
      </c>
      <c r="V1168" s="1">
        <v>0.0</v>
      </c>
      <c r="W1168" s="1" t="s">
        <v>26</v>
      </c>
    </row>
    <row r="1169" ht="15.75" customHeight="1">
      <c r="A1169" s="1" t="s">
        <v>1206</v>
      </c>
      <c r="B1169" s="1" t="s">
        <v>32</v>
      </c>
      <c r="C1169" s="1">
        <v>0.0</v>
      </c>
      <c r="D1169" s="1" t="s">
        <v>26</v>
      </c>
      <c r="E1169" s="1" t="s">
        <v>26</v>
      </c>
      <c r="F1169" s="1">
        <v>26.0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1">
        <v>51.55</v>
      </c>
      <c r="T1169" s="1">
        <v>1295.4</v>
      </c>
      <c r="U1169" s="1">
        <v>0.0</v>
      </c>
      <c r="V1169" s="1">
        <v>0.0</v>
      </c>
      <c r="W1169" s="1" t="s">
        <v>26</v>
      </c>
    </row>
    <row r="1170" ht="15.75" customHeight="1">
      <c r="A1170" s="1" t="s">
        <v>1207</v>
      </c>
      <c r="B1170" s="1" t="s">
        <v>32</v>
      </c>
      <c r="C1170" s="1">
        <v>0.0</v>
      </c>
      <c r="D1170" s="1" t="s">
        <v>25</v>
      </c>
      <c r="E1170" s="1" t="s">
        <v>25</v>
      </c>
      <c r="F1170" s="1">
        <v>1.0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1">
        <v>19.65</v>
      </c>
      <c r="T1170" s="1">
        <v>19.65</v>
      </c>
      <c r="U1170" s="1">
        <v>5.0</v>
      </c>
      <c r="V1170" s="1">
        <v>0.0</v>
      </c>
      <c r="W1170" s="1" t="s">
        <v>26</v>
      </c>
    </row>
    <row r="1171" ht="15.75" customHeight="1">
      <c r="A1171" s="1" t="s">
        <v>1208</v>
      </c>
      <c r="B1171" s="1" t="s">
        <v>32</v>
      </c>
      <c r="C1171" s="1">
        <v>1.0</v>
      </c>
      <c r="D1171" s="1" t="s">
        <v>26</v>
      </c>
      <c r="E1171" s="1" t="s">
        <v>26</v>
      </c>
      <c r="F1171" s="1">
        <v>70.0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1">
        <v>44.05</v>
      </c>
      <c r="T1171" s="1">
        <v>3011.65</v>
      </c>
      <c r="U1171" s="1">
        <v>0.0</v>
      </c>
      <c r="V1171" s="1">
        <v>0.0</v>
      </c>
      <c r="W1171" s="1" t="s">
        <v>26</v>
      </c>
    </row>
    <row r="1172" ht="15.75" customHeight="1">
      <c r="A1172" s="1" t="s">
        <v>1209</v>
      </c>
      <c r="B1172" s="1" t="s">
        <v>32</v>
      </c>
      <c r="C1172" s="1">
        <v>0.0</v>
      </c>
      <c r="D1172" s="1" t="s">
        <v>25</v>
      </c>
      <c r="E1172" s="1" t="s">
        <v>25</v>
      </c>
      <c r="F1172" s="1">
        <v>72.0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1">
        <v>114.0</v>
      </c>
      <c r="T1172" s="1">
        <v>8093.15</v>
      </c>
      <c r="U1172" s="1">
        <v>0.0</v>
      </c>
      <c r="V1172" s="1">
        <v>0.0</v>
      </c>
      <c r="W1172" s="1" t="s">
        <v>26</v>
      </c>
    </row>
    <row r="1173" ht="15.75" customHeight="1">
      <c r="A1173" s="1" t="s">
        <v>1210</v>
      </c>
      <c r="B1173" s="1" t="s">
        <v>32</v>
      </c>
      <c r="C1173" s="1">
        <v>0.0</v>
      </c>
      <c r="D1173" s="1" t="s">
        <v>25</v>
      </c>
      <c r="E1173" s="1" t="s">
        <v>26</v>
      </c>
      <c r="F1173" s="1">
        <v>60.0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1">
        <v>94.4</v>
      </c>
      <c r="T1173" s="1">
        <v>5610.25</v>
      </c>
      <c r="U1173" s="1">
        <v>2.0</v>
      </c>
      <c r="V1173" s="1">
        <v>7.0</v>
      </c>
      <c r="W1173" s="1" t="s">
        <v>25</v>
      </c>
    </row>
    <row r="1174" ht="15.75" customHeight="1">
      <c r="A1174" s="1" t="s">
        <v>1211</v>
      </c>
      <c r="B1174" s="1" t="s">
        <v>24</v>
      </c>
      <c r="C1174" s="1">
        <v>1.0</v>
      </c>
      <c r="D1174" s="1" t="s">
        <v>25</v>
      </c>
      <c r="E1174" s="1" t="s">
        <v>25</v>
      </c>
      <c r="F1174" s="1">
        <v>32.0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1">
        <v>100.4</v>
      </c>
      <c r="T1174" s="1">
        <v>3217.65</v>
      </c>
      <c r="U1174" s="1">
        <v>0.0</v>
      </c>
      <c r="V1174" s="1">
        <v>0.0</v>
      </c>
      <c r="W1174" s="1" t="s">
        <v>26</v>
      </c>
    </row>
    <row r="1175" ht="15.75" customHeight="1">
      <c r="A1175" s="1" t="s">
        <v>1212</v>
      </c>
      <c r="B1175" s="1" t="s">
        <v>32</v>
      </c>
      <c r="C1175" s="1">
        <v>0.0</v>
      </c>
      <c r="D1175" s="1" t="s">
        <v>26</v>
      </c>
      <c r="E1175" s="1" t="s">
        <v>26</v>
      </c>
      <c r="F1175" s="1">
        <v>1.0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1">
        <v>19.85</v>
      </c>
      <c r="T1175" s="1">
        <v>19.85</v>
      </c>
      <c r="U1175" s="1">
        <v>0.0</v>
      </c>
      <c r="V1175" s="1">
        <v>0.0</v>
      </c>
      <c r="W1175" s="1" t="s">
        <v>25</v>
      </c>
    </row>
    <row r="1176" ht="15.75" customHeight="1">
      <c r="A1176" s="1" t="s">
        <v>1213</v>
      </c>
      <c r="B1176" s="1" t="s">
        <v>24</v>
      </c>
      <c r="C1176" s="1">
        <v>0.0</v>
      </c>
      <c r="D1176" s="1" t="s">
        <v>26</v>
      </c>
      <c r="E1176" s="1" t="s">
        <v>26</v>
      </c>
      <c r="F1176" s="1">
        <v>14.0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1">
        <v>54.25</v>
      </c>
      <c r="T1176" s="1">
        <v>773.2</v>
      </c>
      <c r="U1176" s="1">
        <v>2.0</v>
      </c>
      <c r="V1176" s="1">
        <v>0.0</v>
      </c>
      <c r="W1176" s="1" t="s">
        <v>26</v>
      </c>
    </row>
    <row r="1177" ht="15.75" customHeight="1">
      <c r="A1177" s="1" t="s">
        <v>1214</v>
      </c>
      <c r="B1177" s="1" t="s">
        <v>24</v>
      </c>
      <c r="C1177" s="1">
        <v>0.0</v>
      </c>
      <c r="D1177" s="1" t="s">
        <v>26</v>
      </c>
      <c r="E1177" s="1" t="s">
        <v>26</v>
      </c>
      <c r="F1177" s="1">
        <v>13.0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1">
        <v>80.0</v>
      </c>
      <c r="T1177" s="1">
        <v>1029.35</v>
      </c>
      <c r="U1177" s="1">
        <v>0.0</v>
      </c>
      <c r="V1177" s="1">
        <v>0.0</v>
      </c>
      <c r="W1177" s="1" t="s">
        <v>26</v>
      </c>
    </row>
    <row r="1178" ht="15.75" customHeight="1">
      <c r="A1178" s="1" t="s">
        <v>1215</v>
      </c>
      <c r="B1178" s="1" t="s">
        <v>24</v>
      </c>
      <c r="C1178" s="1">
        <v>0.0</v>
      </c>
      <c r="D1178" s="1" t="s">
        <v>26</v>
      </c>
      <c r="E1178" s="1" t="s">
        <v>26</v>
      </c>
      <c r="F1178" s="1">
        <v>6.0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1">
        <v>109.9</v>
      </c>
      <c r="T1178" s="1">
        <v>669.45</v>
      </c>
      <c r="U1178" s="1">
        <v>0.0</v>
      </c>
      <c r="V1178" s="1">
        <v>0.0</v>
      </c>
      <c r="W1178" s="1" t="s">
        <v>25</v>
      </c>
    </row>
    <row r="1179" ht="15.75" customHeight="1">
      <c r="A1179" s="1" t="s">
        <v>1216</v>
      </c>
      <c r="B1179" s="1" t="s">
        <v>24</v>
      </c>
      <c r="C1179" s="1">
        <v>0.0</v>
      </c>
      <c r="D1179" s="1" t="s">
        <v>26</v>
      </c>
      <c r="E1179" s="1" t="s">
        <v>26</v>
      </c>
      <c r="F1179" s="1">
        <v>46.0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1">
        <v>79.2</v>
      </c>
      <c r="T1179" s="1">
        <v>3593.8</v>
      </c>
      <c r="U1179" s="1">
        <v>3.0</v>
      </c>
      <c r="V1179" s="1">
        <v>0.0</v>
      </c>
      <c r="W1179" s="1" t="s">
        <v>26</v>
      </c>
    </row>
    <row r="1180" ht="15.75" customHeight="1">
      <c r="A1180" s="1" t="s">
        <v>1217</v>
      </c>
      <c r="B1180" s="1" t="s">
        <v>32</v>
      </c>
      <c r="C1180" s="1">
        <v>0.0</v>
      </c>
      <c r="D1180" s="1" t="s">
        <v>26</v>
      </c>
      <c r="E1180" s="1" t="s">
        <v>26</v>
      </c>
      <c r="F1180" s="1">
        <v>15.0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1">
        <v>101.35</v>
      </c>
      <c r="T1180" s="1">
        <v>1553.95</v>
      </c>
      <c r="U1180" s="1">
        <v>2.0</v>
      </c>
      <c r="V1180" s="1">
        <v>1.0</v>
      </c>
      <c r="W1180" s="1" t="s">
        <v>25</v>
      </c>
    </row>
    <row r="1181" ht="15.75" customHeight="1">
      <c r="A1181" s="1" t="s">
        <v>1218</v>
      </c>
      <c r="B1181" s="1" t="s">
        <v>32</v>
      </c>
      <c r="C1181" s="1">
        <v>1.0</v>
      </c>
      <c r="D1181" s="1" t="s">
        <v>25</v>
      </c>
      <c r="E1181" s="1" t="s">
        <v>26</v>
      </c>
      <c r="F1181" s="1">
        <v>43.0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1">
        <v>94.3</v>
      </c>
      <c r="T1181" s="1">
        <v>3953.15</v>
      </c>
      <c r="U1181" s="1">
        <v>0.0</v>
      </c>
      <c r="V1181" s="1">
        <v>0.0</v>
      </c>
      <c r="W1181" s="1" t="s">
        <v>26</v>
      </c>
    </row>
    <row r="1182" ht="15.75" customHeight="1">
      <c r="A1182" s="1" t="s">
        <v>1219</v>
      </c>
      <c r="B1182" s="1" t="s">
        <v>32</v>
      </c>
      <c r="C1182" s="1">
        <v>0.0</v>
      </c>
      <c r="D1182" s="1" t="s">
        <v>26</v>
      </c>
      <c r="E1182" s="1" t="s">
        <v>26</v>
      </c>
      <c r="F1182" s="1">
        <v>39.0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1">
        <v>49.8</v>
      </c>
      <c r="T1182" s="1">
        <v>1971.15</v>
      </c>
      <c r="U1182" s="1">
        <v>0.0</v>
      </c>
      <c r="V1182" s="1">
        <v>0.0</v>
      </c>
      <c r="W1182" s="1" t="s">
        <v>26</v>
      </c>
    </row>
    <row r="1183" ht="15.75" customHeight="1">
      <c r="A1183" s="1" t="s">
        <v>1220</v>
      </c>
      <c r="B1183" s="1" t="s">
        <v>32</v>
      </c>
      <c r="C1183" s="1">
        <v>1.0</v>
      </c>
      <c r="D1183" s="1" t="s">
        <v>26</v>
      </c>
      <c r="E1183" s="1" t="s">
        <v>26</v>
      </c>
      <c r="F1183" s="1">
        <v>21.0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1">
        <v>60.05</v>
      </c>
      <c r="T1183" s="1">
        <v>1236.15</v>
      </c>
      <c r="U1183" s="1">
        <v>0.0</v>
      </c>
      <c r="V1183" s="1">
        <v>2.0</v>
      </c>
      <c r="W1183" s="1" t="s">
        <v>25</v>
      </c>
    </row>
    <row r="1184" ht="15.75" customHeight="1">
      <c r="A1184" s="1" t="s">
        <v>1221</v>
      </c>
      <c r="B1184" s="1" t="s">
        <v>32</v>
      </c>
      <c r="C1184" s="1">
        <v>0.0</v>
      </c>
      <c r="D1184" s="1" t="s">
        <v>26</v>
      </c>
      <c r="E1184" s="1" t="s">
        <v>26</v>
      </c>
      <c r="F1184" s="1">
        <v>57.0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1">
        <v>53.75</v>
      </c>
      <c r="T1184" s="1">
        <v>3196.0</v>
      </c>
      <c r="U1184" s="1">
        <v>2.0</v>
      </c>
      <c r="V1184" s="1">
        <v>0.0</v>
      </c>
      <c r="W1184" s="1" t="s">
        <v>26</v>
      </c>
    </row>
    <row r="1185" ht="15.75" customHeight="1">
      <c r="A1185" s="1" t="s">
        <v>1222</v>
      </c>
      <c r="B1185" s="1" t="s">
        <v>24</v>
      </c>
      <c r="C1185" s="1">
        <v>0.0</v>
      </c>
      <c r="D1185" s="1" t="s">
        <v>25</v>
      </c>
      <c r="E1185" s="1" t="s">
        <v>26</v>
      </c>
      <c r="F1185" s="1">
        <v>53.0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1">
        <v>93.45</v>
      </c>
      <c r="T1185" s="1">
        <v>4872.2</v>
      </c>
      <c r="U1185" s="1">
        <v>0.0</v>
      </c>
      <c r="V1185" s="1">
        <v>3.0</v>
      </c>
      <c r="W1185" s="1" t="s">
        <v>26</v>
      </c>
    </row>
    <row r="1186" ht="15.75" customHeight="1">
      <c r="A1186" s="1" t="s">
        <v>1223</v>
      </c>
      <c r="B1186" s="1" t="s">
        <v>32</v>
      </c>
      <c r="C1186" s="1">
        <v>0.0</v>
      </c>
      <c r="D1186" s="1" t="s">
        <v>25</v>
      </c>
      <c r="E1186" s="1" t="s">
        <v>25</v>
      </c>
      <c r="F1186" s="1">
        <v>18.0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1">
        <v>87.9</v>
      </c>
      <c r="T1186" s="1">
        <v>1500.5</v>
      </c>
      <c r="U1186" s="1">
        <v>0.0</v>
      </c>
      <c r="V1186" s="1">
        <v>0.0</v>
      </c>
      <c r="W1186" s="1" t="s">
        <v>26</v>
      </c>
    </row>
    <row r="1187" ht="15.75" customHeight="1">
      <c r="A1187" s="1" t="s">
        <v>1224</v>
      </c>
      <c r="B1187" s="1" t="s">
        <v>24</v>
      </c>
      <c r="C1187" s="1">
        <v>0.0</v>
      </c>
      <c r="D1187" s="1" t="s">
        <v>26</v>
      </c>
      <c r="E1187" s="1" t="s">
        <v>26</v>
      </c>
      <c r="F1187" s="1">
        <v>1.0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1">
        <v>60.15</v>
      </c>
      <c r="T1187" s="1">
        <v>60.15</v>
      </c>
      <c r="U1187" s="1">
        <v>0.0</v>
      </c>
      <c r="V1187" s="1">
        <v>0.0</v>
      </c>
      <c r="W1187" s="1" t="s">
        <v>25</v>
      </c>
    </row>
    <row r="1188" ht="15.75" customHeight="1">
      <c r="A1188" s="1" t="s">
        <v>1225</v>
      </c>
      <c r="B1188" s="1" t="s">
        <v>24</v>
      </c>
      <c r="C1188" s="1">
        <v>0.0</v>
      </c>
      <c r="D1188" s="1" t="s">
        <v>25</v>
      </c>
      <c r="E1188" s="1" t="s">
        <v>26</v>
      </c>
      <c r="F1188" s="1">
        <v>58.0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1">
        <v>61.05</v>
      </c>
      <c r="T1188" s="1">
        <v>3478.75</v>
      </c>
      <c r="U1188" s="1">
        <v>0.0</v>
      </c>
      <c r="V1188" s="1">
        <v>0.0</v>
      </c>
      <c r="W1188" s="1" t="s">
        <v>26</v>
      </c>
    </row>
    <row r="1189" ht="15.75" customHeight="1">
      <c r="A1189" s="1" t="s">
        <v>1226</v>
      </c>
      <c r="B1189" s="1" t="s">
        <v>24</v>
      </c>
      <c r="C1189" s="1">
        <v>1.0</v>
      </c>
      <c r="D1189" s="1" t="s">
        <v>26</v>
      </c>
      <c r="E1189" s="1" t="s">
        <v>26</v>
      </c>
      <c r="F1189" s="1">
        <v>71.0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1">
        <v>104.05</v>
      </c>
      <c r="T1189" s="1">
        <v>7413.55</v>
      </c>
      <c r="U1189" s="1">
        <v>0.0</v>
      </c>
      <c r="V1189" s="1">
        <v>0.0</v>
      </c>
      <c r="W1189" s="1" t="s">
        <v>26</v>
      </c>
    </row>
    <row r="1190" ht="15.75" customHeight="1">
      <c r="A1190" s="1" t="s">
        <v>1227</v>
      </c>
      <c r="B1190" s="1" t="s">
        <v>24</v>
      </c>
      <c r="C1190" s="1">
        <v>0.0</v>
      </c>
      <c r="D1190" s="1" t="s">
        <v>26</v>
      </c>
      <c r="E1190" s="1" t="s">
        <v>26</v>
      </c>
      <c r="F1190" s="1">
        <v>35.0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1">
        <v>99.25</v>
      </c>
      <c r="T1190" s="1">
        <v>3532.0</v>
      </c>
      <c r="U1190" s="1">
        <v>0.0</v>
      </c>
      <c r="V1190" s="1">
        <v>0.0</v>
      </c>
      <c r="W1190" s="1" t="s">
        <v>26</v>
      </c>
    </row>
    <row r="1191" ht="15.75" customHeight="1">
      <c r="A1191" s="1" t="s">
        <v>1228</v>
      </c>
      <c r="B1191" s="1" t="s">
        <v>32</v>
      </c>
      <c r="C1191" s="1">
        <v>0.0</v>
      </c>
      <c r="D1191" s="1" t="s">
        <v>26</v>
      </c>
      <c r="E1191" s="1" t="s">
        <v>26</v>
      </c>
      <c r="F1191" s="1">
        <v>3.0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1">
        <v>85.7</v>
      </c>
      <c r="T1191" s="1">
        <v>256.75</v>
      </c>
      <c r="U1191" s="1">
        <v>0.0</v>
      </c>
      <c r="V1191" s="1">
        <v>0.0</v>
      </c>
      <c r="W1191" s="1" t="s">
        <v>26</v>
      </c>
    </row>
    <row r="1192" ht="15.75" customHeight="1">
      <c r="A1192" s="1" t="s">
        <v>1229</v>
      </c>
      <c r="B1192" s="1" t="s">
        <v>32</v>
      </c>
      <c r="C1192" s="1">
        <v>0.0</v>
      </c>
      <c r="D1192" s="1" t="s">
        <v>26</v>
      </c>
      <c r="E1192" s="1" t="s">
        <v>26</v>
      </c>
      <c r="F1192" s="1">
        <v>38.0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1">
        <v>104.85</v>
      </c>
      <c r="T1192" s="1">
        <v>3887.25</v>
      </c>
      <c r="U1192" s="1">
        <v>0.0</v>
      </c>
      <c r="V1192" s="1">
        <v>0.0</v>
      </c>
      <c r="W1192" s="1" t="s">
        <v>26</v>
      </c>
    </row>
    <row r="1193" ht="15.75" customHeight="1">
      <c r="A1193" s="1" t="s">
        <v>1230</v>
      </c>
      <c r="B1193" s="1" t="s">
        <v>32</v>
      </c>
      <c r="C1193" s="1">
        <v>0.0</v>
      </c>
      <c r="D1193" s="1" t="s">
        <v>25</v>
      </c>
      <c r="E1193" s="1" t="s">
        <v>25</v>
      </c>
      <c r="F1193" s="1">
        <v>35.0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1">
        <v>69.15</v>
      </c>
      <c r="T1193" s="1">
        <v>2490.15</v>
      </c>
      <c r="U1193" s="1">
        <v>0.0</v>
      </c>
      <c r="V1193" s="1">
        <v>0.0</v>
      </c>
      <c r="W1193" s="1" t="s">
        <v>26</v>
      </c>
    </row>
    <row r="1194" ht="15.75" customHeight="1">
      <c r="A1194" s="1" t="s">
        <v>1231</v>
      </c>
      <c r="B1194" s="1" t="s">
        <v>32</v>
      </c>
      <c r="C1194" s="1">
        <v>0.0</v>
      </c>
      <c r="D1194" s="1" t="s">
        <v>26</v>
      </c>
      <c r="E1194" s="1" t="s">
        <v>26</v>
      </c>
      <c r="F1194" s="1">
        <v>7.0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1">
        <v>90.45</v>
      </c>
      <c r="T1194" s="1">
        <v>593.45</v>
      </c>
      <c r="U1194" s="1">
        <v>0.0</v>
      </c>
      <c r="V1194" s="1">
        <v>0.0</v>
      </c>
      <c r="W1194" s="1" t="s">
        <v>25</v>
      </c>
    </row>
    <row r="1195" ht="15.75" customHeight="1">
      <c r="A1195" s="1" t="s">
        <v>1232</v>
      </c>
      <c r="B1195" s="1" t="s">
        <v>24</v>
      </c>
      <c r="C1195" s="1">
        <v>0.0</v>
      </c>
      <c r="D1195" s="1" t="s">
        <v>26</v>
      </c>
      <c r="E1195" s="1" t="s">
        <v>26</v>
      </c>
      <c r="F1195" s="1">
        <v>47.0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1">
        <v>74.45</v>
      </c>
      <c r="T1195" s="1">
        <v>3510.3</v>
      </c>
      <c r="U1195" s="1">
        <v>0.0</v>
      </c>
      <c r="V1195" s="1">
        <v>0.0</v>
      </c>
      <c r="W1195" s="1" t="s">
        <v>26</v>
      </c>
    </row>
    <row r="1196" ht="15.75" customHeight="1">
      <c r="A1196" s="1" t="s">
        <v>1233</v>
      </c>
      <c r="B1196" s="1" t="s">
        <v>24</v>
      </c>
      <c r="C1196" s="1">
        <v>0.0</v>
      </c>
      <c r="D1196" s="1" t="s">
        <v>26</v>
      </c>
      <c r="E1196" s="1" t="s">
        <v>26</v>
      </c>
      <c r="F1196" s="1">
        <v>14.0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1">
        <v>50.45</v>
      </c>
      <c r="T1196" s="1">
        <v>765.45</v>
      </c>
      <c r="U1196" s="1">
        <v>3.0</v>
      </c>
      <c r="V1196" s="1">
        <v>0.0</v>
      </c>
      <c r="W1196" s="1" t="s">
        <v>26</v>
      </c>
    </row>
    <row r="1197" ht="15.75" customHeight="1">
      <c r="A1197" s="1" t="s">
        <v>1234</v>
      </c>
      <c r="B1197" s="1" t="s">
        <v>24</v>
      </c>
      <c r="C1197" s="1">
        <v>1.0</v>
      </c>
      <c r="D1197" s="1" t="s">
        <v>25</v>
      </c>
      <c r="E1197" s="1" t="s">
        <v>26</v>
      </c>
      <c r="F1197" s="1">
        <v>20.0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1">
        <v>60.0</v>
      </c>
      <c r="T1197" s="1">
        <v>1259.35</v>
      </c>
      <c r="U1197" s="1">
        <v>0.0</v>
      </c>
      <c r="V1197" s="1">
        <v>1.0</v>
      </c>
      <c r="W1197" s="1" t="s">
        <v>26</v>
      </c>
    </row>
    <row r="1198" ht="15.75" customHeight="1">
      <c r="A1198" s="1" t="s">
        <v>1235</v>
      </c>
      <c r="B1198" s="1" t="s">
        <v>32</v>
      </c>
      <c r="C1198" s="1">
        <v>0.0</v>
      </c>
      <c r="D1198" s="1" t="s">
        <v>25</v>
      </c>
      <c r="E1198" s="1" t="s">
        <v>26</v>
      </c>
      <c r="F1198" s="1">
        <v>66.0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1">
        <v>85.25</v>
      </c>
      <c r="T1198" s="1">
        <v>5538.35</v>
      </c>
      <c r="U1198" s="1">
        <v>0.0</v>
      </c>
      <c r="V1198" s="1">
        <v>2.0</v>
      </c>
      <c r="W1198" s="1" t="s">
        <v>26</v>
      </c>
    </row>
    <row r="1199" ht="15.75" customHeight="1">
      <c r="A1199" s="1" t="s">
        <v>1236</v>
      </c>
      <c r="B1199" s="1" t="s">
        <v>32</v>
      </c>
      <c r="C1199" s="1">
        <v>0.0</v>
      </c>
      <c r="D1199" s="1" t="s">
        <v>25</v>
      </c>
      <c r="E1199" s="1" t="s">
        <v>26</v>
      </c>
      <c r="F1199" s="1">
        <v>15.0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1">
        <v>19.45</v>
      </c>
      <c r="T1199" s="1">
        <v>340.85</v>
      </c>
      <c r="U1199" s="1">
        <v>5.0</v>
      </c>
      <c r="V1199" s="1">
        <v>0.0</v>
      </c>
      <c r="W1199" s="1" t="s">
        <v>26</v>
      </c>
    </row>
    <row r="1200" ht="15.75" customHeight="1">
      <c r="A1200" s="1" t="s">
        <v>1237</v>
      </c>
      <c r="B1200" s="1" t="s">
        <v>24</v>
      </c>
      <c r="C1200" s="1">
        <v>0.0</v>
      </c>
      <c r="D1200" s="1" t="s">
        <v>26</v>
      </c>
      <c r="E1200" s="1" t="s">
        <v>26</v>
      </c>
      <c r="F1200" s="1">
        <v>42.0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1">
        <v>20.75</v>
      </c>
      <c r="T1200" s="1">
        <v>844.45</v>
      </c>
      <c r="U1200" s="1">
        <v>3.0</v>
      </c>
      <c r="V1200" s="1">
        <v>0.0</v>
      </c>
      <c r="W1200" s="1" t="s">
        <v>26</v>
      </c>
    </row>
    <row r="1201" ht="15.75" customHeight="1">
      <c r="A1201" s="1" t="s">
        <v>1238</v>
      </c>
      <c r="B1201" s="1" t="s">
        <v>24</v>
      </c>
      <c r="C1201" s="1">
        <v>0.0</v>
      </c>
      <c r="D1201" s="1" t="s">
        <v>25</v>
      </c>
      <c r="E1201" s="1" t="s">
        <v>26</v>
      </c>
      <c r="F1201" s="1">
        <v>17.0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1">
        <v>78.9</v>
      </c>
      <c r="T1201" s="1">
        <v>1348.95</v>
      </c>
      <c r="U1201" s="1">
        <v>0.0</v>
      </c>
      <c r="V1201" s="1">
        <v>0.0</v>
      </c>
      <c r="W1201" s="1" t="s">
        <v>26</v>
      </c>
    </row>
    <row r="1202" ht="15.75" customHeight="1">
      <c r="A1202" s="1" t="s">
        <v>1239</v>
      </c>
      <c r="B1202" s="1" t="s">
        <v>32</v>
      </c>
      <c r="C1202" s="1">
        <v>0.0</v>
      </c>
      <c r="D1202" s="1" t="s">
        <v>26</v>
      </c>
      <c r="E1202" s="1" t="s">
        <v>26</v>
      </c>
      <c r="F1202" s="1">
        <v>37.0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1">
        <v>104.5</v>
      </c>
      <c r="T1202" s="1">
        <v>3778.0</v>
      </c>
      <c r="U1202" s="1">
        <v>3.0</v>
      </c>
      <c r="V1202" s="1">
        <v>0.0</v>
      </c>
      <c r="W1202" s="1" t="s">
        <v>26</v>
      </c>
    </row>
    <row r="1203" ht="15.75" customHeight="1">
      <c r="A1203" s="1" t="s">
        <v>1240</v>
      </c>
      <c r="B1203" s="1" t="s">
        <v>24</v>
      </c>
      <c r="C1203" s="1">
        <v>0.0</v>
      </c>
      <c r="D1203" s="1" t="s">
        <v>26</v>
      </c>
      <c r="E1203" s="1" t="s">
        <v>26</v>
      </c>
      <c r="F1203" s="1">
        <v>12.0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1">
        <v>49.4</v>
      </c>
      <c r="T1203" s="1">
        <v>611.65</v>
      </c>
      <c r="U1203" s="1">
        <v>0.0</v>
      </c>
      <c r="V1203" s="1">
        <v>0.0</v>
      </c>
      <c r="W1203" s="1" t="s">
        <v>26</v>
      </c>
    </row>
    <row r="1204" ht="15.75" customHeight="1">
      <c r="A1204" s="1" t="s">
        <v>1241</v>
      </c>
      <c r="B1204" s="1" t="s">
        <v>32</v>
      </c>
      <c r="C1204" s="1">
        <v>0.0</v>
      </c>
      <c r="D1204" s="1" t="s">
        <v>25</v>
      </c>
      <c r="E1204" s="1" t="s">
        <v>26</v>
      </c>
      <c r="F1204" s="1">
        <v>53.0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1">
        <v>94.25</v>
      </c>
      <c r="T1204" s="1">
        <v>4867.95</v>
      </c>
      <c r="U1204" s="1">
        <v>0.0</v>
      </c>
      <c r="V1204" s="1">
        <v>5.0</v>
      </c>
      <c r="W1204" s="1" t="s">
        <v>25</v>
      </c>
    </row>
    <row r="1205" ht="15.75" customHeight="1">
      <c r="A1205" s="1" t="s">
        <v>1242</v>
      </c>
      <c r="B1205" s="1" t="s">
        <v>24</v>
      </c>
      <c r="C1205" s="1">
        <v>0.0</v>
      </c>
      <c r="D1205" s="1" t="s">
        <v>26</v>
      </c>
      <c r="E1205" s="1" t="s">
        <v>26</v>
      </c>
      <c r="F1205" s="1">
        <v>60.0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1">
        <v>25.0</v>
      </c>
      <c r="T1205" s="1">
        <v>1505.05</v>
      </c>
      <c r="U1205" s="1">
        <v>0.0</v>
      </c>
      <c r="V1205" s="1">
        <v>0.0</v>
      </c>
      <c r="W1205" s="1" t="s">
        <v>26</v>
      </c>
    </row>
    <row r="1206" ht="15.75" customHeight="1">
      <c r="A1206" s="1" t="s">
        <v>1243</v>
      </c>
      <c r="B1206" s="1" t="s">
        <v>32</v>
      </c>
      <c r="C1206" s="1">
        <v>0.0</v>
      </c>
      <c r="D1206" s="1" t="s">
        <v>25</v>
      </c>
      <c r="E1206" s="1" t="s">
        <v>25</v>
      </c>
      <c r="F1206" s="1">
        <v>18.0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1">
        <v>25.55</v>
      </c>
      <c r="T1206" s="1">
        <v>467.85</v>
      </c>
      <c r="U1206" s="1">
        <v>0.0</v>
      </c>
      <c r="V1206" s="1">
        <v>0.0</v>
      </c>
      <c r="W1206" s="1" t="s">
        <v>26</v>
      </c>
    </row>
    <row r="1207" ht="15.75" customHeight="1">
      <c r="A1207" s="1" t="s">
        <v>1244</v>
      </c>
      <c r="B1207" s="1" t="s">
        <v>32</v>
      </c>
      <c r="C1207" s="1">
        <v>0.0</v>
      </c>
      <c r="D1207" s="1" t="s">
        <v>26</v>
      </c>
      <c r="E1207" s="1" t="s">
        <v>26</v>
      </c>
      <c r="F1207" s="1">
        <v>1.0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1">
        <v>74.9</v>
      </c>
      <c r="T1207" s="1">
        <v>74.9</v>
      </c>
      <c r="U1207" s="1">
        <v>0.0</v>
      </c>
      <c r="V1207" s="1">
        <v>0.0</v>
      </c>
      <c r="W1207" s="1" t="s">
        <v>25</v>
      </c>
    </row>
    <row r="1208" ht="15.75" customHeight="1">
      <c r="A1208" s="1" t="s">
        <v>1245</v>
      </c>
      <c r="B1208" s="1" t="s">
        <v>24</v>
      </c>
      <c r="C1208" s="1">
        <v>0.0</v>
      </c>
      <c r="D1208" s="1" t="s">
        <v>26</v>
      </c>
      <c r="E1208" s="1" t="s">
        <v>26</v>
      </c>
      <c r="F1208" s="1">
        <v>3.0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1">
        <v>70.15</v>
      </c>
      <c r="T1208" s="1">
        <v>194.2</v>
      </c>
      <c r="U1208" s="1">
        <v>0.0</v>
      </c>
      <c r="V1208" s="1">
        <v>0.0</v>
      </c>
      <c r="W1208" s="1" t="s">
        <v>26</v>
      </c>
    </row>
    <row r="1209" ht="15.75" customHeight="1">
      <c r="A1209" s="1" t="s">
        <v>1246</v>
      </c>
      <c r="B1209" s="1" t="s">
        <v>24</v>
      </c>
      <c r="C1209" s="1">
        <v>0.0</v>
      </c>
      <c r="D1209" s="1" t="s">
        <v>26</v>
      </c>
      <c r="E1209" s="1" t="s">
        <v>25</v>
      </c>
      <c r="F1209" s="1">
        <v>9.0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1">
        <v>69.4</v>
      </c>
      <c r="T1209" s="1">
        <v>571.45</v>
      </c>
      <c r="U1209" s="1">
        <v>0.0</v>
      </c>
      <c r="V1209" s="1">
        <v>0.0</v>
      </c>
      <c r="W1209" s="1" t="s">
        <v>26</v>
      </c>
    </row>
    <row r="1210" ht="15.75" customHeight="1">
      <c r="A1210" s="1" t="s">
        <v>1247</v>
      </c>
      <c r="B1210" s="1" t="s">
        <v>24</v>
      </c>
      <c r="C1210" s="1">
        <v>0.0</v>
      </c>
      <c r="D1210" s="1" t="s">
        <v>26</v>
      </c>
      <c r="E1210" s="1" t="s">
        <v>26</v>
      </c>
      <c r="F1210" s="1">
        <v>1.0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1">
        <v>80.25</v>
      </c>
      <c r="T1210" s="1">
        <v>80.25</v>
      </c>
      <c r="U1210" s="1">
        <v>0.0</v>
      </c>
      <c r="V1210" s="1">
        <v>0.0</v>
      </c>
      <c r="W1210" s="1" t="s">
        <v>25</v>
      </c>
    </row>
    <row r="1211" ht="15.75" customHeight="1">
      <c r="A1211" s="1" t="s">
        <v>1248</v>
      </c>
      <c r="B1211" s="1" t="s">
        <v>32</v>
      </c>
      <c r="C1211" s="1">
        <v>0.0</v>
      </c>
      <c r="D1211" s="1" t="s">
        <v>25</v>
      </c>
      <c r="E1211" s="1" t="s">
        <v>26</v>
      </c>
      <c r="F1211" s="1">
        <v>56.0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1">
        <v>93.15</v>
      </c>
      <c r="T1211" s="1">
        <v>5253.95</v>
      </c>
      <c r="U1211" s="1">
        <v>0.0</v>
      </c>
      <c r="V1211" s="1">
        <v>0.0</v>
      </c>
      <c r="W1211" s="1" t="s">
        <v>26</v>
      </c>
    </row>
    <row r="1212" ht="15.75" customHeight="1">
      <c r="A1212" s="1" t="s">
        <v>1249</v>
      </c>
      <c r="B1212" s="1" t="s">
        <v>32</v>
      </c>
      <c r="C1212" s="1">
        <v>0.0</v>
      </c>
      <c r="D1212" s="1" t="s">
        <v>25</v>
      </c>
      <c r="E1212" s="1" t="s">
        <v>25</v>
      </c>
      <c r="F1212" s="1">
        <v>17.0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1">
        <v>69.0</v>
      </c>
      <c r="T1212" s="1">
        <v>1149.65</v>
      </c>
      <c r="U1212" s="1">
        <v>0.0</v>
      </c>
      <c r="V1212" s="1">
        <v>0.0</v>
      </c>
      <c r="W1212" s="1" t="s">
        <v>25</v>
      </c>
    </row>
    <row r="1213" ht="15.75" customHeight="1">
      <c r="A1213" s="1" t="s">
        <v>1250</v>
      </c>
      <c r="B1213" s="1" t="s">
        <v>24</v>
      </c>
      <c r="C1213" s="1">
        <v>0.0</v>
      </c>
      <c r="D1213" s="1" t="s">
        <v>25</v>
      </c>
      <c r="E1213" s="1" t="s">
        <v>25</v>
      </c>
      <c r="F1213" s="1">
        <v>11.0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1">
        <v>66.35</v>
      </c>
      <c r="T1213" s="1">
        <v>740.8</v>
      </c>
      <c r="U1213" s="1">
        <v>0.0</v>
      </c>
      <c r="V1213" s="1">
        <v>0.0</v>
      </c>
      <c r="W1213" s="1" t="s">
        <v>25</v>
      </c>
    </row>
    <row r="1214" ht="15.75" customHeight="1">
      <c r="A1214" s="1" t="s">
        <v>1251</v>
      </c>
      <c r="B1214" s="1" t="s">
        <v>32</v>
      </c>
      <c r="C1214" s="1">
        <v>0.0</v>
      </c>
      <c r="D1214" s="1" t="s">
        <v>26</v>
      </c>
      <c r="E1214" s="1" t="s">
        <v>26</v>
      </c>
      <c r="F1214" s="1">
        <v>7.0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1">
        <v>69.55</v>
      </c>
      <c r="T1214" s="1">
        <v>521.35</v>
      </c>
      <c r="U1214" s="1">
        <v>0.0</v>
      </c>
      <c r="V1214" s="1">
        <v>0.0</v>
      </c>
      <c r="W1214" s="1" t="s">
        <v>26</v>
      </c>
    </row>
    <row r="1215" ht="15.75" customHeight="1">
      <c r="A1215" s="1" t="s">
        <v>1252</v>
      </c>
      <c r="B1215" s="1" t="s">
        <v>24</v>
      </c>
      <c r="C1215" s="1">
        <v>0.0</v>
      </c>
      <c r="D1215" s="1" t="s">
        <v>25</v>
      </c>
      <c r="E1215" s="1" t="s">
        <v>25</v>
      </c>
      <c r="F1215" s="1">
        <v>69.0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1">
        <v>20.2</v>
      </c>
      <c r="T1215" s="1">
        <v>1412.65</v>
      </c>
      <c r="U1215" s="1">
        <v>4.0</v>
      </c>
      <c r="V1215" s="1">
        <v>0.0</v>
      </c>
      <c r="W1215" s="1" t="s">
        <v>26</v>
      </c>
    </row>
    <row r="1216" ht="15.75" customHeight="1">
      <c r="A1216" s="1" t="s">
        <v>1253</v>
      </c>
      <c r="B1216" s="1" t="s">
        <v>32</v>
      </c>
      <c r="C1216" s="1">
        <v>0.0</v>
      </c>
      <c r="D1216" s="1" t="s">
        <v>26</v>
      </c>
      <c r="E1216" s="1" t="s">
        <v>26</v>
      </c>
      <c r="F1216" s="1">
        <v>19.0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1">
        <v>86.0</v>
      </c>
      <c r="T1216" s="1">
        <v>1532.45</v>
      </c>
      <c r="U1216" s="1">
        <v>0.0</v>
      </c>
      <c r="V1216" s="1">
        <v>0.0</v>
      </c>
      <c r="W1216" s="1" t="s">
        <v>25</v>
      </c>
    </row>
    <row r="1217" ht="15.75" customHeight="1">
      <c r="A1217" s="1" t="s">
        <v>1254</v>
      </c>
      <c r="B1217" s="1" t="s">
        <v>24</v>
      </c>
      <c r="C1217" s="1">
        <v>0.0</v>
      </c>
      <c r="D1217" s="1" t="s">
        <v>25</v>
      </c>
      <c r="E1217" s="1" t="s">
        <v>25</v>
      </c>
      <c r="F1217" s="1">
        <v>3.0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1">
        <v>80.3</v>
      </c>
      <c r="T1217" s="1">
        <v>250.05</v>
      </c>
      <c r="U1217" s="1">
        <v>4.0</v>
      </c>
      <c r="V1217" s="1">
        <v>0.0</v>
      </c>
      <c r="W1217" s="1" t="s">
        <v>25</v>
      </c>
    </row>
    <row r="1218" ht="15.75" customHeight="1">
      <c r="A1218" s="1" t="s">
        <v>1255</v>
      </c>
      <c r="B1218" s="1" t="s">
        <v>32</v>
      </c>
      <c r="C1218" s="1">
        <v>0.0</v>
      </c>
      <c r="D1218" s="1" t="s">
        <v>25</v>
      </c>
      <c r="E1218" s="1" t="s">
        <v>25</v>
      </c>
      <c r="F1218" s="1">
        <v>54.0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1">
        <v>20.4</v>
      </c>
      <c r="T1218" s="1">
        <v>1090.6</v>
      </c>
      <c r="U1218" s="1">
        <v>0.0</v>
      </c>
      <c r="V1218" s="1">
        <v>0.0</v>
      </c>
      <c r="W1218" s="1" t="s">
        <v>26</v>
      </c>
    </row>
    <row r="1219" ht="15.75" customHeight="1">
      <c r="A1219" s="1" t="s">
        <v>1256</v>
      </c>
      <c r="B1219" s="1" t="s">
        <v>32</v>
      </c>
      <c r="C1219" s="1">
        <v>0.0</v>
      </c>
      <c r="D1219" s="1" t="s">
        <v>25</v>
      </c>
      <c r="E1219" s="1" t="s">
        <v>26</v>
      </c>
      <c r="F1219" s="1">
        <v>62.0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1">
        <v>23.75</v>
      </c>
      <c r="T1219" s="1">
        <v>1446.8</v>
      </c>
      <c r="U1219" s="1">
        <v>0.0</v>
      </c>
      <c r="V1219" s="1">
        <v>0.0</v>
      </c>
      <c r="W1219" s="1" t="s">
        <v>26</v>
      </c>
    </row>
    <row r="1220" ht="15.75" customHeight="1">
      <c r="A1220" s="1" t="s">
        <v>1257</v>
      </c>
      <c r="B1220" s="1" t="s">
        <v>32</v>
      </c>
      <c r="C1220" s="1">
        <v>0.0</v>
      </c>
      <c r="D1220" s="1" t="s">
        <v>26</v>
      </c>
      <c r="E1220" s="1" t="s">
        <v>26</v>
      </c>
      <c r="F1220" s="1">
        <v>24.0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1">
        <v>90.55</v>
      </c>
      <c r="T1220" s="1">
        <v>2282.55</v>
      </c>
      <c r="U1220" s="1">
        <v>0.0</v>
      </c>
      <c r="V1220" s="1">
        <v>3.0</v>
      </c>
      <c r="W1220" s="1" t="s">
        <v>25</v>
      </c>
    </row>
    <row r="1221" ht="15.75" customHeight="1">
      <c r="A1221" s="1" t="s">
        <v>1258</v>
      </c>
      <c r="B1221" s="1" t="s">
        <v>24</v>
      </c>
      <c r="C1221" s="1">
        <v>0.0</v>
      </c>
      <c r="D1221" s="1" t="s">
        <v>25</v>
      </c>
      <c r="E1221" s="1" t="s">
        <v>25</v>
      </c>
      <c r="F1221" s="1">
        <v>62.0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1">
        <v>70.45</v>
      </c>
      <c r="T1221" s="1">
        <v>4300.45</v>
      </c>
      <c r="U1221" s="1">
        <v>0.0</v>
      </c>
      <c r="V1221" s="1">
        <v>0.0</v>
      </c>
      <c r="W1221" s="1" t="s">
        <v>26</v>
      </c>
    </row>
    <row r="1222" ht="15.75" customHeight="1">
      <c r="A1222" s="1" t="s">
        <v>1259</v>
      </c>
      <c r="B1222" s="1" t="s">
        <v>32</v>
      </c>
      <c r="C1222" s="1">
        <v>0.0</v>
      </c>
      <c r="D1222" s="1" t="s">
        <v>26</v>
      </c>
      <c r="E1222" s="1" t="s">
        <v>26</v>
      </c>
      <c r="F1222" s="1">
        <v>17.0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1">
        <v>65.75</v>
      </c>
      <c r="T1222" s="1">
        <v>1111.2</v>
      </c>
      <c r="U1222" s="1">
        <v>0.0</v>
      </c>
      <c r="V1222" s="1">
        <v>0.0</v>
      </c>
      <c r="W1222" s="1" t="s">
        <v>26</v>
      </c>
    </row>
    <row r="1223" ht="15.75" customHeight="1">
      <c r="A1223" s="1" t="s">
        <v>1260</v>
      </c>
      <c r="B1223" s="1" t="s">
        <v>32</v>
      </c>
      <c r="C1223" s="1">
        <v>0.0</v>
      </c>
      <c r="D1223" s="1" t="s">
        <v>26</v>
      </c>
      <c r="E1223" s="1" t="s">
        <v>26</v>
      </c>
      <c r="F1223" s="1">
        <v>9.0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1">
        <v>24.6</v>
      </c>
      <c r="T1223" s="1">
        <v>190.1</v>
      </c>
      <c r="U1223" s="1">
        <v>0.0</v>
      </c>
      <c r="V1223" s="1">
        <v>0.0</v>
      </c>
      <c r="W1223" s="1" t="s">
        <v>26</v>
      </c>
    </row>
    <row r="1224" ht="15.75" customHeight="1">
      <c r="A1224" s="1" t="s">
        <v>1261</v>
      </c>
      <c r="B1224" s="1" t="s">
        <v>32</v>
      </c>
      <c r="C1224" s="1">
        <v>0.0</v>
      </c>
      <c r="D1224" s="1" t="s">
        <v>25</v>
      </c>
      <c r="E1224" s="1" t="s">
        <v>25</v>
      </c>
      <c r="F1224" s="1">
        <v>64.0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1">
        <v>69.25</v>
      </c>
      <c r="T1224" s="1">
        <v>4447.75</v>
      </c>
      <c r="U1224" s="1">
        <v>0.0</v>
      </c>
      <c r="V1224" s="1">
        <v>0.0</v>
      </c>
      <c r="W1224" s="1" t="s">
        <v>26</v>
      </c>
    </row>
    <row r="1225" ht="15.75" customHeight="1">
      <c r="A1225" s="1" t="s">
        <v>1262</v>
      </c>
      <c r="B1225" s="1" t="s">
        <v>24</v>
      </c>
      <c r="C1225" s="1">
        <v>0.0</v>
      </c>
      <c r="D1225" s="1" t="s">
        <v>26</v>
      </c>
      <c r="E1225" s="1" t="s">
        <v>26</v>
      </c>
      <c r="F1225" s="1">
        <v>2.0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1">
        <v>75.9</v>
      </c>
      <c r="T1225" s="1">
        <v>143.35</v>
      </c>
      <c r="U1225" s="1">
        <v>0.0</v>
      </c>
      <c r="V1225" s="1">
        <v>0.0</v>
      </c>
      <c r="W1225" s="1" t="s">
        <v>25</v>
      </c>
    </row>
    <row r="1226" ht="15.75" customHeight="1">
      <c r="A1226" s="1" t="s">
        <v>1263</v>
      </c>
      <c r="B1226" s="1" t="s">
        <v>32</v>
      </c>
      <c r="C1226" s="1">
        <v>0.0</v>
      </c>
      <c r="D1226" s="1" t="s">
        <v>25</v>
      </c>
      <c r="E1226" s="1" t="s">
        <v>25</v>
      </c>
      <c r="F1226" s="1">
        <v>1.0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1">
        <v>45.85</v>
      </c>
      <c r="T1226" s="1">
        <v>45.85</v>
      </c>
      <c r="U1226" s="1">
        <v>0.0</v>
      </c>
      <c r="V1226" s="1">
        <v>0.0</v>
      </c>
      <c r="W1226" s="1" t="s">
        <v>25</v>
      </c>
    </row>
    <row r="1227" ht="15.75" customHeight="1">
      <c r="A1227" s="1" t="s">
        <v>1264</v>
      </c>
      <c r="B1227" s="1" t="s">
        <v>24</v>
      </c>
      <c r="C1227" s="1">
        <v>0.0</v>
      </c>
      <c r="D1227" s="1" t="s">
        <v>25</v>
      </c>
      <c r="E1227" s="1" t="s">
        <v>26</v>
      </c>
      <c r="F1227" s="1">
        <v>16.0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1">
        <v>49.95</v>
      </c>
      <c r="T1227" s="1">
        <v>810.2</v>
      </c>
      <c r="U1227" s="1">
        <v>0.0</v>
      </c>
      <c r="V1227" s="1">
        <v>1.0</v>
      </c>
      <c r="W1227" s="1" t="s">
        <v>25</v>
      </c>
    </row>
    <row r="1228" ht="15.75" customHeight="1">
      <c r="A1228" s="1" t="s">
        <v>1265</v>
      </c>
      <c r="B1228" s="1" t="s">
        <v>24</v>
      </c>
      <c r="C1228" s="1">
        <v>0.0</v>
      </c>
      <c r="D1228" s="1" t="s">
        <v>25</v>
      </c>
      <c r="E1228" s="1" t="s">
        <v>26</v>
      </c>
      <c r="F1228" s="1">
        <v>72.0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1">
        <v>24.65</v>
      </c>
      <c r="T1228" s="1">
        <v>1830.05</v>
      </c>
      <c r="U1228" s="1">
        <v>0.0</v>
      </c>
      <c r="V1228" s="1">
        <v>0.0</v>
      </c>
      <c r="W1228" s="1" t="s">
        <v>26</v>
      </c>
    </row>
    <row r="1229" ht="15.75" customHeight="1">
      <c r="A1229" s="1" t="s">
        <v>1266</v>
      </c>
      <c r="B1229" s="1" t="s">
        <v>32</v>
      </c>
      <c r="C1229" s="1">
        <v>0.0</v>
      </c>
      <c r="D1229" s="1" t="s">
        <v>26</v>
      </c>
      <c r="E1229" s="1" t="s">
        <v>26</v>
      </c>
      <c r="F1229" s="1">
        <v>30.0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1">
        <v>90.4</v>
      </c>
      <c r="T1229" s="1">
        <v>2820.65</v>
      </c>
      <c r="U1229" s="1">
        <v>0.0</v>
      </c>
      <c r="V1229" s="1">
        <v>2.0</v>
      </c>
      <c r="W1229" s="1" t="s">
        <v>26</v>
      </c>
    </row>
    <row r="1230" ht="15.75" customHeight="1">
      <c r="A1230" s="1" t="s">
        <v>1267</v>
      </c>
      <c r="B1230" s="1" t="s">
        <v>24</v>
      </c>
      <c r="C1230" s="1">
        <v>0.0</v>
      </c>
      <c r="D1230" s="1" t="s">
        <v>25</v>
      </c>
      <c r="E1230" s="1" t="s">
        <v>26</v>
      </c>
      <c r="F1230" s="1">
        <v>49.0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1">
        <v>100.85</v>
      </c>
      <c r="T1230" s="1">
        <v>4847.35</v>
      </c>
      <c r="U1230" s="1">
        <v>3.0</v>
      </c>
      <c r="V1230" s="1">
        <v>0.0</v>
      </c>
      <c r="W1230" s="1" t="s">
        <v>26</v>
      </c>
    </row>
    <row r="1231" ht="15.75" customHeight="1">
      <c r="A1231" s="1" t="s">
        <v>1268</v>
      </c>
      <c r="B1231" s="1" t="s">
        <v>32</v>
      </c>
      <c r="C1231" s="1">
        <v>0.0</v>
      </c>
      <c r="D1231" s="1" t="s">
        <v>25</v>
      </c>
      <c r="E1231" s="1" t="s">
        <v>26</v>
      </c>
      <c r="F1231" s="1">
        <v>61.0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1">
        <v>75.35</v>
      </c>
      <c r="T1231" s="1">
        <v>4729.3</v>
      </c>
      <c r="U1231" s="1">
        <v>0.0</v>
      </c>
      <c r="V1231" s="1">
        <v>0.0</v>
      </c>
      <c r="W1231" s="1" t="s">
        <v>26</v>
      </c>
    </row>
    <row r="1232" ht="15.75" customHeight="1">
      <c r="A1232" s="1" t="s">
        <v>1269</v>
      </c>
      <c r="B1232" s="1" t="s">
        <v>32</v>
      </c>
      <c r="C1232" s="1">
        <v>0.0</v>
      </c>
      <c r="D1232" s="1" t="s">
        <v>25</v>
      </c>
      <c r="E1232" s="1" t="s">
        <v>25</v>
      </c>
      <c r="F1232" s="1">
        <v>47.0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1">
        <v>87.2</v>
      </c>
      <c r="T1232" s="1">
        <v>4017.45</v>
      </c>
      <c r="U1232" s="1">
        <v>0.0</v>
      </c>
      <c r="V1232" s="1">
        <v>0.0</v>
      </c>
      <c r="W1232" s="1" t="s">
        <v>26</v>
      </c>
    </row>
    <row r="1233" ht="15.75" customHeight="1">
      <c r="A1233" s="1" t="s">
        <v>1270</v>
      </c>
      <c r="B1233" s="1" t="s">
        <v>32</v>
      </c>
      <c r="C1233" s="1">
        <v>0.0</v>
      </c>
      <c r="D1233" s="1" t="s">
        <v>26</v>
      </c>
      <c r="E1233" s="1" t="s">
        <v>26</v>
      </c>
      <c r="F1233" s="1">
        <v>20.0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1">
        <v>64.4</v>
      </c>
      <c r="T1233" s="1">
        <v>1398.6</v>
      </c>
      <c r="U1233" s="1">
        <v>1.0</v>
      </c>
      <c r="V1233" s="1">
        <v>0.0</v>
      </c>
      <c r="W1233" s="1" t="s">
        <v>26</v>
      </c>
    </row>
    <row r="1234" ht="15.75" customHeight="1">
      <c r="A1234" s="1" t="s">
        <v>1271</v>
      </c>
      <c r="B1234" s="1" t="s">
        <v>32</v>
      </c>
      <c r="C1234" s="1">
        <v>0.0</v>
      </c>
      <c r="D1234" s="1" t="s">
        <v>25</v>
      </c>
      <c r="E1234" s="1" t="s">
        <v>25</v>
      </c>
      <c r="F1234" s="1">
        <v>34.0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1">
        <v>78.3</v>
      </c>
      <c r="T1234" s="1">
        <v>2564.3</v>
      </c>
      <c r="U1234" s="1">
        <v>0.0</v>
      </c>
      <c r="V1234" s="1">
        <v>0.0</v>
      </c>
      <c r="W1234" s="1" t="s">
        <v>25</v>
      </c>
    </row>
    <row r="1235" ht="15.75" customHeight="1">
      <c r="A1235" s="1" t="s">
        <v>1272</v>
      </c>
      <c r="B1235" s="1" t="s">
        <v>24</v>
      </c>
      <c r="C1235" s="1">
        <v>0.0</v>
      </c>
      <c r="D1235" s="1" t="s">
        <v>25</v>
      </c>
      <c r="E1235" s="1" t="s">
        <v>25</v>
      </c>
      <c r="F1235" s="1">
        <v>70.0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1">
        <v>24.7</v>
      </c>
      <c r="T1235" s="1">
        <v>1685.9</v>
      </c>
      <c r="U1235" s="1">
        <v>2.0</v>
      </c>
      <c r="V1235" s="1">
        <v>0.0</v>
      </c>
      <c r="W1235" s="1" t="s">
        <v>26</v>
      </c>
    </row>
    <row r="1236" ht="15.75" customHeight="1">
      <c r="A1236" s="1" t="s">
        <v>1273</v>
      </c>
      <c r="B1236" s="1" t="s">
        <v>32</v>
      </c>
      <c r="C1236" s="1">
        <v>0.0</v>
      </c>
      <c r="D1236" s="1" t="s">
        <v>26</v>
      </c>
      <c r="E1236" s="1" t="s">
        <v>25</v>
      </c>
      <c r="F1236" s="1">
        <v>54.0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1">
        <v>105.85</v>
      </c>
      <c r="T1236" s="1">
        <v>5826.65</v>
      </c>
      <c r="U1236" s="1">
        <v>0.0</v>
      </c>
      <c r="V1236" s="1">
        <v>0.0</v>
      </c>
      <c r="W1236" s="1" t="s">
        <v>26</v>
      </c>
    </row>
    <row r="1237" ht="15.75" customHeight="1">
      <c r="A1237" s="1" t="s">
        <v>1274</v>
      </c>
      <c r="B1237" s="1" t="s">
        <v>32</v>
      </c>
      <c r="C1237" s="1">
        <v>1.0</v>
      </c>
      <c r="D1237" s="1" t="s">
        <v>25</v>
      </c>
      <c r="E1237" s="1" t="s">
        <v>26</v>
      </c>
      <c r="F1237" s="1">
        <v>61.0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1">
        <v>98.3</v>
      </c>
      <c r="T1237" s="1">
        <v>6066.55</v>
      </c>
      <c r="U1237" s="1">
        <v>0.0</v>
      </c>
      <c r="V1237" s="1">
        <v>0.0</v>
      </c>
      <c r="W1237" s="1" t="s">
        <v>26</v>
      </c>
    </row>
    <row r="1238" ht="15.75" customHeight="1">
      <c r="A1238" s="1" t="s">
        <v>1275</v>
      </c>
      <c r="B1238" s="1" t="s">
        <v>32</v>
      </c>
      <c r="C1238" s="1">
        <v>0.0</v>
      </c>
      <c r="D1238" s="1" t="s">
        <v>26</v>
      </c>
      <c r="E1238" s="1" t="s">
        <v>26</v>
      </c>
      <c r="F1238" s="1">
        <v>3.0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1">
        <v>76.95</v>
      </c>
      <c r="T1238" s="1">
        <v>228.4</v>
      </c>
      <c r="U1238" s="1">
        <v>3.0</v>
      </c>
      <c r="V1238" s="1">
        <v>0.0</v>
      </c>
      <c r="W1238" s="1" t="s">
        <v>25</v>
      </c>
    </row>
    <row r="1239" ht="15.75" customHeight="1">
      <c r="A1239" s="1" t="s">
        <v>1276</v>
      </c>
      <c r="B1239" s="1" t="s">
        <v>32</v>
      </c>
      <c r="C1239" s="1">
        <v>0.0</v>
      </c>
      <c r="D1239" s="1" t="s">
        <v>26</v>
      </c>
      <c r="E1239" s="1" t="s">
        <v>26</v>
      </c>
      <c r="F1239" s="1">
        <v>13.0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1">
        <v>19.45</v>
      </c>
      <c r="T1239" s="1">
        <v>270.2</v>
      </c>
      <c r="U1239" s="1">
        <v>0.0</v>
      </c>
      <c r="V1239" s="1">
        <v>0.0</v>
      </c>
      <c r="W1239" s="1" t="s">
        <v>26</v>
      </c>
    </row>
    <row r="1240" ht="15.75" customHeight="1">
      <c r="A1240" s="1" t="s">
        <v>1277</v>
      </c>
      <c r="B1240" s="1" t="s">
        <v>24</v>
      </c>
      <c r="C1240" s="1">
        <v>1.0</v>
      </c>
      <c r="D1240" s="1" t="s">
        <v>26</v>
      </c>
      <c r="E1240" s="1" t="s">
        <v>26</v>
      </c>
      <c r="F1240" s="1">
        <v>16.0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1">
        <v>96.15</v>
      </c>
      <c r="T1240" s="1">
        <v>1529.2</v>
      </c>
      <c r="U1240" s="1">
        <v>0.0</v>
      </c>
      <c r="V1240" s="1">
        <v>0.0</v>
      </c>
      <c r="W1240" s="1" t="s">
        <v>25</v>
      </c>
    </row>
    <row r="1241" ht="15.75" customHeight="1">
      <c r="A1241" s="1" t="s">
        <v>1278</v>
      </c>
      <c r="B1241" s="1" t="s">
        <v>24</v>
      </c>
      <c r="C1241" s="1">
        <v>0.0</v>
      </c>
      <c r="D1241" s="1" t="s">
        <v>25</v>
      </c>
      <c r="E1241" s="1" t="s">
        <v>25</v>
      </c>
      <c r="F1241" s="1">
        <v>3.0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1">
        <v>58.7</v>
      </c>
      <c r="T1241" s="1">
        <v>168.6</v>
      </c>
      <c r="U1241" s="1">
        <v>0.0</v>
      </c>
      <c r="V1241" s="1">
        <v>0.0</v>
      </c>
      <c r="W1241" s="1" t="s">
        <v>26</v>
      </c>
    </row>
    <row r="1242" ht="15.75" customHeight="1">
      <c r="A1242" s="1" t="s">
        <v>1279</v>
      </c>
      <c r="B1242" s="1" t="s">
        <v>32</v>
      </c>
      <c r="C1242" s="1">
        <v>0.0</v>
      </c>
      <c r="D1242" s="1" t="s">
        <v>26</v>
      </c>
      <c r="E1242" s="1" t="s">
        <v>26</v>
      </c>
      <c r="F1242" s="1">
        <v>25.0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1">
        <v>20.15</v>
      </c>
      <c r="T1242" s="1">
        <v>536.35</v>
      </c>
      <c r="U1242" s="1">
        <v>0.0</v>
      </c>
      <c r="V1242" s="1">
        <v>0.0</v>
      </c>
      <c r="W1242" s="1" t="s">
        <v>26</v>
      </c>
    </row>
    <row r="1243" ht="15.75" customHeight="1">
      <c r="A1243" s="1" t="s">
        <v>1280</v>
      </c>
      <c r="B1243" s="1" t="s">
        <v>32</v>
      </c>
      <c r="C1243" s="1">
        <v>0.0</v>
      </c>
      <c r="D1243" s="1" t="s">
        <v>26</v>
      </c>
      <c r="E1243" s="1" t="s">
        <v>26</v>
      </c>
      <c r="F1243" s="1">
        <v>30.0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1">
        <v>64.5</v>
      </c>
      <c r="T1243" s="1">
        <v>1888.45</v>
      </c>
      <c r="U1243" s="1">
        <v>1.0</v>
      </c>
      <c r="V1243" s="1">
        <v>0.0</v>
      </c>
      <c r="W1243" s="1" t="s">
        <v>26</v>
      </c>
    </row>
    <row r="1244" ht="15.75" customHeight="1">
      <c r="A1244" s="1" t="s">
        <v>1281</v>
      </c>
      <c r="B1244" s="1" t="s">
        <v>24</v>
      </c>
      <c r="C1244" s="1">
        <v>0.0</v>
      </c>
      <c r="D1244" s="1" t="s">
        <v>25</v>
      </c>
      <c r="E1244" s="1" t="s">
        <v>26</v>
      </c>
      <c r="F1244" s="1">
        <v>21.0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1">
        <v>28.5</v>
      </c>
      <c r="T1244" s="1">
        <v>629.35</v>
      </c>
      <c r="U1244" s="1">
        <v>0.0</v>
      </c>
      <c r="V1244" s="1">
        <v>0.0</v>
      </c>
      <c r="W1244" s="1" t="s">
        <v>26</v>
      </c>
    </row>
    <row r="1245" ht="15.75" customHeight="1">
      <c r="A1245" s="1" t="s">
        <v>1282</v>
      </c>
      <c r="B1245" s="1" t="s">
        <v>32</v>
      </c>
      <c r="C1245" s="1">
        <v>0.0</v>
      </c>
      <c r="D1245" s="1" t="s">
        <v>26</v>
      </c>
      <c r="E1245" s="1" t="s">
        <v>26</v>
      </c>
      <c r="F1245" s="1">
        <v>1.0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1">
        <v>45.3</v>
      </c>
      <c r="T1245" s="1">
        <v>45.3</v>
      </c>
      <c r="U1245" s="1">
        <v>0.0</v>
      </c>
      <c r="V1245" s="1">
        <v>0.0</v>
      </c>
      <c r="W1245" s="1" t="s">
        <v>25</v>
      </c>
    </row>
    <row r="1246" ht="15.75" customHeight="1">
      <c r="A1246" s="1" t="s">
        <v>1283</v>
      </c>
      <c r="B1246" s="1" t="s">
        <v>24</v>
      </c>
      <c r="C1246" s="1">
        <v>0.0</v>
      </c>
      <c r="D1246" s="1" t="s">
        <v>26</v>
      </c>
      <c r="E1246" s="1" t="s">
        <v>26</v>
      </c>
      <c r="F1246" s="1">
        <v>15.0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1">
        <v>19.4</v>
      </c>
      <c r="T1246" s="1">
        <v>289.3</v>
      </c>
      <c r="U1246" s="1">
        <v>0.0</v>
      </c>
      <c r="V1246" s="1">
        <v>0.0</v>
      </c>
      <c r="W1246" s="1" t="s">
        <v>25</v>
      </c>
    </row>
    <row r="1247" ht="15.75" customHeight="1">
      <c r="A1247" s="1" t="s">
        <v>1284</v>
      </c>
      <c r="B1247" s="1" t="s">
        <v>32</v>
      </c>
      <c r="C1247" s="1">
        <v>1.0</v>
      </c>
      <c r="D1247" s="1" t="s">
        <v>25</v>
      </c>
      <c r="E1247" s="1" t="s">
        <v>26</v>
      </c>
      <c r="F1247" s="1">
        <v>23.0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1">
        <v>90.45</v>
      </c>
      <c r="T1247" s="1">
        <v>2117.25</v>
      </c>
      <c r="U1247" s="1">
        <v>0.0</v>
      </c>
      <c r="V1247" s="1">
        <v>0.0</v>
      </c>
      <c r="W1247" s="1" t="s">
        <v>26</v>
      </c>
    </row>
    <row r="1248" ht="15.75" customHeight="1">
      <c r="A1248" s="1" t="s">
        <v>1285</v>
      </c>
      <c r="B1248" s="1" t="s">
        <v>24</v>
      </c>
      <c r="C1248" s="1">
        <v>0.0</v>
      </c>
      <c r="D1248" s="1" t="s">
        <v>25</v>
      </c>
      <c r="E1248" s="1" t="s">
        <v>25</v>
      </c>
      <c r="F1248" s="1">
        <v>45.0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1">
        <v>105.15</v>
      </c>
      <c r="T1248" s="1">
        <v>4730.9</v>
      </c>
      <c r="U1248" s="1">
        <v>1.0</v>
      </c>
      <c r="V1248" s="1">
        <v>0.0</v>
      </c>
      <c r="W1248" s="1" t="s">
        <v>26</v>
      </c>
    </row>
    <row r="1249" ht="15.75" customHeight="1">
      <c r="A1249" s="1" t="s">
        <v>1286</v>
      </c>
      <c r="B1249" s="1" t="s">
        <v>24</v>
      </c>
      <c r="C1249" s="1">
        <v>0.0</v>
      </c>
      <c r="D1249" s="1" t="s">
        <v>25</v>
      </c>
      <c r="E1249" s="1" t="s">
        <v>25</v>
      </c>
      <c r="F1249" s="1">
        <v>24.0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1">
        <v>83.15</v>
      </c>
      <c r="T1249" s="1">
        <v>2033.05</v>
      </c>
      <c r="U1249" s="1">
        <v>0.0</v>
      </c>
      <c r="V1249" s="1">
        <v>0.0</v>
      </c>
      <c r="W1249" s="1" t="s">
        <v>26</v>
      </c>
    </row>
    <row r="1250" ht="15.75" customHeight="1">
      <c r="A1250" s="1" t="s">
        <v>1287</v>
      </c>
      <c r="B1250" s="1" t="s">
        <v>24</v>
      </c>
      <c r="C1250" s="1">
        <v>0.0</v>
      </c>
      <c r="D1250" s="1" t="s">
        <v>26</v>
      </c>
      <c r="E1250" s="1" t="s">
        <v>26</v>
      </c>
      <c r="F1250" s="1">
        <v>11.0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1">
        <v>90.15</v>
      </c>
      <c r="T1250" s="1">
        <v>987.95</v>
      </c>
      <c r="U1250" s="1">
        <v>0.0</v>
      </c>
      <c r="V1250" s="1">
        <v>0.0</v>
      </c>
      <c r="W1250" s="1" t="s">
        <v>25</v>
      </c>
    </row>
    <row r="1251" ht="15.75" customHeight="1">
      <c r="A1251" s="1" t="s">
        <v>1288</v>
      </c>
      <c r="B1251" s="1" t="s">
        <v>32</v>
      </c>
      <c r="C1251" s="1">
        <v>0.0</v>
      </c>
      <c r="D1251" s="1" t="s">
        <v>26</v>
      </c>
      <c r="E1251" s="1" t="s">
        <v>26</v>
      </c>
      <c r="F1251" s="1">
        <v>1.0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1">
        <v>45.05</v>
      </c>
      <c r="T1251" s="1">
        <v>45.05</v>
      </c>
      <c r="U1251" s="1">
        <v>0.0</v>
      </c>
      <c r="V1251" s="1">
        <v>0.0</v>
      </c>
      <c r="W1251" s="1" t="s">
        <v>25</v>
      </c>
    </row>
    <row r="1252" ht="15.75" customHeight="1">
      <c r="A1252" s="1" t="s">
        <v>1289</v>
      </c>
      <c r="B1252" s="1" t="s">
        <v>24</v>
      </c>
      <c r="C1252" s="1">
        <v>0.0</v>
      </c>
      <c r="D1252" s="1" t="s">
        <v>25</v>
      </c>
      <c r="E1252" s="1" t="s">
        <v>26</v>
      </c>
      <c r="F1252" s="1">
        <v>56.0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1">
        <v>103.2</v>
      </c>
      <c r="T1252" s="1">
        <v>5744.35</v>
      </c>
      <c r="U1252" s="1">
        <v>0.0</v>
      </c>
      <c r="V1252" s="1">
        <v>0.0</v>
      </c>
      <c r="W1252" s="1" t="s">
        <v>26</v>
      </c>
    </row>
    <row r="1253" ht="15.75" customHeight="1">
      <c r="A1253" s="1" t="s">
        <v>1290</v>
      </c>
      <c r="B1253" s="1" t="s">
        <v>24</v>
      </c>
      <c r="C1253" s="1">
        <v>0.0</v>
      </c>
      <c r="D1253" s="1" t="s">
        <v>26</v>
      </c>
      <c r="E1253" s="1" t="s">
        <v>26</v>
      </c>
      <c r="F1253" s="1">
        <v>1.0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1">
        <v>75.8</v>
      </c>
      <c r="T1253" s="1">
        <v>75.8</v>
      </c>
      <c r="U1253" s="1">
        <v>0.0</v>
      </c>
      <c r="V1253" s="1">
        <v>0.0</v>
      </c>
      <c r="W1253" s="1" t="s">
        <v>25</v>
      </c>
    </row>
    <row r="1254" ht="15.75" customHeight="1">
      <c r="A1254" s="1" t="s">
        <v>1291</v>
      </c>
      <c r="B1254" s="1" t="s">
        <v>32</v>
      </c>
      <c r="C1254" s="1">
        <v>0.0</v>
      </c>
      <c r="D1254" s="1" t="s">
        <v>26</v>
      </c>
      <c r="E1254" s="1" t="s">
        <v>26</v>
      </c>
      <c r="F1254" s="1">
        <v>1.0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1">
        <v>19.45</v>
      </c>
      <c r="T1254" s="1">
        <v>19.45</v>
      </c>
      <c r="U1254" s="1">
        <v>1.0</v>
      </c>
      <c r="V1254" s="1">
        <v>0.0</v>
      </c>
      <c r="W1254" s="1" t="s">
        <v>26</v>
      </c>
    </row>
    <row r="1255" ht="15.75" customHeight="1">
      <c r="A1255" s="1" t="s">
        <v>1292</v>
      </c>
      <c r="B1255" s="1" t="s">
        <v>24</v>
      </c>
      <c r="C1255" s="1">
        <v>0.0</v>
      </c>
      <c r="D1255" s="1" t="s">
        <v>26</v>
      </c>
      <c r="E1255" s="1" t="s">
        <v>26</v>
      </c>
      <c r="F1255" s="1">
        <v>7.0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1">
        <v>79.3</v>
      </c>
      <c r="T1255" s="1">
        <v>523.15</v>
      </c>
      <c r="U1255" s="1">
        <v>0.0</v>
      </c>
      <c r="V1255" s="1">
        <v>0.0</v>
      </c>
      <c r="W1255" s="1" t="s">
        <v>25</v>
      </c>
    </row>
    <row r="1256" ht="15.75" customHeight="1">
      <c r="A1256" s="1" t="s">
        <v>1293</v>
      </c>
      <c r="B1256" s="1" t="s">
        <v>24</v>
      </c>
      <c r="C1256" s="1">
        <v>1.0</v>
      </c>
      <c r="D1256" s="1" t="s">
        <v>25</v>
      </c>
      <c r="E1256" s="1" t="s">
        <v>26</v>
      </c>
      <c r="F1256" s="1">
        <v>55.0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1">
        <v>88.8</v>
      </c>
      <c r="T1256" s="1">
        <v>4805.3</v>
      </c>
      <c r="U1256" s="1">
        <v>0.0</v>
      </c>
      <c r="V1256" s="1">
        <v>0.0</v>
      </c>
      <c r="W1256" s="1" t="s">
        <v>26</v>
      </c>
    </row>
    <row r="1257" ht="15.75" customHeight="1">
      <c r="A1257" s="1" t="s">
        <v>1294</v>
      </c>
      <c r="B1257" s="1" t="s">
        <v>24</v>
      </c>
      <c r="C1257" s="1">
        <v>0.0</v>
      </c>
      <c r="D1257" s="1" t="s">
        <v>26</v>
      </c>
      <c r="E1257" s="1" t="s">
        <v>26</v>
      </c>
      <c r="F1257" s="1">
        <v>2.0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1">
        <v>30.9</v>
      </c>
      <c r="T1257" s="1">
        <v>59.05</v>
      </c>
      <c r="U1257" s="1">
        <v>0.0</v>
      </c>
      <c r="V1257" s="1">
        <v>0.0</v>
      </c>
      <c r="W1257" s="1" t="s">
        <v>25</v>
      </c>
    </row>
    <row r="1258" ht="15.75" customHeight="1">
      <c r="A1258" s="1" t="s">
        <v>1295</v>
      </c>
      <c r="B1258" s="1" t="s">
        <v>24</v>
      </c>
      <c r="C1258" s="1">
        <v>0.0</v>
      </c>
      <c r="D1258" s="1" t="s">
        <v>25</v>
      </c>
      <c r="E1258" s="1" t="s">
        <v>25</v>
      </c>
      <c r="F1258" s="1">
        <v>72.0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1">
        <v>85.9</v>
      </c>
      <c r="T1258" s="1">
        <v>6110.75</v>
      </c>
      <c r="U1258" s="1">
        <v>0.0</v>
      </c>
      <c r="V1258" s="1">
        <v>4.0</v>
      </c>
      <c r="W1258" s="1" t="s">
        <v>26</v>
      </c>
    </row>
    <row r="1259" ht="15.75" customHeight="1">
      <c r="A1259" s="1" t="s">
        <v>1296</v>
      </c>
      <c r="B1259" s="1" t="s">
        <v>24</v>
      </c>
      <c r="C1259" s="1">
        <v>1.0</v>
      </c>
      <c r="D1259" s="1" t="s">
        <v>26</v>
      </c>
      <c r="E1259" s="1" t="s">
        <v>26</v>
      </c>
      <c r="F1259" s="1">
        <v>45.0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1">
        <v>34.2</v>
      </c>
      <c r="T1259" s="1">
        <v>1596.6</v>
      </c>
      <c r="U1259" s="1">
        <v>0.0</v>
      </c>
      <c r="V1259" s="1">
        <v>0.0</v>
      </c>
      <c r="W1259" s="1" t="s">
        <v>26</v>
      </c>
    </row>
    <row r="1260" ht="15.75" customHeight="1">
      <c r="A1260" s="1" t="s">
        <v>1297</v>
      </c>
      <c r="B1260" s="1" t="s">
        <v>24</v>
      </c>
      <c r="C1260" s="1">
        <v>0.0</v>
      </c>
      <c r="D1260" s="1" t="s">
        <v>26</v>
      </c>
      <c r="E1260" s="1" t="s">
        <v>26</v>
      </c>
      <c r="F1260" s="1">
        <v>47.0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1">
        <v>20.15</v>
      </c>
      <c r="T1260" s="1">
        <v>1046.2</v>
      </c>
      <c r="U1260" s="1">
        <v>0.0</v>
      </c>
      <c r="V1260" s="1">
        <v>0.0</v>
      </c>
      <c r="W1260" s="1" t="s">
        <v>26</v>
      </c>
    </row>
    <row r="1261" ht="15.75" customHeight="1">
      <c r="A1261" s="1" t="s">
        <v>1298</v>
      </c>
      <c r="B1261" s="1" t="s">
        <v>24</v>
      </c>
      <c r="C1261" s="1">
        <v>1.0</v>
      </c>
      <c r="D1261" s="1" t="s">
        <v>26</v>
      </c>
      <c r="E1261" s="1" t="s">
        <v>26</v>
      </c>
      <c r="F1261" s="1">
        <v>46.0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1">
        <v>95.25</v>
      </c>
      <c r="T1261" s="1">
        <v>4424.2</v>
      </c>
      <c r="U1261" s="1">
        <v>0.0</v>
      </c>
      <c r="V1261" s="1">
        <v>6.0</v>
      </c>
      <c r="W1261" s="1" t="s">
        <v>25</v>
      </c>
    </row>
    <row r="1262" ht="15.75" customHeight="1">
      <c r="A1262" s="1" t="s">
        <v>1299</v>
      </c>
      <c r="B1262" s="1" t="s">
        <v>32</v>
      </c>
      <c r="C1262" s="1">
        <v>0.0</v>
      </c>
      <c r="D1262" s="1" t="s">
        <v>26</v>
      </c>
      <c r="E1262" s="1" t="s">
        <v>26</v>
      </c>
      <c r="F1262" s="1">
        <v>2.0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1">
        <v>50.3</v>
      </c>
      <c r="T1262" s="1">
        <v>92.75</v>
      </c>
      <c r="U1262" s="1">
        <v>0.0</v>
      </c>
      <c r="V1262" s="1">
        <v>0.0</v>
      </c>
      <c r="W1262" s="1" t="s">
        <v>26</v>
      </c>
    </row>
    <row r="1263" ht="15.75" customHeight="1">
      <c r="A1263" s="1" t="s">
        <v>1300</v>
      </c>
      <c r="B1263" s="1" t="s">
        <v>24</v>
      </c>
      <c r="C1263" s="1">
        <v>0.0</v>
      </c>
      <c r="D1263" s="1" t="s">
        <v>25</v>
      </c>
      <c r="E1263" s="1" t="s">
        <v>26</v>
      </c>
      <c r="F1263" s="1">
        <v>2.0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1">
        <v>80.15</v>
      </c>
      <c r="T1263" s="1">
        <v>194.55</v>
      </c>
      <c r="U1263" s="1">
        <v>0.0</v>
      </c>
      <c r="V1263" s="1">
        <v>0.0</v>
      </c>
      <c r="W1263" s="1" t="s">
        <v>26</v>
      </c>
    </row>
    <row r="1264" ht="15.75" customHeight="1">
      <c r="A1264" s="1" t="s">
        <v>1301</v>
      </c>
      <c r="B1264" s="1" t="s">
        <v>24</v>
      </c>
      <c r="C1264" s="1">
        <v>0.0</v>
      </c>
      <c r="D1264" s="1" t="s">
        <v>25</v>
      </c>
      <c r="E1264" s="1" t="s">
        <v>26</v>
      </c>
      <c r="F1264" s="1">
        <v>12.0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1">
        <v>51.25</v>
      </c>
      <c r="T1264" s="1">
        <v>612.1</v>
      </c>
      <c r="U1264" s="1">
        <v>0.0</v>
      </c>
      <c r="V1264" s="1">
        <v>0.0</v>
      </c>
      <c r="W1264" s="1" t="s">
        <v>26</v>
      </c>
    </row>
    <row r="1265" ht="15.75" customHeight="1">
      <c r="A1265" s="1" t="s">
        <v>1302</v>
      </c>
      <c r="B1265" s="1" t="s">
        <v>24</v>
      </c>
      <c r="C1265" s="1">
        <v>1.0</v>
      </c>
      <c r="D1265" s="1" t="s">
        <v>25</v>
      </c>
      <c r="E1265" s="1" t="s">
        <v>26</v>
      </c>
      <c r="F1265" s="1">
        <v>68.0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1">
        <v>89.6</v>
      </c>
      <c r="T1265" s="1">
        <v>6127.6</v>
      </c>
      <c r="U1265" s="1">
        <v>0.0</v>
      </c>
      <c r="V1265" s="1">
        <v>6.0</v>
      </c>
      <c r="W1265" s="1" t="s">
        <v>25</v>
      </c>
    </row>
    <row r="1266" ht="15.75" customHeight="1">
      <c r="A1266" s="1" t="s">
        <v>1303</v>
      </c>
      <c r="B1266" s="1" t="s">
        <v>32</v>
      </c>
      <c r="C1266" s="1">
        <v>0.0</v>
      </c>
      <c r="D1266" s="1" t="s">
        <v>25</v>
      </c>
      <c r="E1266" s="1" t="s">
        <v>25</v>
      </c>
      <c r="F1266" s="1">
        <v>69.0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1">
        <v>95.2</v>
      </c>
      <c r="T1266" s="1">
        <v>6671.7</v>
      </c>
      <c r="U1266" s="1">
        <v>5.0</v>
      </c>
      <c r="V1266" s="1">
        <v>5.0</v>
      </c>
      <c r="W1266" s="1" t="s">
        <v>26</v>
      </c>
    </row>
    <row r="1267" ht="15.75" customHeight="1">
      <c r="A1267" s="1" t="s">
        <v>1304</v>
      </c>
      <c r="B1267" s="1" t="s">
        <v>32</v>
      </c>
      <c r="C1267" s="1">
        <v>1.0</v>
      </c>
      <c r="D1267" s="1" t="s">
        <v>26</v>
      </c>
      <c r="E1267" s="1" t="s">
        <v>25</v>
      </c>
      <c r="F1267" s="1">
        <v>56.0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1">
        <v>94.8</v>
      </c>
      <c r="T1267" s="1">
        <v>5264.3</v>
      </c>
      <c r="U1267" s="1">
        <v>0.0</v>
      </c>
      <c r="V1267" s="1">
        <v>0.0</v>
      </c>
      <c r="W1267" s="1" t="s">
        <v>26</v>
      </c>
    </row>
    <row r="1268" ht="15.75" customHeight="1">
      <c r="A1268" s="1" t="s">
        <v>1305</v>
      </c>
      <c r="B1268" s="1" t="s">
        <v>24</v>
      </c>
      <c r="C1268" s="1">
        <v>1.0</v>
      </c>
      <c r="D1268" s="1" t="s">
        <v>26</v>
      </c>
      <c r="E1268" s="1" t="s">
        <v>26</v>
      </c>
      <c r="F1268" s="1">
        <v>4.0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1">
        <v>80.25</v>
      </c>
      <c r="T1268" s="1">
        <v>303.7</v>
      </c>
      <c r="U1268" s="1">
        <v>0.0</v>
      </c>
      <c r="V1268" s="1">
        <v>0.0</v>
      </c>
      <c r="W1268" s="1" t="s">
        <v>26</v>
      </c>
    </row>
    <row r="1269" ht="15.75" customHeight="1">
      <c r="A1269" s="1" t="s">
        <v>1306</v>
      </c>
      <c r="B1269" s="1" t="s">
        <v>32</v>
      </c>
      <c r="C1269" s="1">
        <v>0.0</v>
      </c>
      <c r="D1269" s="1" t="s">
        <v>25</v>
      </c>
      <c r="E1269" s="1" t="s">
        <v>26</v>
      </c>
      <c r="F1269" s="1">
        <v>64.0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1">
        <v>76.1</v>
      </c>
      <c r="T1269" s="1">
        <v>4818.8</v>
      </c>
      <c r="U1269" s="1">
        <v>0.0</v>
      </c>
      <c r="V1269" s="1">
        <v>0.0</v>
      </c>
      <c r="W1269" s="1" t="s">
        <v>26</v>
      </c>
    </row>
    <row r="1270" ht="15.75" customHeight="1">
      <c r="A1270" s="1" t="s">
        <v>1307</v>
      </c>
      <c r="B1270" s="1" t="s">
        <v>32</v>
      </c>
      <c r="C1270" s="1">
        <v>0.0</v>
      </c>
      <c r="D1270" s="1" t="s">
        <v>25</v>
      </c>
      <c r="E1270" s="1" t="s">
        <v>26</v>
      </c>
      <c r="F1270" s="1">
        <v>59.0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1">
        <v>110.15</v>
      </c>
      <c r="T1270" s="1">
        <v>6448.05</v>
      </c>
      <c r="U1270" s="1">
        <v>0.0</v>
      </c>
      <c r="V1270" s="1">
        <v>6.0</v>
      </c>
      <c r="W1270" s="1" t="s">
        <v>25</v>
      </c>
    </row>
    <row r="1271" ht="15.75" customHeight="1">
      <c r="A1271" s="1" t="s">
        <v>1308</v>
      </c>
      <c r="B1271" s="1" t="s">
        <v>32</v>
      </c>
      <c r="C1271" s="1">
        <v>0.0</v>
      </c>
      <c r="D1271" s="1" t="s">
        <v>25</v>
      </c>
      <c r="E1271" s="1" t="s">
        <v>25</v>
      </c>
      <c r="F1271" s="1">
        <v>62.0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1">
        <v>115.55</v>
      </c>
      <c r="T1271" s="1">
        <v>7159.05</v>
      </c>
      <c r="U1271" s="1">
        <v>0.0</v>
      </c>
      <c r="V1271" s="1">
        <v>0.0</v>
      </c>
      <c r="W1271" s="1" t="s">
        <v>26</v>
      </c>
    </row>
    <row r="1272" ht="15.75" customHeight="1">
      <c r="A1272" s="1" t="s">
        <v>1309</v>
      </c>
      <c r="B1272" s="1" t="s">
        <v>32</v>
      </c>
      <c r="C1272" s="1">
        <v>0.0</v>
      </c>
      <c r="D1272" s="1" t="s">
        <v>25</v>
      </c>
      <c r="E1272" s="1" t="s">
        <v>25</v>
      </c>
      <c r="F1272" s="1">
        <v>63.0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1">
        <v>24.65</v>
      </c>
      <c r="T1272" s="1">
        <v>1574.5</v>
      </c>
      <c r="U1272" s="1">
        <v>0.0</v>
      </c>
      <c r="V1272" s="1">
        <v>0.0</v>
      </c>
      <c r="W1272" s="1" t="s">
        <v>26</v>
      </c>
    </row>
    <row r="1273" ht="15.75" customHeight="1">
      <c r="A1273" s="1" t="s">
        <v>1310</v>
      </c>
      <c r="B1273" s="1" t="s">
        <v>24</v>
      </c>
      <c r="C1273" s="1">
        <v>0.0</v>
      </c>
      <c r="D1273" s="1" t="s">
        <v>26</v>
      </c>
      <c r="E1273" s="1" t="s">
        <v>26</v>
      </c>
      <c r="F1273" s="1">
        <v>53.0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1">
        <v>53.6</v>
      </c>
      <c r="T1273" s="1">
        <v>2879.2</v>
      </c>
      <c r="U1273" s="1">
        <v>0.0</v>
      </c>
      <c r="V1273" s="1">
        <v>0.0</v>
      </c>
      <c r="W1273" s="1" t="s">
        <v>26</v>
      </c>
    </row>
    <row r="1274" ht="15.75" customHeight="1">
      <c r="A1274" s="1" t="s">
        <v>1311</v>
      </c>
      <c r="B1274" s="1" t="s">
        <v>32</v>
      </c>
      <c r="C1274" s="1">
        <v>0.0</v>
      </c>
      <c r="D1274" s="1" t="s">
        <v>25</v>
      </c>
      <c r="E1274" s="1" t="s">
        <v>25</v>
      </c>
      <c r="F1274" s="1">
        <v>5.0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1">
        <v>19.45</v>
      </c>
      <c r="T1274" s="1">
        <v>86.05</v>
      </c>
      <c r="U1274" s="1">
        <v>0.0</v>
      </c>
      <c r="V1274" s="1">
        <v>0.0</v>
      </c>
      <c r="W1274" s="1" t="s">
        <v>26</v>
      </c>
    </row>
    <row r="1275" ht="15.75" customHeight="1">
      <c r="A1275" s="1" t="s">
        <v>1312</v>
      </c>
      <c r="B1275" s="1" t="s">
        <v>32</v>
      </c>
      <c r="C1275" s="1">
        <v>1.0</v>
      </c>
      <c r="D1275" s="1" t="s">
        <v>25</v>
      </c>
      <c r="E1275" s="1" t="s">
        <v>26</v>
      </c>
      <c r="F1275" s="1">
        <v>49.0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1">
        <v>88.2</v>
      </c>
      <c r="T1275" s="1">
        <v>4159.45</v>
      </c>
      <c r="U1275" s="1">
        <v>0.0</v>
      </c>
      <c r="V1275" s="1">
        <v>0.0</v>
      </c>
      <c r="W1275" s="1" t="s">
        <v>26</v>
      </c>
    </row>
    <row r="1276" ht="15.75" customHeight="1">
      <c r="A1276" s="1" t="s">
        <v>1313</v>
      </c>
      <c r="B1276" s="1" t="s">
        <v>24</v>
      </c>
      <c r="C1276" s="1">
        <v>0.0</v>
      </c>
      <c r="D1276" s="1" t="s">
        <v>25</v>
      </c>
      <c r="E1276" s="1" t="s">
        <v>25</v>
      </c>
      <c r="F1276" s="1">
        <v>62.0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1">
        <v>101.15</v>
      </c>
      <c r="T1276" s="1">
        <v>6638.35</v>
      </c>
      <c r="U1276" s="1">
        <v>0.0</v>
      </c>
      <c r="V1276" s="1">
        <v>0.0</v>
      </c>
      <c r="W1276" s="1" t="s">
        <v>26</v>
      </c>
    </row>
    <row r="1277" ht="15.75" customHeight="1">
      <c r="A1277" s="1" t="s">
        <v>1314</v>
      </c>
      <c r="B1277" s="1" t="s">
        <v>24</v>
      </c>
      <c r="C1277" s="1">
        <v>0.0</v>
      </c>
      <c r="D1277" s="1" t="s">
        <v>25</v>
      </c>
      <c r="E1277" s="1" t="s">
        <v>26</v>
      </c>
      <c r="F1277" s="1">
        <v>55.0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1">
        <v>56.8</v>
      </c>
      <c r="T1277" s="1">
        <v>3112.05</v>
      </c>
      <c r="U1277" s="1">
        <v>4.0</v>
      </c>
      <c r="V1277" s="1">
        <v>0.0</v>
      </c>
      <c r="W1277" s="1" t="s">
        <v>26</v>
      </c>
    </row>
    <row r="1278" ht="15.75" customHeight="1">
      <c r="A1278" s="1" t="s">
        <v>1315</v>
      </c>
      <c r="B1278" s="1" t="s">
        <v>24</v>
      </c>
      <c r="C1278" s="1">
        <v>1.0</v>
      </c>
      <c r="D1278" s="1" t="s">
        <v>25</v>
      </c>
      <c r="E1278" s="1" t="s">
        <v>26</v>
      </c>
      <c r="F1278" s="1">
        <v>71.0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1">
        <v>99.4</v>
      </c>
      <c r="T1278" s="1">
        <v>7168.25</v>
      </c>
      <c r="U1278" s="1">
        <v>0.0</v>
      </c>
      <c r="V1278" s="1">
        <v>0.0</v>
      </c>
      <c r="W1278" s="1" t="s">
        <v>26</v>
      </c>
    </row>
    <row r="1279" ht="15.75" customHeight="1">
      <c r="A1279" s="1" t="s">
        <v>1316</v>
      </c>
      <c r="B1279" s="1" t="s">
        <v>24</v>
      </c>
      <c r="C1279" s="1">
        <v>0.0</v>
      </c>
      <c r="D1279" s="1" t="s">
        <v>25</v>
      </c>
      <c r="E1279" s="1" t="s">
        <v>25</v>
      </c>
      <c r="F1279" s="1">
        <v>72.0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1">
        <v>20.1</v>
      </c>
      <c r="T1279" s="1">
        <v>1326.25</v>
      </c>
      <c r="U1279" s="1">
        <v>0.0</v>
      </c>
      <c r="V1279" s="1">
        <v>0.0</v>
      </c>
      <c r="W1279" s="1" t="s">
        <v>26</v>
      </c>
    </row>
    <row r="1280" ht="15.75" customHeight="1">
      <c r="A1280" s="1" t="s">
        <v>1317</v>
      </c>
      <c r="B1280" s="1" t="s">
        <v>32</v>
      </c>
      <c r="C1280" s="1">
        <v>0.0</v>
      </c>
      <c r="D1280" s="1" t="s">
        <v>25</v>
      </c>
      <c r="E1280" s="1" t="s">
        <v>25</v>
      </c>
      <c r="F1280" s="1">
        <v>36.0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1">
        <v>60.7</v>
      </c>
      <c r="T1280" s="1">
        <v>2234.55</v>
      </c>
      <c r="U1280" s="1">
        <v>0.0</v>
      </c>
      <c r="V1280" s="1">
        <v>0.0</v>
      </c>
      <c r="W1280" s="1" t="s">
        <v>26</v>
      </c>
    </row>
    <row r="1281" ht="15.75" customHeight="1">
      <c r="A1281" s="1" t="s">
        <v>1318</v>
      </c>
      <c r="B1281" s="1" t="s">
        <v>32</v>
      </c>
      <c r="C1281" s="1">
        <v>0.0</v>
      </c>
      <c r="D1281" s="1" t="s">
        <v>25</v>
      </c>
      <c r="E1281" s="1" t="s">
        <v>26</v>
      </c>
      <c r="F1281" s="1">
        <v>25.0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1">
        <v>20.95</v>
      </c>
      <c r="T1281" s="1">
        <v>495.15</v>
      </c>
      <c r="U1281" s="1">
        <v>5.0</v>
      </c>
      <c r="V1281" s="1">
        <v>0.0</v>
      </c>
      <c r="W1281" s="1" t="s">
        <v>26</v>
      </c>
    </row>
    <row r="1282" ht="15.75" customHeight="1">
      <c r="A1282" s="1" t="s">
        <v>1319</v>
      </c>
      <c r="B1282" s="1" t="s">
        <v>24</v>
      </c>
      <c r="C1282" s="1">
        <v>1.0</v>
      </c>
      <c r="D1282" s="1" t="s">
        <v>25</v>
      </c>
      <c r="E1282" s="1" t="s">
        <v>26</v>
      </c>
      <c r="F1282" s="1">
        <v>72.0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1">
        <v>114.85</v>
      </c>
      <c r="T1282" s="1">
        <v>8317.95</v>
      </c>
      <c r="U1282" s="1">
        <v>0.0</v>
      </c>
      <c r="V1282" s="1">
        <v>0.0</v>
      </c>
      <c r="W1282" s="1" t="s">
        <v>26</v>
      </c>
    </row>
    <row r="1283" ht="15.75" customHeight="1">
      <c r="A1283" s="1" t="s">
        <v>1320</v>
      </c>
      <c r="B1283" s="1" t="s">
        <v>24</v>
      </c>
      <c r="C1283" s="1">
        <v>0.0</v>
      </c>
      <c r="D1283" s="1" t="s">
        <v>26</v>
      </c>
      <c r="E1283" s="1" t="s">
        <v>26</v>
      </c>
      <c r="F1283" s="1">
        <v>36.0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1">
        <v>19.25</v>
      </c>
      <c r="T1283" s="1">
        <v>679.8</v>
      </c>
      <c r="U1283" s="1">
        <v>0.0</v>
      </c>
      <c r="V1283" s="1">
        <v>2.0</v>
      </c>
      <c r="W1283" s="1" t="s">
        <v>26</v>
      </c>
    </row>
    <row r="1284" ht="15.75" customHeight="1">
      <c r="A1284" s="1" t="s">
        <v>1321</v>
      </c>
      <c r="B1284" s="1" t="s">
        <v>32</v>
      </c>
      <c r="C1284" s="1">
        <v>0.0</v>
      </c>
      <c r="D1284" s="1" t="s">
        <v>26</v>
      </c>
      <c r="E1284" s="1" t="s">
        <v>26</v>
      </c>
      <c r="F1284" s="1">
        <v>1.0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1">
        <v>62.8</v>
      </c>
      <c r="T1284" s="1">
        <v>62.8</v>
      </c>
      <c r="U1284" s="1">
        <v>2.0</v>
      </c>
      <c r="V1284" s="1">
        <v>0.0</v>
      </c>
      <c r="W1284" s="1" t="s">
        <v>26</v>
      </c>
    </row>
    <row r="1285" ht="15.75" customHeight="1">
      <c r="A1285" s="1" t="s">
        <v>1322</v>
      </c>
      <c r="B1285" s="1" t="s">
        <v>24</v>
      </c>
      <c r="C1285" s="1">
        <v>0.0</v>
      </c>
      <c r="D1285" s="1" t="s">
        <v>25</v>
      </c>
      <c r="E1285" s="1" t="s">
        <v>26</v>
      </c>
      <c r="F1285" s="1">
        <v>72.0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1">
        <v>105.5</v>
      </c>
      <c r="T1285" s="1">
        <v>7544.0</v>
      </c>
      <c r="U1285" s="1">
        <v>0.0</v>
      </c>
      <c r="V1285" s="1">
        <v>0.0</v>
      </c>
      <c r="W1285" s="1" t="s">
        <v>26</v>
      </c>
    </row>
    <row r="1286" ht="15.75" customHeight="1">
      <c r="A1286" s="1" t="s">
        <v>1323</v>
      </c>
      <c r="B1286" s="1" t="s">
        <v>32</v>
      </c>
      <c r="C1286" s="1">
        <v>0.0</v>
      </c>
      <c r="D1286" s="1" t="s">
        <v>25</v>
      </c>
      <c r="E1286" s="1" t="s">
        <v>25</v>
      </c>
      <c r="F1286" s="1">
        <v>59.0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1">
        <v>19.85</v>
      </c>
      <c r="T1286" s="1">
        <v>1188.25</v>
      </c>
      <c r="U1286" s="1">
        <v>0.0</v>
      </c>
      <c r="V1286" s="1">
        <v>1.0</v>
      </c>
      <c r="W1286" s="1" t="s">
        <v>26</v>
      </c>
    </row>
    <row r="1287" ht="15.75" customHeight="1">
      <c r="A1287" s="1" t="s">
        <v>1324</v>
      </c>
      <c r="B1287" s="1" t="s">
        <v>32</v>
      </c>
      <c r="C1287" s="1">
        <v>1.0</v>
      </c>
      <c r="D1287" s="1" t="s">
        <v>25</v>
      </c>
      <c r="E1287" s="1" t="s">
        <v>26</v>
      </c>
      <c r="F1287" s="1">
        <v>7.0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1">
        <v>89.5</v>
      </c>
      <c r="T1287" s="1">
        <v>676.7</v>
      </c>
      <c r="U1287" s="1">
        <v>0.0</v>
      </c>
      <c r="V1287" s="1">
        <v>2.0</v>
      </c>
      <c r="W1287" s="1" t="s">
        <v>25</v>
      </c>
    </row>
    <row r="1288" ht="15.75" customHeight="1">
      <c r="A1288" s="1" t="s">
        <v>1325</v>
      </c>
      <c r="B1288" s="1" t="s">
        <v>24</v>
      </c>
      <c r="C1288" s="1">
        <v>0.0</v>
      </c>
      <c r="D1288" s="1" t="s">
        <v>26</v>
      </c>
      <c r="E1288" s="1" t="s">
        <v>26</v>
      </c>
      <c r="F1288" s="1">
        <v>1.0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1">
        <v>74.1</v>
      </c>
      <c r="T1288" s="1">
        <v>74.1</v>
      </c>
      <c r="U1288" s="1">
        <v>0.0</v>
      </c>
      <c r="V1288" s="1">
        <v>0.0</v>
      </c>
      <c r="W1288" s="1" t="s">
        <v>26</v>
      </c>
    </row>
    <row r="1289" ht="15.75" customHeight="1">
      <c r="A1289" s="1" t="s">
        <v>1326</v>
      </c>
      <c r="B1289" s="1" t="s">
        <v>24</v>
      </c>
      <c r="C1289" s="1">
        <v>0.0</v>
      </c>
      <c r="D1289" s="1" t="s">
        <v>25</v>
      </c>
      <c r="E1289" s="1" t="s">
        <v>25</v>
      </c>
      <c r="F1289" s="1">
        <v>30.0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1">
        <v>107.5</v>
      </c>
      <c r="T1289" s="1">
        <v>3242.5</v>
      </c>
      <c r="U1289" s="1">
        <v>4.0</v>
      </c>
      <c r="V1289" s="1">
        <v>0.0</v>
      </c>
      <c r="W1289" s="1" t="s">
        <v>26</v>
      </c>
    </row>
    <row r="1290" ht="15.75" customHeight="1">
      <c r="A1290" s="1" t="s">
        <v>1327</v>
      </c>
      <c r="B1290" s="1" t="s">
        <v>32</v>
      </c>
      <c r="C1290" s="1">
        <v>0.0</v>
      </c>
      <c r="D1290" s="1" t="s">
        <v>26</v>
      </c>
      <c r="E1290" s="1" t="s">
        <v>26</v>
      </c>
      <c r="F1290" s="1">
        <v>64.0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1">
        <v>19.55</v>
      </c>
      <c r="T1290" s="1">
        <v>1240.15</v>
      </c>
      <c r="U1290" s="1">
        <v>3.0</v>
      </c>
      <c r="V1290" s="1">
        <v>0.0</v>
      </c>
      <c r="W1290" s="1" t="s">
        <v>26</v>
      </c>
    </row>
    <row r="1291" ht="15.75" customHeight="1">
      <c r="A1291" s="1" t="s">
        <v>1328</v>
      </c>
      <c r="B1291" s="1" t="s">
        <v>32</v>
      </c>
      <c r="C1291" s="1">
        <v>0.0</v>
      </c>
      <c r="D1291" s="1" t="s">
        <v>26</v>
      </c>
      <c r="E1291" s="1" t="s">
        <v>26</v>
      </c>
      <c r="F1291" s="1">
        <v>63.0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1">
        <v>68.8</v>
      </c>
      <c r="T1291" s="1">
        <v>4111.35</v>
      </c>
      <c r="U1291" s="1">
        <v>0.0</v>
      </c>
      <c r="V1291" s="1">
        <v>0.0</v>
      </c>
      <c r="W1291" s="1" t="s">
        <v>26</v>
      </c>
    </row>
    <row r="1292" ht="15.75" customHeight="1">
      <c r="A1292" s="1" t="s">
        <v>1329</v>
      </c>
      <c r="B1292" s="1" t="s">
        <v>32</v>
      </c>
      <c r="C1292" s="1">
        <v>1.0</v>
      </c>
      <c r="D1292" s="1" t="s">
        <v>25</v>
      </c>
      <c r="E1292" s="1" t="s">
        <v>26</v>
      </c>
      <c r="F1292" s="1">
        <v>72.0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1">
        <v>84.45</v>
      </c>
      <c r="T1292" s="1">
        <v>5899.85</v>
      </c>
      <c r="U1292" s="1">
        <v>0.0</v>
      </c>
      <c r="V1292" s="1">
        <v>0.0</v>
      </c>
      <c r="W1292" s="1" t="s">
        <v>26</v>
      </c>
    </row>
    <row r="1293" ht="15.75" customHeight="1">
      <c r="A1293" s="1" t="s">
        <v>1330</v>
      </c>
      <c r="B1293" s="1" t="s">
        <v>32</v>
      </c>
      <c r="C1293" s="1">
        <v>0.0</v>
      </c>
      <c r="D1293" s="1" t="s">
        <v>25</v>
      </c>
      <c r="E1293" s="1" t="s">
        <v>26</v>
      </c>
      <c r="F1293" s="1">
        <v>8.0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1">
        <v>75.0</v>
      </c>
      <c r="T1293" s="1">
        <v>632.95</v>
      </c>
      <c r="U1293" s="1">
        <v>2.0</v>
      </c>
      <c r="V1293" s="1">
        <v>0.0</v>
      </c>
      <c r="W1293" s="1" t="s">
        <v>25</v>
      </c>
    </row>
    <row r="1294" ht="15.75" customHeight="1">
      <c r="A1294" s="1" t="s">
        <v>1331</v>
      </c>
      <c r="B1294" s="1" t="s">
        <v>24</v>
      </c>
      <c r="C1294" s="1">
        <v>0.0</v>
      </c>
      <c r="D1294" s="1" t="s">
        <v>26</v>
      </c>
      <c r="E1294" s="1" t="s">
        <v>26</v>
      </c>
      <c r="F1294" s="1">
        <v>62.0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1">
        <v>84.5</v>
      </c>
      <c r="T1294" s="1">
        <v>5193.2</v>
      </c>
      <c r="U1294" s="1">
        <v>1.0</v>
      </c>
      <c r="V1294" s="1">
        <v>0.0</v>
      </c>
      <c r="W1294" s="1" t="s">
        <v>26</v>
      </c>
    </row>
    <row r="1295" ht="15.75" customHeight="1">
      <c r="A1295" s="1" t="s">
        <v>1332</v>
      </c>
      <c r="B1295" s="1" t="s">
        <v>32</v>
      </c>
      <c r="C1295" s="1">
        <v>0.0</v>
      </c>
      <c r="D1295" s="1" t="s">
        <v>25</v>
      </c>
      <c r="E1295" s="1" t="s">
        <v>25</v>
      </c>
      <c r="F1295" s="1">
        <v>67.0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1">
        <v>111.2</v>
      </c>
      <c r="T1295" s="1">
        <v>7530.8</v>
      </c>
      <c r="U1295" s="1">
        <v>0.0</v>
      </c>
      <c r="V1295" s="1">
        <v>0.0</v>
      </c>
      <c r="W1295" s="1" t="s">
        <v>26</v>
      </c>
    </row>
    <row r="1296" ht="15.75" customHeight="1">
      <c r="A1296" s="1" t="s">
        <v>1333</v>
      </c>
      <c r="B1296" s="1" t="s">
        <v>32</v>
      </c>
      <c r="C1296" s="1">
        <v>0.0</v>
      </c>
      <c r="D1296" s="1" t="s">
        <v>26</v>
      </c>
      <c r="E1296" s="1" t="s">
        <v>26</v>
      </c>
      <c r="F1296" s="1">
        <v>6.0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1">
        <v>44.75</v>
      </c>
      <c r="T1296" s="1">
        <v>270.95</v>
      </c>
      <c r="U1296" s="1">
        <v>0.0</v>
      </c>
      <c r="V1296" s="1">
        <v>0.0</v>
      </c>
      <c r="W1296" s="1" t="s">
        <v>25</v>
      </c>
    </row>
    <row r="1297" ht="15.75" customHeight="1">
      <c r="A1297" s="1" t="s">
        <v>1334</v>
      </c>
      <c r="B1297" s="1" t="s">
        <v>24</v>
      </c>
      <c r="C1297" s="1">
        <v>0.0</v>
      </c>
      <c r="D1297" s="1" t="s">
        <v>25</v>
      </c>
      <c r="E1297" s="1" t="s">
        <v>25</v>
      </c>
      <c r="F1297" s="1">
        <v>70.0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1">
        <v>80.6</v>
      </c>
      <c r="T1297" s="1">
        <v>5460.2</v>
      </c>
      <c r="U1297" s="1">
        <v>0.0</v>
      </c>
      <c r="V1297" s="1">
        <v>0.0</v>
      </c>
      <c r="W1297" s="1" t="s">
        <v>26</v>
      </c>
    </row>
    <row r="1298" ht="15.75" customHeight="1">
      <c r="A1298" s="1" t="s">
        <v>1335</v>
      </c>
      <c r="B1298" s="1" t="s">
        <v>24</v>
      </c>
      <c r="C1298" s="1">
        <v>1.0</v>
      </c>
      <c r="D1298" s="1" t="s">
        <v>26</v>
      </c>
      <c r="E1298" s="1" t="s">
        <v>26</v>
      </c>
      <c r="F1298" s="1">
        <v>20.0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1">
        <v>80.7</v>
      </c>
      <c r="T1298" s="1">
        <v>1614.2</v>
      </c>
      <c r="U1298" s="1">
        <v>2.0</v>
      </c>
      <c r="V1298" s="1">
        <v>0.0</v>
      </c>
      <c r="W1298" s="1" t="s">
        <v>26</v>
      </c>
    </row>
    <row r="1299" ht="15.75" customHeight="1">
      <c r="A1299" s="1" t="s">
        <v>1336</v>
      </c>
      <c r="B1299" s="1" t="s">
        <v>24</v>
      </c>
      <c r="C1299" s="1">
        <v>0.0</v>
      </c>
      <c r="D1299" s="1" t="s">
        <v>26</v>
      </c>
      <c r="E1299" s="1" t="s">
        <v>26</v>
      </c>
      <c r="F1299" s="1">
        <v>5.0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1">
        <v>75.6</v>
      </c>
      <c r="T1299" s="1">
        <v>402.5</v>
      </c>
      <c r="U1299" s="1">
        <v>0.0</v>
      </c>
      <c r="V1299" s="1">
        <v>0.0</v>
      </c>
      <c r="W1299" s="1" t="s">
        <v>26</v>
      </c>
    </row>
    <row r="1300" ht="15.75" customHeight="1">
      <c r="A1300" s="1" t="s">
        <v>1337</v>
      </c>
      <c r="B1300" s="1" t="s">
        <v>24</v>
      </c>
      <c r="C1300" s="1">
        <v>0.0</v>
      </c>
      <c r="D1300" s="1" t="s">
        <v>25</v>
      </c>
      <c r="E1300" s="1" t="s">
        <v>25</v>
      </c>
      <c r="F1300" s="1">
        <v>24.0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1">
        <v>57.6</v>
      </c>
      <c r="T1300" s="1">
        <v>1367.75</v>
      </c>
      <c r="U1300" s="1">
        <v>1.0</v>
      </c>
      <c r="V1300" s="1">
        <v>0.0</v>
      </c>
      <c r="W1300" s="1" t="s">
        <v>26</v>
      </c>
    </row>
    <row r="1301" ht="15.75" customHeight="1">
      <c r="A1301" s="1" t="s">
        <v>1338</v>
      </c>
      <c r="B1301" s="1" t="s">
        <v>24</v>
      </c>
      <c r="C1301" s="1">
        <v>0.0</v>
      </c>
      <c r="D1301" s="1" t="s">
        <v>25</v>
      </c>
      <c r="E1301" s="1" t="s">
        <v>26</v>
      </c>
      <c r="F1301" s="1">
        <v>11.0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1">
        <v>44.05</v>
      </c>
      <c r="T1301" s="1">
        <v>483.7</v>
      </c>
      <c r="U1301" s="1">
        <v>0.0</v>
      </c>
      <c r="V1301" s="1">
        <v>0.0</v>
      </c>
      <c r="W1301" s="1" t="s">
        <v>25</v>
      </c>
    </row>
    <row r="1302" ht="15.75" customHeight="1">
      <c r="A1302" s="1" t="s">
        <v>1339</v>
      </c>
      <c r="B1302" s="1" t="s">
        <v>32</v>
      </c>
      <c r="C1302" s="1">
        <v>0.0</v>
      </c>
      <c r="D1302" s="1" t="s">
        <v>25</v>
      </c>
      <c r="E1302" s="1" t="s">
        <v>26</v>
      </c>
      <c r="F1302" s="1">
        <v>72.0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1">
        <v>110.6</v>
      </c>
      <c r="T1302" s="1">
        <v>7962.2</v>
      </c>
      <c r="U1302" s="1">
        <v>0.0</v>
      </c>
      <c r="V1302" s="1">
        <v>0.0</v>
      </c>
      <c r="W1302" s="1" t="s">
        <v>26</v>
      </c>
    </row>
    <row r="1303" ht="15.75" customHeight="1">
      <c r="A1303" s="1" t="s">
        <v>1340</v>
      </c>
      <c r="B1303" s="1" t="s">
        <v>24</v>
      </c>
      <c r="C1303" s="1">
        <v>0.0</v>
      </c>
      <c r="D1303" s="1" t="s">
        <v>25</v>
      </c>
      <c r="E1303" s="1" t="s">
        <v>25</v>
      </c>
      <c r="F1303" s="1">
        <v>66.0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1">
        <v>58.2</v>
      </c>
      <c r="T1303" s="1">
        <v>3810.8</v>
      </c>
      <c r="U1303" s="1">
        <v>0.0</v>
      </c>
      <c r="V1303" s="1">
        <v>6.0</v>
      </c>
      <c r="W1303" s="1" t="s">
        <v>26</v>
      </c>
    </row>
    <row r="1304" ht="15.75" customHeight="1">
      <c r="A1304" s="1" t="s">
        <v>1341</v>
      </c>
      <c r="B1304" s="1" t="s">
        <v>24</v>
      </c>
      <c r="C1304" s="1">
        <v>0.0</v>
      </c>
      <c r="D1304" s="1" t="s">
        <v>25</v>
      </c>
      <c r="E1304" s="1" t="s">
        <v>25</v>
      </c>
      <c r="F1304" s="1">
        <v>45.0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1">
        <v>81.0</v>
      </c>
      <c r="T1304" s="1">
        <v>3533.6</v>
      </c>
      <c r="U1304" s="1">
        <v>0.0</v>
      </c>
      <c r="V1304" s="1">
        <v>0.0</v>
      </c>
      <c r="W1304" s="1" t="s">
        <v>26</v>
      </c>
    </row>
    <row r="1305" ht="15.75" customHeight="1">
      <c r="A1305" s="1" t="s">
        <v>1342</v>
      </c>
      <c r="B1305" s="1" t="s">
        <v>24</v>
      </c>
      <c r="C1305" s="1">
        <v>0.0</v>
      </c>
      <c r="D1305" s="1" t="s">
        <v>25</v>
      </c>
      <c r="E1305" s="1" t="s">
        <v>25</v>
      </c>
      <c r="F1305" s="1">
        <v>69.0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1">
        <v>19.7</v>
      </c>
      <c r="T1305" s="1">
        <v>1396.9</v>
      </c>
      <c r="U1305" s="1">
        <v>0.0</v>
      </c>
      <c r="V1305" s="1">
        <v>0.0</v>
      </c>
      <c r="W1305" s="1" t="s">
        <v>26</v>
      </c>
    </row>
    <row r="1306" ht="15.75" customHeight="1">
      <c r="A1306" s="1" t="s">
        <v>1343</v>
      </c>
      <c r="B1306" s="1" t="s">
        <v>32</v>
      </c>
      <c r="C1306" s="1">
        <v>1.0</v>
      </c>
      <c r="D1306" s="1" t="s">
        <v>25</v>
      </c>
      <c r="E1306" s="1" t="s">
        <v>26</v>
      </c>
      <c r="F1306" s="1">
        <v>15.0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1">
        <v>85.6</v>
      </c>
      <c r="T1306" s="1">
        <v>1345.55</v>
      </c>
      <c r="U1306" s="1">
        <v>0.0</v>
      </c>
      <c r="V1306" s="1">
        <v>0.0</v>
      </c>
      <c r="W1306" s="1" t="s">
        <v>25</v>
      </c>
    </row>
    <row r="1307" ht="15.75" customHeight="1">
      <c r="A1307" s="1" t="s">
        <v>1344</v>
      </c>
      <c r="B1307" s="1" t="s">
        <v>24</v>
      </c>
      <c r="C1307" s="1">
        <v>0.0</v>
      </c>
      <c r="D1307" s="1" t="s">
        <v>26</v>
      </c>
      <c r="E1307" s="1" t="s">
        <v>26</v>
      </c>
      <c r="F1307" s="1">
        <v>28.0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1">
        <v>59.55</v>
      </c>
      <c r="T1307" s="1">
        <v>1646.45</v>
      </c>
      <c r="U1307" s="1">
        <v>0.0</v>
      </c>
      <c r="V1307" s="1">
        <v>0.0</v>
      </c>
      <c r="W1307" s="1" t="s">
        <v>26</v>
      </c>
    </row>
    <row r="1308" ht="15.75" customHeight="1">
      <c r="A1308" s="1" t="s">
        <v>1345</v>
      </c>
      <c r="B1308" s="1" t="s">
        <v>24</v>
      </c>
      <c r="C1308" s="1">
        <v>0.0</v>
      </c>
      <c r="D1308" s="1" t="s">
        <v>26</v>
      </c>
      <c r="E1308" s="1" t="s">
        <v>26</v>
      </c>
      <c r="F1308" s="1">
        <v>70.0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1">
        <v>115.55</v>
      </c>
      <c r="T1308" s="1">
        <v>8127.6</v>
      </c>
      <c r="U1308" s="1">
        <v>0.0</v>
      </c>
      <c r="V1308" s="1">
        <v>6.0</v>
      </c>
      <c r="W1308" s="1" t="s">
        <v>25</v>
      </c>
    </row>
    <row r="1309" ht="15.75" customHeight="1">
      <c r="A1309" s="1" t="s">
        <v>1346</v>
      </c>
      <c r="B1309" s="1" t="s">
        <v>24</v>
      </c>
      <c r="C1309" s="1">
        <v>0.0</v>
      </c>
      <c r="D1309" s="1" t="s">
        <v>26</v>
      </c>
      <c r="E1309" s="1" t="s">
        <v>26</v>
      </c>
      <c r="F1309" s="1">
        <v>36.0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1">
        <v>75.55</v>
      </c>
      <c r="T1309" s="1">
        <v>2680.15</v>
      </c>
      <c r="U1309" s="1">
        <v>0.0</v>
      </c>
      <c r="V1309" s="1">
        <v>0.0</v>
      </c>
      <c r="W1309" s="1" t="s">
        <v>26</v>
      </c>
    </row>
    <row r="1310" ht="15.75" customHeight="1">
      <c r="A1310" s="1" t="s">
        <v>1347</v>
      </c>
      <c r="B1310" s="1" t="s">
        <v>32</v>
      </c>
      <c r="C1310" s="1">
        <v>1.0</v>
      </c>
      <c r="D1310" s="1" t="s">
        <v>26</v>
      </c>
      <c r="E1310" s="1" t="s">
        <v>26</v>
      </c>
      <c r="F1310" s="1">
        <v>16.0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1">
        <v>86.6</v>
      </c>
      <c r="T1310" s="1">
        <v>1281.0</v>
      </c>
      <c r="U1310" s="1">
        <v>0.0</v>
      </c>
      <c r="V1310" s="1">
        <v>0.0</v>
      </c>
      <c r="W1310" s="1" t="s">
        <v>25</v>
      </c>
    </row>
    <row r="1311" ht="15.75" customHeight="1">
      <c r="A1311" s="1" t="s">
        <v>1348</v>
      </c>
      <c r="B1311" s="1" t="s">
        <v>24</v>
      </c>
      <c r="C1311" s="1">
        <v>0.0</v>
      </c>
      <c r="D1311" s="1" t="s">
        <v>26</v>
      </c>
      <c r="E1311" s="1" t="s">
        <v>26</v>
      </c>
      <c r="F1311" s="1">
        <v>18.0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1">
        <v>85.2</v>
      </c>
      <c r="T1311" s="1">
        <v>1553.9</v>
      </c>
      <c r="U1311" s="1">
        <v>0.0</v>
      </c>
      <c r="V1311" s="1">
        <v>0.0</v>
      </c>
      <c r="W1311" s="1" t="s">
        <v>25</v>
      </c>
    </row>
    <row r="1312" ht="15.75" customHeight="1">
      <c r="A1312" s="1" t="s">
        <v>1349</v>
      </c>
      <c r="B1312" s="1" t="s">
        <v>24</v>
      </c>
      <c r="C1312" s="1">
        <v>0.0</v>
      </c>
      <c r="D1312" s="1" t="s">
        <v>25</v>
      </c>
      <c r="E1312" s="1" t="s">
        <v>26</v>
      </c>
      <c r="F1312" s="1">
        <v>34.0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1">
        <v>97.65</v>
      </c>
      <c r="T1312" s="1">
        <v>3207.55</v>
      </c>
      <c r="U1312" s="1">
        <v>0.0</v>
      </c>
      <c r="V1312" s="1">
        <v>3.0</v>
      </c>
      <c r="W1312" s="1" t="s">
        <v>25</v>
      </c>
    </row>
    <row r="1313" ht="15.75" customHeight="1">
      <c r="A1313" s="1" t="s">
        <v>1350</v>
      </c>
      <c r="B1313" s="1" t="s">
        <v>32</v>
      </c>
      <c r="C1313" s="1">
        <v>0.0</v>
      </c>
      <c r="D1313" s="1" t="s">
        <v>25</v>
      </c>
      <c r="E1313" s="1" t="s">
        <v>25</v>
      </c>
      <c r="F1313" s="1">
        <v>42.0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1">
        <v>45.1</v>
      </c>
      <c r="T1313" s="1">
        <v>2049.05</v>
      </c>
      <c r="U1313" s="1">
        <v>0.0</v>
      </c>
      <c r="V1313" s="1">
        <v>0.0</v>
      </c>
      <c r="W1313" s="1" t="s">
        <v>26</v>
      </c>
    </row>
    <row r="1314" ht="15.75" customHeight="1">
      <c r="A1314" s="1" t="s">
        <v>1351</v>
      </c>
      <c r="B1314" s="1" t="s">
        <v>32</v>
      </c>
      <c r="C1314" s="1">
        <v>0.0</v>
      </c>
      <c r="D1314" s="1" t="s">
        <v>26</v>
      </c>
      <c r="E1314" s="1" t="s">
        <v>26</v>
      </c>
      <c r="F1314" s="1">
        <v>48.0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1">
        <v>70.95</v>
      </c>
      <c r="T1314" s="1">
        <v>3629.2</v>
      </c>
      <c r="U1314" s="1">
        <v>0.0</v>
      </c>
      <c r="V1314" s="1">
        <v>0.0</v>
      </c>
      <c r="W1314" s="1" t="s">
        <v>26</v>
      </c>
    </row>
    <row r="1315" ht="15.75" customHeight="1">
      <c r="A1315" s="1" t="s">
        <v>1352</v>
      </c>
      <c r="B1315" s="1" t="s">
        <v>32</v>
      </c>
      <c r="C1315" s="1">
        <v>0.0</v>
      </c>
      <c r="D1315" s="1" t="s">
        <v>25</v>
      </c>
      <c r="E1315" s="1" t="s">
        <v>26</v>
      </c>
      <c r="F1315" s="1">
        <v>47.0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1">
        <v>109.55</v>
      </c>
      <c r="T1315" s="1">
        <v>5124.55</v>
      </c>
      <c r="U1315" s="1">
        <v>0.0</v>
      </c>
      <c r="V1315" s="1">
        <v>4.0</v>
      </c>
      <c r="W1315" s="1" t="s">
        <v>25</v>
      </c>
    </row>
    <row r="1316" ht="15.75" customHeight="1">
      <c r="A1316" s="1" t="s">
        <v>1353</v>
      </c>
      <c r="B1316" s="1" t="s">
        <v>24</v>
      </c>
      <c r="C1316" s="1">
        <v>0.0</v>
      </c>
      <c r="D1316" s="1" t="s">
        <v>25</v>
      </c>
      <c r="E1316" s="1" t="s">
        <v>25</v>
      </c>
      <c r="F1316" s="1">
        <v>39.0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1">
        <v>89.55</v>
      </c>
      <c r="T1316" s="1">
        <v>3474.45</v>
      </c>
      <c r="U1316" s="1">
        <v>0.0</v>
      </c>
      <c r="V1316" s="1">
        <v>1.0</v>
      </c>
      <c r="W1316" s="1" t="s">
        <v>25</v>
      </c>
    </row>
    <row r="1317" ht="15.75" customHeight="1">
      <c r="A1317" s="1" t="s">
        <v>1354</v>
      </c>
      <c r="B1317" s="1" t="s">
        <v>24</v>
      </c>
      <c r="C1317" s="1">
        <v>0.0</v>
      </c>
      <c r="D1317" s="1" t="s">
        <v>25</v>
      </c>
      <c r="E1317" s="1" t="s">
        <v>25</v>
      </c>
      <c r="F1317" s="1">
        <v>11.0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1">
        <v>20.9</v>
      </c>
      <c r="T1317" s="1">
        <v>202.3</v>
      </c>
      <c r="U1317" s="1">
        <v>0.0</v>
      </c>
      <c r="V1317" s="1">
        <v>0.0</v>
      </c>
      <c r="W1317" s="1" t="s">
        <v>26</v>
      </c>
    </row>
    <row r="1318" ht="15.75" customHeight="1">
      <c r="A1318" s="1" t="s">
        <v>1355</v>
      </c>
      <c r="B1318" s="1" t="s">
        <v>32</v>
      </c>
      <c r="C1318" s="1">
        <v>0.0</v>
      </c>
      <c r="D1318" s="1" t="s">
        <v>26</v>
      </c>
      <c r="E1318" s="1" t="s">
        <v>26</v>
      </c>
      <c r="F1318" s="1">
        <v>7.0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1">
        <v>19.95</v>
      </c>
      <c r="T1318" s="1">
        <v>147.5</v>
      </c>
      <c r="U1318" s="1">
        <v>0.0</v>
      </c>
      <c r="V1318" s="1">
        <v>0.0</v>
      </c>
      <c r="W1318" s="1" t="s">
        <v>26</v>
      </c>
    </row>
    <row r="1319" ht="15.75" customHeight="1">
      <c r="A1319" s="1" t="s">
        <v>1356</v>
      </c>
      <c r="B1319" s="1" t="s">
        <v>24</v>
      </c>
      <c r="C1319" s="1">
        <v>0.0</v>
      </c>
      <c r="D1319" s="1" t="s">
        <v>26</v>
      </c>
      <c r="E1319" s="1" t="s">
        <v>26</v>
      </c>
      <c r="F1319" s="1">
        <v>3.0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1">
        <v>24.6</v>
      </c>
      <c r="T1319" s="1">
        <v>86.35</v>
      </c>
      <c r="U1319" s="1">
        <v>0.0</v>
      </c>
      <c r="V1319" s="1">
        <v>0.0</v>
      </c>
      <c r="W1319" s="1" t="s">
        <v>26</v>
      </c>
    </row>
    <row r="1320" ht="15.75" customHeight="1">
      <c r="A1320" s="1" t="s">
        <v>1357</v>
      </c>
      <c r="B1320" s="1" t="s">
        <v>32</v>
      </c>
      <c r="C1320" s="1">
        <v>0.0</v>
      </c>
      <c r="D1320" s="1" t="s">
        <v>26</v>
      </c>
      <c r="E1320" s="1" t="s">
        <v>26</v>
      </c>
      <c r="F1320" s="1">
        <v>8.0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1">
        <v>66.7</v>
      </c>
      <c r="T1320" s="1">
        <v>579.0</v>
      </c>
      <c r="U1320" s="1">
        <v>0.0</v>
      </c>
      <c r="V1320" s="1">
        <v>0.0</v>
      </c>
      <c r="W1320" s="1" t="s">
        <v>26</v>
      </c>
    </row>
    <row r="1321" ht="15.75" customHeight="1">
      <c r="A1321" s="1" t="s">
        <v>1358</v>
      </c>
      <c r="B1321" s="1" t="s">
        <v>32</v>
      </c>
      <c r="C1321" s="1">
        <v>0.0</v>
      </c>
      <c r="D1321" s="1" t="s">
        <v>26</v>
      </c>
      <c r="E1321" s="1" t="s">
        <v>25</v>
      </c>
      <c r="F1321" s="1">
        <v>1.0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1">
        <v>19.45</v>
      </c>
      <c r="T1321" s="1">
        <v>19.45</v>
      </c>
      <c r="U1321" s="1">
        <v>0.0</v>
      </c>
      <c r="V1321" s="1">
        <v>0.0</v>
      </c>
      <c r="W1321" s="1" t="s">
        <v>25</v>
      </c>
    </row>
    <row r="1322" ht="15.75" customHeight="1">
      <c r="A1322" s="1" t="s">
        <v>1359</v>
      </c>
      <c r="B1322" s="1" t="s">
        <v>32</v>
      </c>
      <c r="C1322" s="1">
        <v>0.0</v>
      </c>
      <c r="D1322" s="1" t="s">
        <v>25</v>
      </c>
      <c r="E1322" s="1" t="s">
        <v>25</v>
      </c>
      <c r="F1322" s="1">
        <v>32.0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1">
        <v>94.8</v>
      </c>
      <c r="T1322" s="1">
        <v>3131.55</v>
      </c>
      <c r="U1322" s="1">
        <v>0.0</v>
      </c>
      <c r="V1322" s="1">
        <v>0.0</v>
      </c>
      <c r="W1322" s="1" t="s">
        <v>26</v>
      </c>
    </row>
    <row r="1323" ht="15.75" customHeight="1">
      <c r="A1323" s="1" t="s">
        <v>1360</v>
      </c>
      <c r="B1323" s="1" t="s">
        <v>32</v>
      </c>
      <c r="C1323" s="1">
        <v>0.0</v>
      </c>
      <c r="D1323" s="1" t="s">
        <v>25</v>
      </c>
      <c r="E1323" s="1" t="s">
        <v>25</v>
      </c>
      <c r="F1323" s="1">
        <v>60.0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1">
        <v>65.85</v>
      </c>
      <c r="T1323" s="1">
        <v>3928.3</v>
      </c>
      <c r="U1323" s="1">
        <v>0.0</v>
      </c>
      <c r="V1323" s="1">
        <v>0.0</v>
      </c>
      <c r="W1323" s="1" t="s">
        <v>26</v>
      </c>
    </row>
    <row r="1324" ht="15.75" customHeight="1">
      <c r="A1324" s="1" t="s">
        <v>1361</v>
      </c>
      <c r="B1324" s="1" t="s">
        <v>24</v>
      </c>
      <c r="C1324" s="1">
        <v>0.0</v>
      </c>
      <c r="D1324" s="1" t="s">
        <v>25</v>
      </c>
      <c r="E1324" s="1" t="s">
        <v>26</v>
      </c>
      <c r="F1324" s="1">
        <v>10.0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1">
        <v>19.95</v>
      </c>
      <c r="T1324" s="1">
        <v>187.75</v>
      </c>
      <c r="U1324" s="1">
        <v>0.0</v>
      </c>
      <c r="V1324" s="1">
        <v>0.0</v>
      </c>
      <c r="W1324" s="1" t="s">
        <v>26</v>
      </c>
    </row>
    <row r="1325" ht="15.75" customHeight="1">
      <c r="A1325" s="1" t="s">
        <v>1362</v>
      </c>
      <c r="B1325" s="1" t="s">
        <v>24</v>
      </c>
      <c r="C1325" s="1">
        <v>0.0</v>
      </c>
      <c r="D1325" s="1" t="s">
        <v>25</v>
      </c>
      <c r="E1325" s="1" t="s">
        <v>26</v>
      </c>
      <c r="F1325" s="1">
        <v>71.0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1">
        <v>24.65</v>
      </c>
      <c r="T1325" s="1">
        <v>1710.15</v>
      </c>
      <c r="U1325" s="1">
        <v>0.0</v>
      </c>
      <c r="V1325" s="1">
        <v>0.0</v>
      </c>
      <c r="W1325" s="1" t="s">
        <v>26</v>
      </c>
    </row>
    <row r="1326" ht="15.75" customHeight="1">
      <c r="A1326" s="1" t="s">
        <v>1363</v>
      </c>
      <c r="B1326" s="1" t="s">
        <v>24</v>
      </c>
      <c r="C1326" s="1">
        <v>0.0</v>
      </c>
      <c r="D1326" s="1" t="s">
        <v>25</v>
      </c>
      <c r="E1326" s="1" t="s">
        <v>25</v>
      </c>
      <c r="F1326" s="1">
        <v>4.0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1">
        <v>20.35</v>
      </c>
      <c r="T1326" s="1">
        <v>76.35</v>
      </c>
      <c r="U1326" s="1">
        <v>0.0</v>
      </c>
      <c r="V1326" s="1">
        <v>0.0</v>
      </c>
      <c r="W1326" s="1" t="s">
        <v>25</v>
      </c>
    </row>
    <row r="1327" ht="15.75" customHeight="1">
      <c r="A1327" s="1" t="s">
        <v>1364</v>
      </c>
      <c r="B1327" s="1" t="s">
        <v>24</v>
      </c>
      <c r="C1327" s="1">
        <v>1.0</v>
      </c>
      <c r="D1327" s="1" t="s">
        <v>26</v>
      </c>
      <c r="E1327" s="1" t="s">
        <v>26</v>
      </c>
      <c r="F1327" s="1">
        <v>1.0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1">
        <v>69.25</v>
      </c>
      <c r="T1327" s="1">
        <v>69.25</v>
      </c>
      <c r="U1327" s="1">
        <v>1.0</v>
      </c>
      <c r="V1327" s="1">
        <v>0.0</v>
      </c>
      <c r="W1327" s="1" t="s">
        <v>25</v>
      </c>
    </row>
    <row r="1328" ht="15.75" customHeight="1">
      <c r="A1328" s="1" t="s">
        <v>1365</v>
      </c>
      <c r="B1328" s="1" t="s">
        <v>24</v>
      </c>
      <c r="C1328" s="1">
        <v>0.0</v>
      </c>
      <c r="D1328" s="1" t="s">
        <v>25</v>
      </c>
      <c r="E1328" s="1" t="s">
        <v>25</v>
      </c>
      <c r="F1328" s="1">
        <v>43.0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1">
        <v>51.25</v>
      </c>
      <c r="T1328" s="1">
        <v>2151.6</v>
      </c>
      <c r="U1328" s="1">
        <v>1.0</v>
      </c>
      <c r="V1328" s="1">
        <v>0.0</v>
      </c>
      <c r="W1328" s="1" t="s">
        <v>26</v>
      </c>
    </row>
    <row r="1329" ht="15.75" customHeight="1">
      <c r="A1329" s="1" t="s">
        <v>1366</v>
      </c>
      <c r="B1329" s="1" t="s">
        <v>32</v>
      </c>
      <c r="C1329" s="1">
        <v>0.0</v>
      </c>
      <c r="D1329" s="1" t="s">
        <v>25</v>
      </c>
      <c r="E1329" s="1" t="s">
        <v>26</v>
      </c>
      <c r="F1329" s="1">
        <v>59.0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1">
        <v>99.5</v>
      </c>
      <c r="T1329" s="1">
        <v>5961.1</v>
      </c>
      <c r="U1329" s="1">
        <v>0.0</v>
      </c>
      <c r="V1329" s="1">
        <v>5.0</v>
      </c>
      <c r="W1329" s="1" t="s">
        <v>25</v>
      </c>
    </row>
    <row r="1330" ht="15.75" customHeight="1">
      <c r="A1330" s="1" t="s">
        <v>1367</v>
      </c>
      <c r="B1330" s="1" t="s">
        <v>24</v>
      </c>
      <c r="C1330" s="1">
        <v>0.0</v>
      </c>
      <c r="D1330" s="1" t="s">
        <v>25</v>
      </c>
      <c r="E1330" s="1" t="s">
        <v>26</v>
      </c>
      <c r="F1330" s="1">
        <v>23.0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1">
        <v>54.25</v>
      </c>
      <c r="T1330" s="1">
        <v>1221.55</v>
      </c>
      <c r="U1330" s="1">
        <v>0.0</v>
      </c>
      <c r="V1330" s="1">
        <v>0.0</v>
      </c>
      <c r="W1330" s="1" t="s">
        <v>26</v>
      </c>
    </row>
    <row r="1331" ht="15.75" customHeight="1">
      <c r="A1331" s="1" t="s">
        <v>1368</v>
      </c>
      <c r="B1331" s="1" t="s">
        <v>24</v>
      </c>
      <c r="C1331" s="1">
        <v>0.0</v>
      </c>
      <c r="D1331" s="1" t="s">
        <v>25</v>
      </c>
      <c r="E1331" s="1" t="s">
        <v>26</v>
      </c>
      <c r="F1331" s="1">
        <v>72.0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1">
        <v>19.4</v>
      </c>
      <c r="T1331" s="1">
        <v>1496.45</v>
      </c>
      <c r="U1331" s="1">
        <v>0.0</v>
      </c>
      <c r="V1331" s="1">
        <v>1.0</v>
      </c>
      <c r="W1331" s="1" t="s">
        <v>26</v>
      </c>
    </row>
    <row r="1332" ht="15.75" customHeight="1">
      <c r="A1332" s="1" t="s">
        <v>1369</v>
      </c>
      <c r="B1332" s="1" t="s">
        <v>32</v>
      </c>
      <c r="C1332" s="1">
        <v>0.0</v>
      </c>
      <c r="D1332" s="1" t="s">
        <v>25</v>
      </c>
      <c r="E1332" s="1" t="s">
        <v>26</v>
      </c>
      <c r="F1332" s="1">
        <v>22.0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1">
        <v>56.25</v>
      </c>
      <c r="T1332" s="1">
        <v>1292.2</v>
      </c>
      <c r="U1332" s="1">
        <v>4.0</v>
      </c>
      <c r="V1332" s="1">
        <v>0.0</v>
      </c>
      <c r="W1332" s="1" t="s">
        <v>26</v>
      </c>
    </row>
    <row r="1333" ht="15.75" customHeight="1">
      <c r="A1333" s="1" t="s">
        <v>1370</v>
      </c>
      <c r="B1333" s="1" t="s">
        <v>24</v>
      </c>
      <c r="C1333" s="1">
        <v>0.0</v>
      </c>
      <c r="D1333" s="1" t="s">
        <v>26</v>
      </c>
      <c r="E1333" s="1" t="s">
        <v>26</v>
      </c>
      <c r="F1333" s="1">
        <v>1.0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1">
        <v>25.15</v>
      </c>
      <c r="T1333" s="1">
        <v>25.15</v>
      </c>
      <c r="U1333" s="1">
        <v>5.0</v>
      </c>
      <c r="V1333" s="1">
        <v>0.0</v>
      </c>
      <c r="W1333" s="1" t="s">
        <v>26</v>
      </c>
    </row>
    <row r="1334" ht="15.75" customHeight="1">
      <c r="A1334" s="1" t="s">
        <v>1371</v>
      </c>
      <c r="B1334" s="1" t="s">
        <v>32</v>
      </c>
      <c r="C1334" s="1">
        <v>0.0</v>
      </c>
      <c r="D1334" s="1" t="s">
        <v>26</v>
      </c>
      <c r="E1334" s="1" t="s">
        <v>26</v>
      </c>
      <c r="F1334" s="1">
        <v>69.0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1">
        <v>23.95</v>
      </c>
      <c r="T1334" s="1">
        <v>1713.1</v>
      </c>
      <c r="U1334" s="1">
        <v>0.0</v>
      </c>
      <c r="V1334" s="1">
        <v>0.0</v>
      </c>
      <c r="W1334" s="1" t="s">
        <v>26</v>
      </c>
    </row>
    <row r="1335" ht="15.75" customHeight="1">
      <c r="A1335" s="1" t="s">
        <v>1372</v>
      </c>
      <c r="B1335" s="1" t="s">
        <v>32</v>
      </c>
      <c r="C1335" s="1">
        <v>0.0</v>
      </c>
      <c r="D1335" s="1" t="s">
        <v>26</v>
      </c>
      <c r="E1335" s="1" t="s">
        <v>26</v>
      </c>
      <c r="F1335" s="1">
        <v>50.0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1">
        <v>35.4</v>
      </c>
      <c r="T1335" s="1">
        <v>1748.9</v>
      </c>
      <c r="U1335" s="1">
        <v>0.0</v>
      </c>
      <c r="V1335" s="1">
        <v>0.0</v>
      </c>
      <c r="W1335" s="1" t="s">
        <v>26</v>
      </c>
    </row>
    <row r="1336" ht="15.75" customHeight="1">
      <c r="A1336" s="1" t="s">
        <v>1373</v>
      </c>
      <c r="B1336" s="1" t="s">
        <v>24</v>
      </c>
      <c r="C1336" s="1">
        <v>1.0</v>
      </c>
      <c r="D1336" s="1" t="s">
        <v>26</v>
      </c>
      <c r="E1336" s="1" t="s">
        <v>26</v>
      </c>
      <c r="F1336" s="1">
        <v>1.0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1">
        <v>25.2</v>
      </c>
      <c r="T1336" s="1">
        <v>25.2</v>
      </c>
      <c r="U1336" s="1">
        <v>0.0</v>
      </c>
      <c r="V1336" s="1">
        <v>0.0</v>
      </c>
      <c r="W1336" s="1" t="s">
        <v>25</v>
      </c>
    </row>
    <row r="1337" ht="15.75" customHeight="1">
      <c r="A1337" s="1" t="s">
        <v>1374</v>
      </c>
      <c r="B1337" s="1" t="s">
        <v>32</v>
      </c>
      <c r="C1337" s="1">
        <v>0.0</v>
      </c>
      <c r="D1337" s="1" t="s">
        <v>26</v>
      </c>
      <c r="E1337" s="1" t="s">
        <v>26</v>
      </c>
      <c r="F1337" s="1">
        <v>2.0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1">
        <v>45.0</v>
      </c>
      <c r="T1337" s="1">
        <v>96.45</v>
      </c>
      <c r="U1337" s="1">
        <v>0.0</v>
      </c>
      <c r="V1337" s="1">
        <v>0.0</v>
      </c>
      <c r="W1337" s="1" t="s">
        <v>25</v>
      </c>
    </row>
    <row r="1338" ht="15.75" customHeight="1">
      <c r="A1338" s="1" t="s">
        <v>1375</v>
      </c>
      <c r="B1338" s="1" t="s">
        <v>24</v>
      </c>
      <c r="C1338" s="1">
        <v>0.0</v>
      </c>
      <c r="D1338" s="1" t="s">
        <v>25</v>
      </c>
      <c r="E1338" s="1" t="s">
        <v>26</v>
      </c>
      <c r="F1338" s="1">
        <v>15.0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1">
        <v>75.35</v>
      </c>
      <c r="T1338" s="1">
        <v>1114.55</v>
      </c>
      <c r="U1338" s="1">
        <v>0.0</v>
      </c>
      <c r="V1338" s="1">
        <v>0.0</v>
      </c>
      <c r="W1338" s="1" t="s">
        <v>26</v>
      </c>
    </row>
    <row r="1339" ht="15.75" customHeight="1">
      <c r="A1339" s="1" t="s">
        <v>1376</v>
      </c>
      <c r="B1339" s="1" t="s">
        <v>32</v>
      </c>
      <c r="C1339" s="1">
        <v>0.0</v>
      </c>
      <c r="D1339" s="1" t="s">
        <v>26</v>
      </c>
      <c r="E1339" s="1" t="s">
        <v>26</v>
      </c>
      <c r="F1339" s="1">
        <v>31.0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1">
        <v>20.4</v>
      </c>
      <c r="T1339" s="1">
        <v>609.1</v>
      </c>
      <c r="U1339" s="1">
        <v>0.0</v>
      </c>
      <c r="V1339" s="1">
        <v>0.0</v>
      </c>
      <c r="W1339" s="1" t="s">
        <v>26</v>
      </c>
    </row>
    <row r="1340" ht="15.75" customHeight="1">
      <c r="A1340" s="1" t="s">
        <v>1377</v>
      </c>
      <c r="B1340" s="1" t="s">
        <v>32</v>
      </c>
      <c r="C1340" s="1">
        <v>0.0</v>
      </c>
      <c r="D1340" s="1" t="s">
        <v>26</v>
      </c>
      <c r="E1340" s="1" t="s">
        <v>26</v>
      </c>
      <c r="F1340" s="1">
        <v>1.0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1">
        <v>20.15</v>
      </c>
      <c r="T1340" s="1">
        <v>20.15</v>
      </c>
      <c r="U1340" s="1">
        <v>0.0</v>
      </c>
      <c r="V1340" s="1">
        <v>0.0</v>
      </c>
      <c r="W1340" s="1" t="s">
        <v>25</v>
      </c>
    </row>
    <row r="1341" ht="15.75" customHeight="1">
      <c r="A1341" s="1" t="s">
        <v>1378</v>
      </c>
      <c r="B1341" s="1" t="s">
        <v>32</v>
      </c>
      <c r="C1341" s="1">
        <v>0.0</v>
      </c>
      <c r="D1341" s="1" t="s">
        <v>25</v>
      </c>
      <c r="E1341" s="1" t="s">
        <v>26</v>
      </c>
      <c r="F1341" s="1">
        <v>66.0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1">
        <v>105.0</v>
      </c>
      <c r="T1341" s="1">
        <v>7133.25</v>
      </c>
      <c r="U1341" s="1">
        <v>0.0</v>
      </c>
      <c r="V1341" s="1">
        <v>6.0</v>
      </c>
      <c r="W1341" s="1" t="s">
        <v>25</v>
      </c>
    </row>
    <row r="1342" ht="15.75" customHeight="1">
      <c r="A1342" s="1" t="s">
        <v>1379</v>
      </c>
      <c r="B1342" s="1" t="s">
        <v>24</v>
      </c>
      <c r="C1342" s="1">
        <v>0.0</v>
      </c>
      <c r="D1342" s="1" t="s">
        <v>25</v>
      </c>
      <c r="E1342" s="1" t="s">
        <v>25</v>
      </c>
      <c r="F1342" s="1">
        <v>0.0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1">
        <v>56.05</v>
      </c>
      <c r="T1342" s="1" t="s">
        <v>527</v>
      </c>
      <c r="U1342" s="1">
        <v>0.0</v>
      </c>
      <c r="V1342" s="1">
        <v>0.0</v>
      </c>
      <c r="W1342" s="1" t="s">
        <v>26</v>
      </c>
    </row>
    <row r="1343" ht="15.75" customHeight="1">
      <c r="A1343" s="1" t="s">
        <v>1380</v>
      </c>
      <c r="B1343" s="1" t="s">
        <v>32</v>
      </c>
      <c r="C1343" s="1">
        <v>0.0</v>
      </c>
      <c r="D1343" s="1" t="s">
        <v>26</v>
      </c>
      <c r="E1343" s="1" t="s">
        <v>25</v>
      </c>
      <c r="F1343" s="1">
        <v>3.0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1">
        <v>54.7</v>
      </c>
      <c r="T1343" s="1">
        <v>169.45</v>
      </c>
      <c r="U1343" s="1">
        <v>0.0</v>
      </c>
      <c r="V1343" s="1">
        <v>0.0</v>
      </c>
      <c r="W1343" s="1" t="s">
        <v>25</v>
      </c>
    </row>
    <row r="1344" ht="15.75" customHeight="1">
      <c r="A1344" s="1" t="s">
        <v>1381</v>
      </c>
      <c r="B1344" s="1" t="s">
        <v>24</v>
      </c>
      <c r="C1344" s="1">
        <v>0.0</v>
      </c>
      <c r="D1344" s="1" t="s">
        <v>26</v>
      </c>
      <c r="E1344" s="1" t="s">
        <v>26</v>
      </c>
      <c r="F1344" s="1">
        <v>8.0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1">
        <v>20.0</v>
      </c>
      <c r="T1344" s="1">
        <v>141.6</v>
      </c>
      <c r="U1344" s="1">
        <v>5.0</v>
      </c>
      <c r="V1344" s="1">
        <v>0.0</v>
      </c>
      <c r="W1344" s="1" t="s">
        <v>26</v>
      </c>
    </row>
    <row r="1345" ht="15.75" customHeight="1">
      <c r="A1345" s="1" t="s">
        <v>1382</v>
      </c>
      <c r="B1345" s="1" t="s">
        <v>32</v>
      </c>
      <c r="C1345" s="1">
        <v>0.0</v>
      </c>
      <c r="D1345" s="1" t="s">
        <v>25</v>
      </c>
      <c r="E1345" s="1" t="s">
        <v>25</v>
      </c>
      <c r="F1345" s="1">
        <v>64.0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1">
        <v>73.05</v>
      </c>
      <c r="T1345" s="1">
        <v>4688.65</v>
      </c>
      <c r="U1345" s="1">
        <v>0.0</v>
      </c>
      <c r="V1345" s="1">
        <v>0.0</v>
      </c>
      <c r="W1345" s="1" t="s">
        <v>26</v>
      </c>
    </row>
    <row r="1346" ht="15.75" customHeight="1">
      <c r="A1346" s="1" t="s">
        <v>1383</v>
      </c>
      <c r="B1346" s="1" t="s">
        <v>24</v>
      </c>
      <c r="C1346" s="1">
        <v>0.0</v>
      </c>
      <c r="D1346" s="1" t="s">
        <v>25</v>
      </c>
      <c r="E1346" s="1" t="s">
        <v>26</v>
      </c>
      <c r="F1346" s="1">
        <v>28.0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1">
        <v>20.5</v>
      </c>
      <c r="T1346" s="1">
        <v>563.05</v>
      </c>
      <c r="U1346" s="1">
        <v>1.0</v>
      </c>
      <c r="V1346" s="1">
        <v>0.0</v>
      </c>
      <c r="W1346" s="1" t="s">
        <v>26</v>
      </c>
    </row>
    <row r="1347" ht="15.75" customHeight="1">
      <c r="A1347" s="1" t="s">
        <v>1384</v>
      </c>
      <c r="B1347" s="1" t="s">
        <v>24</v>
      </c>
      <c r="C1347" s="1">
        <v>0.0</v>
      </c>
      <c r="D1347" s="1" t="s">
        <v>25</v>
      </c>
      <c r="E1347" s="1" t="s">
        <v>26</v>
      </c>
      <c r="F1347" s="1">
        <v>57.0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1">
        <v>100.75</v>
      </c>
      <c r="T1347" s="1">
        <v>5985.0</v>
      </c>
      <c r="U1347" s="1">
        <v>2.0</v>
      </c>
      <c r="V1347" s="1">
        <v>0.0</v>
      </c>
      <c r="W1347" s="1" t="s">
        <v>26</v>
      </c>
    </row>
    <row r="1348" ht="15.75" customHeight="1">
      <c r="A1348" s="1" t="s">
        <v>1385</v>
      </c>
      <c r="B1348" s="1" t="s">
        <v>24</v>
      </c>
      <c r="C1348" s="1">
        <v>0.0</v>
      </c>
      <c r="D1348" s="1" t="s">
        <v>25</v>
      </c>
      <c r="E1348" s="1" t="s">
        <v>25</v>
      </c>
      <c r="F1348" s="1">
        <v>14.0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1">
        <v>87.25</v>
      </c>
      <c r="T1348" s="1">
        <v>1258.6</v>
      </c>
      <c r="U1348" s="1">
        <v>0.0</v>
      </c>
      <c r="V1348" s="1">
        <v>2.0</v>
      </c>
      <c r="W1348" s="1" t="s">
        <v>25</v>
      </c>
    </row>
    <row r="1349" ht="15.75" customHeight="1">
      <c r="A1349" s="1" t="s">
        <v>1386</v>
      </c>
      <c r="B1349" s="1" t="s">
        <v>32</v>
      </c>
      <c r="C1349" s="1">
        <v>0.0</v>
      </c>
      <c r="D1349" s="1" t="s">
        <v>26</v>
      </c>
      <c r="E1349" s="1" t="s">
        <v>26</v>
      </c>
      <c r="F1349" s="1">
        <v>19.0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1">
        <v>19.95</v>
      </c>
      <c r="T1349" s="1">
        <v>373.5</v>
      </c>
      <c r="U1349" s="1">
        <v>0.0</v>
      </c>
      <c r="V1349" s="1">
        <v>0.0</v>
      </c>
      <c r="W1349" s="1" t="s">
        <v>26</v>
      </c>
    </row>
    <row r="1350" ht="15.75" customHeight="1">
      <c r="A1350" s="1" t="s">
        <v>1387</v>
      </c>
      <c r="B1350" s="1" t="s">
        <v>32</v>
      </c>
      <c r="C1350" s="1">
        <v>0.0</v>
      </c>
      <c r="D1350" s="1" t="s">
        <v>25</v>
      </c>
      <c r="E1350" s="1" t="s">
        <v>26</v>
      </c>
      <c r="F1350" s="1">
        <v>10.0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1">
        <v>79.95</v>
      </c>
      <c r="T1350" s="1">
        <v>857.2</v>
      </c>
      <c r="U1350" s="1">
        <v>1.0</v>
      </c>
      <c r="V1350" s="1">
        <v>0.0</v>
      </c>
      <c r="W1350" s="1" t="s">
        <v>25</v>
      </c>
    </row>
    <row r="1351" ht="15.75" customHeight="1">
      <c r="A1351" s="1" t="s">
        <v>1388</v>
      </c>
      <c r="B1351" s="1" t="s">
        <v>24</v>
      </c>
      <c r="C1351" s="1">
        <v>0.0</v>
      </c>
      <c r="D1351" s="1" t="s">
        <v>25</v>
      </c>
      <c r="E1351" s="1" t="s">
        <v>26</v>
      </c>
      <c r="F1351" s="1">
        <v>51.0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1">
        <v>49.65</v>
      </c>
      <c r="T1351" s="1">
        <v>2553.35</v>
      </c>
      <c r="U1351" s="1">
        <v>0.0</v>
      </c>
      <c r="V1351" s="1">
        <v>0.0</v>
      </c>
      <c r="W1351" s="1" t="s">
        <v>26</v>
      </c>
    </row>
    <row r="1352" ht="15.75" customHeight="1">
      <c r="A1352" s="1" t="s">
        <v>1389</v>
      </c>
      <c r="B1352" s="1" t="s">
        <v>24</v>
      </c>
      <c r="C1352" s="1">
        <v>0.0</v>
      </c>
      <c r="D1352" s="1" t="s">
        <v>25</v>
      </c>
      <c r="E1352" s="1" t="s">
        <v>26</v>
      </c>
      <c r="F1352" s="1">
        <v>67.0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1">
        <v>65.65</v>
      </c>
      <c r="T1352" s="1">
        <v>4322.85</v>
      </c>
      <c r="U1352" s="1">
        <v>0.0</v>
      </c>
      <c r="V1352" s="1">
        <v>0.0</v>
      </c>
      <c r="W1352" s="1" t="s">
        <v>26</v>
      </c>
    </row>
    <row r="1353" ht="15.75" customHeight="1">
      <c r="A1353" s="1" t="s">
        <v>1390</v>
      </c>
      <c r="B1353" s="1" t="s">
        <v>32</v>
      </c>
      <c r="C1353" s="1">
        <v>0.0</v>
      </c>
      <c r="D1353" s="1" t="s">
        <v>25</v>
      </c>
      <c r="E1353" s="1" t="s">
        <v>25</v>
      </c>
      <c r="F1353" s="1">
        <v>11.0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1">
        <v>20.45</v>
      </c>
      <c r="T1353" s="1">
        <v>250.8</v>
      </c>
      <c r="U1353" s="1">
        <v>0.0</v>
      </c>
      <c r="V1353" s="1">
        <v>0.0</v>
      </c>
      <c r="W1353" s="1" t="s">
        <v>26</v>
      </c>
    </row>
    <row r="1354" ht="15.75" customHeight="1">
      <c r="A1354" s="1" t="s">
        <v>1391</v>
      </c>
      <c r="B1354" s="1" t="s">
        <v>32</v>
      </c>
      <c r="C1354" s="1">
        <v>0.0</v>
      </c>
      <c r="D1354" s="1" t="s">
        <v>25</v>
      </c>
      <c r="E1354" s="1" t="s">
        <v>25</v>
      </c>
      <c r="F1354" s="1">
        <v>72.0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1">
        <v>60.95</v>
      </c>
      <c r="T1354" s="1">
        <v>4549.05</v>
      </c>
      <c r="U1354" s="1">
        <v>1.0</v>
      </c>
      <c r="V1354" s="1">
        <v>0.0</v>
      </c>
      <c r="W1354" s="1" t="s">
        <v>26</v>
      </c>
    </row>
    <row r="1355" ht="15.75" customHeight="1">
      <c r="A1355" s="1" t="s">
        <v>1392</v>
      </c>
      <c r="B1355" s="1" t="s">
        <v>32</v>
      </c>
      <c r="C1355" s="1">
        <v>0.0</v>
      </c>
      <c r="D1355" s="1" t="s">
        <v>25</v>
      </c>
      <c r="E1355" s="1" t="s">
        <v>25</v>
      </c>
      <c r="F1355" s="1">
        <v>66.0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1">
        <v>20.35</v>
      </c>
      <c r="T1355" s="1">
        <v>1359.5</v>
      </c>
      <c r="U1355" s="1">
        <v>0.0</v>
      </c>
      <c r="V1355" s="1">
        <v>0.0</v>
      </c>
      <c r="W1355" s="1" t="s">
        <v>26</v>
      </c>
    </row>
    <row r="1356" ht="15.75" customHeight="1">
      <c r="A1356" s="1" t="s">
        <v>1393</v>
      </c>
      <c r="B1356" s="1" t="s">
        <v>24</v>
      </c>
      <c r="C1356" s="1">
        <v>0.0</v>
      </c>
      <c r="D1356" s="1" t="s">
        <v>26</v>
      </c>
      <c r="E1356" s="1" t="s">
        <v>26</v>
      </c>
      <c r="F1356" s="1">
        <v>18.0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1">
        <v>88.35</v>
      </c>
      <c r="T1356" s="1">
        <v>1639.3</v>
      </c>
      <c r="U1356" s="1">
        <v>0.0</v>
      </c>
      <c r="V1356" s="1">
        <v>0.0</v>
      </c>
      <c r="W1356" s="1" t="s">
        <v>25</v>
      </c>
    </row>
    <row r="1357" ht="15.75" customHeight="1">
      <c r="A1357" s="1" t="s">
        <v>1394</v>
      </c>
      <c r="B1357" s="1" t="s">
        <v>24</v>
      </c>
      <c r="C1357" s="1">
        <v>0.0</v>
      </c>
      <c r="D1357" s="1" t="s">
        <v>26</v>
      </c>
      <c r="E1357" s="1" t="s">
        <v>26</v>
      </c>
      <c r="F1357" s="1">
        <v>9.0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1">
        <v>19.5</v>
      </c>
      <c r="T1357" s="1">
        <v>178.85</v>
      </c>
      <c r="U1357" s="1">
        <v>0.0</v>
      </c>
      <c r="V1357" s="1">
        <v>0.0</v>
      </c>
      <c r="W1357" s="1" t="s">
        <v>26</v>
      </c>
    </row>
    <row r="1358" ht="15.75" customHeight="1">
      <c r="A1358" s="1" t="s">
        <v>1395</v>
      </c>
      <c r="B1358" s="1" t="s">
        <v>24</v>
      </c>
      <c r="C1358" s="1">
        <v>0.0</v>
      </c>
      <c r="D1358" s="1" t="s">
        <v>26</v>
      </c>
      <c r="E1358" s="1" t="s">
        <v>26</v>
      </c>
      <c r="F1358" s="1">
        <v>9.0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1">
        <v>75.2</v>
      </c>
      <c r="T1358" s="1">
        <v>633.85</v>
      </c>
      <c r="U1358" s="1">
        <v>0.0</v>
      </c>
      <c r="V1358" s="1">
        <v>0.0</v>
      </c>
      <c r="W1358" s="1" t="s">
        <v>26</v>
      </c>
    </row>
    <row r="1359" ht="15.75" customHeight="1">
      <c r="A1359" s="1" t="s">
        <v>1396</v>
      </c>
      <c r="B1359" s="1" t="s">
        <v>32</v>
      </c>
      <c r="C1359" s="1">
        <v>0.0</v>
      </c>
      <c r="D1359" s="1" t="s">
        <v>25</v>
      </c>
      <c r="E1359" s="1" t="s">
        <v>26</v>
      </c>
      <c r="F1359" s="1">
        <v>48.0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1">
        <v>111.45</v>
      </c>
      <c r="T1359" s="1">
        <v>5315.1</v>
      </c>
      <c r="U1359" s="1">
        <v>3.0</v>
      </c>
      <c r="V1359" s="1">
        <v>0.0</v>
      </c>
      <c r="W1359" s="1" t="s">
        <v>26</v>
      </c>
    </row>
    <row r="1360" ht="15.75" customHeight="1">
      <c r="A1360" s="1" t="s">
        <v>1397</v>
      </c>
      <c r="B1360" s="1" t="s">
        <v>32</v>
      </c>
      <c r="C1360" s="1">
        <v>0.0</v>
      </c>
      <c r="D1360" s="1" t="s">
        <v>26</v>
      </c>
      <c r="E1360" s="1" t="s">
        <v>26</v>
      </c>
      <c r="F1360" s="1">
        <v>10.0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1">
        <v>70.15</v>
      </c>
      <c r="T1360" s="1">
        <v>735.5</v>
      </c>
      <c r="U1360" s="1">
        <v>0.0</v>
      </c>
      <c r="V1360" s="1">
        <v>0.0</v>
      </c>
      <c r="W1360" s="1" t="s">
        <v>26</v>
      </c>
    </row>
    <row r="1361" ht="15.75" customHeight="1">
      <c r="A1361" s="1" t="s">
        <v>1398</v>
      </c>
      <c r="B1361" s="1" t="s">
        <v>24</v>
      </c>
      <c r="C1361" s="1">
        <v>0.0</v>
      </c>
      <c r="D1361" s="1" t="s">
        <v>26</v>
      </c>
      <c r="E1361" s="1" t="s">
        <v>26</v>
      </c>
      <c r="F1361" s="1">
        <v>9.0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1">
        <v>94.75</v>
      </c>
      <c r="T1361" s="1">
        <v>889.9</v>
      </c>
      <c r="U1361" s="1">
        <v>0.0</v>
      </c>
      <c r="V1361" s="1">
        <v>0.0</v>
      </c>
      <c r="W1361" s="1" t="s">
        <v>25</v>
      </c>
    </row>
    <row r="1362" ht="15.75" customHeight="1">
      <c r="A1362" s="1" t="s">
        <v>1399</v>
      </c>
      <c r="B1362" s="1" t="s">
        <v>24</v>
      </c>
      <c r="C1362" s="1">
        <v>1.0</v>
      </c>
      <c r="D1362" s="1" t="s">
        <v>26</v>
      </c>
      <c r="E1362" s="1" t="s">
        <v>26</v>
      </c>
      <c r="F1362" s="1">
        <v>13.0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1">
        <v>95.05</v>
      </c>
      <c r="T1362" s="1">
        <v>1290.0</v>
      </c>
      <c r="U1362" s="1">
        <v>0.0</v>
      </c>
      <c r="V1362" s="1">
        <v>0.0</v>
      </c>
      <c r="W1362" s="1" t="s">
        <v>25</v>
      </c>
    </row>
    <row r="1363" ht="15.75" customHeight="1">
      <c r="A1363" s="1" t="s">
        <v>1400</v>
      </c>
      <c r="B1363" s="1" t="s">
        <v>32</v>
      </c>
      <c r="C1363" s="1">
        <v>0.0</v>
      </c>
      <c r="D1363" s="1" t="s">
        <v>26</v>
      </c>
      <c r="E1363" s="1" t="s">
        <v>26</v>
      </c>
      <c r="F1363" s="1">
        <v>4.0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1">
        <v>78.45</v>
      </c>
      <c r="T1363" s="1">
        <v>330.05</v>
      </c>
      <c r="U1363" s="1">
        <v>0.0</v>
      </c>
      <c r="V1363" s="1">
        <v>0.0</v>
      </c>
      <c r="W1363" s="1" t="s">
        <v>25</v>
      </c>
    </row>
    <row r="1364" ht="15.75" customHeight="1">
      <c r="A1364" s="1" t="s">
        <v>1401</v>
      </c>
      <c r="B1364" s="1" t="s">
        <v>32</v>
      </c>
      <c r="C1364" s="1">
        <v>0.0</v>
      </c>
      <c r="D1364" s="1" t="s">
        <v>26</v>
      </c>
      <c r="E1364" s="1" t="s">
        <v>26</v>
      </c>
      <c r="F1364" s="1">
        <v>4.0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1">
        <v>70.2</v>
      </c>
      <c r="T1364" s="1">
        <v>237.95</v>
      </c>
      <c r="U1364" s="1">
        <v>0.0</v>
      </c>
      <c r="V1364" s="1">
        <v>0.0</v>
      </c>
      <c r="W1364" s="1" t="s">
        <v>25</v>
      </c>
    </row>
    <row r="1365" ht="15.75" customHeight="1">
      <c r="A1365" s="1" t="s">
        <v>1402</v>
      </c>
      <c r="B1365" s="1" t="s">
        <v>24</v>
      </c>
      <c r="C1365" s="1">
        <v>0.0</v>
      </c>
      <c r="D1365" s="1" t="s">
        <v>25</v>
      </c>
      <c r="E1365" s="1" t="s">
        <v>26</v>
      </c>
      <c r="F1365" s="1">
        <v>72.0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1">
        <v>92.0</v>
      </c>
      <c r="T1365" s="1">
        <v>6474.4</v>
      </c>
      <c r="U1365" s="1">
        <v>0.0</v>
      </c>
      <c r="V1365" s="1">
        <v>0.0</v>
      </c>
      <c r="W1365" s="1" t="s">
        <v>26</v>
      </c>
    </row>
    <row r="1366" ht="15.75" customHeight="1">
      <c r="A1366" s="1" t="s">
        <v>1403</v>
      </c>
      <c r="B1366" s="1" t="s">
        <v>24</v>
      </c>
      <c r="C1366" s="1">
        <v>0.0</v>
      </c>
      <c r="D1366" s="1" t="s">
        <v>25</v>
      </c>
      <c r="E1366" s="1" t="s">
        <v>25</v>
      </c>
      <c r="F1366" s="1">
        <v>51.0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1">
        <v>85.5</v>
      </c>
      <c r="T1366" s="1">
        <v>4421.95</v>
      </c>
      <c r="U1366" s="1">
        <v>0.0</v>
      </c>
      <c r="V1366" s="1">
        <v>0.0</v>
      </c>
      <c r="W1366" s="1" t="s">
        <v>26</v>
      </c>
    </row>
    <row r="1367" ht="15.75" customHeight="1">
      <c r="A1367" s="1" t="s">
        <v>1404</v>
      </c>
      <c r="B1367" s="1" t="s">
        <v>32</v>
      </c>
      <c r="C1367" s="1">
        <v>0.0</v>
      </c>
      <c r="D1367" s="1" t="s">
        <v>25</v>
      </c>
      <c r="E1367" s="1" t="s">
        <v>26</v>
      </c>
      <c r="F1367" s="1">
        <v>59.0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1">
        <v>41.05</v>
      </c>
      <c r="T1367" s="1">
        <v>2452.7</v>
      </c>
      <c r="U1367" s="1">
        <v>0.0</v>
      </c>
      <c r="V1367" s="1">
        <v>4.0</v>
      </c>
      <c r="W1367" s="1" t="s">
        <v>25</v>
      </c>
    </row>
    <row r="1368" ht="15.75" customHeight="1">
      <c r="A1368" s="1" t="s">
        <v>1405</v>
      </c>
      <c r="B1368" s="1" t="s">
        <v>32</v>
      </c>
      <c r="C1368" s="1">
        <v>0.0</v>
      </c>
      <c r="D1368" s="1" t="s">
        <v>25</v>
      </c>
      <c r="E1368" s="1" t="s">
        <v>26</v>
      </c>
      <c r="F1368" s="1">
        <v>10.0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1">
        <v>85.6</v>
      </c>
      <c r="T1368" s="1">
        <v>813.85</v>
      </c>
      <c r="U1368" s="1">
        <v>0.0</v>
      </c>
      <c r="V1368" s="1">
        <v>0.0</v>
      </c>
      <c r="W1368" s="1" t="s">
        <v>25</v>
      </c>
    </row>
    <row r="1369" ht="15.75" customHeight="1">
      <c r="A1369" s="1" t="s">
        <v>1406</v>
      </c>
      <c r="B1369" s="1" t="s">
        <v>32</v>
      </c>
      <c r="C1369" s="1">
        <v>1.0</v>
      </c>
      <c r="D1369" s="1" t="s">
        <v>25</v>
      </c>
      <c r="E1369" s="1" t="s">
        <v>26</v>
      </c>
      <c r="F1369" s="1">
        <v>61.0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1">
        <v>82.15</v>
      </c>
      <c r="T1369" s="1">
        <v>4904.85</v>
      </c>
      <c r="U1369" s="1">
        <v>0.0</v>
      </c>
      <c r="V1369" s="1">
        <v>0.0</v>
      </c>
      <c r="W1369" s="1" t="s">
        <v>26</v>
      </c>
    </row>
    <row r="1370" ht="15.75" customHeight="1">
      <c r="A1370" s="1" t="s">
        <v>1407</v>
      </c>
      <c r="B1370" s="1" t="s">
        <v>32</v>
      </c>
      <c r="C1370" s="1">
        <v>0.0</v>
      </c>
      <c r="D1370" s="1" t="s">
        <v>26</v>
      </c>
      <c r="E1370" s="1" t="s">
        <v>26</v>
      </c>
      <c r="F1370" s="1">
        <v>54.0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1">
        <v>84.4</v>
      </c>
      <c r="T1370" s="1">
        <v>4484.05</v>
      </c>
      <c r="U1370" s="1">
        <v>5.0</v>
      </c>
      <c r="V1370" s="1">
        <v>0.0</v>
      </c>
      <c r="W1370" s="1" t="s">
        <v>26</v>
      </c>
    </row>
    <row r="1371" ht="15.75" customHeight="1">
      <c r="A1371" s="1" t="s">
        <v>1408</v>
      </c>
      <c r="B1371" s="1" t="s">
        <v>24</v>
      </c>
      <c r="C1371" s="1">
        <v>0.0</v>
      </c>
      <c r="D1371" s="1" t="s">
        <v>26</v>
      </c>
      <c r="E1371" s="1" t="s">
        <v>26</v>
      </c>
      <c r="F1371" s="1">
        <v>33.0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1">
        <v>60.9</v>
      </c>
      <c r="T1371" s="1">
        <v>2033.85</v>
      </c>
      <c r="U1371" s="1">
        <v>0.0</v>
      </c>
      <c r="V1371" s="1">
        <v>0.0</v>
      </c>
      <c r="W1371" s="1" t="s">
        <v>26</v>
      </c>
    </row>
    <row r="1372" ht="15.75" customHeight="1">
      <c r="A1372" s="1" t="s">
        <v>1409</v>
      </c>
      <c r="B1372" s="1" t="s">
        <v>24</v>
      </c>
      <c r="C1372" s="1">
        <v>0.0</v>
      </c>
      <c r="D1372" s="1" t="s">
        <v>26</v>
      </c>
      <c r="E1372" s="1" t="s">
        <v>26</v>
      </c>
      <c r="F1372" s="1">
        <v>27.0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1">
        <v>20.25</v>
      </c>
      <c r="T1372" s="1">
        <v>538.2</v>
      </c>
      <c r="U1372" s="1">
        <v>0.0</v>
      </c>
      <c r="V1372" s="1">
        <v>0.0</v>
      </c>
      <c r="W1372" s="1" t="s">
        <v>26</v>
      </c>
    </row>
    <row r="1373" ht="15.75" customHeight="1">
      <c r="A1373" s="1" t="s">
        <v>1410</v>
      </c>
      <c r="B1373" s="1" t="s">
        <v>24</v>
      </c>
      <c r="C1373" s="1">
        <v>1.0</v>
      </c>
      <c r="D1373" s="1" t="s">
        <v>26</v>
      </c>
      <c r="E1373" s="1" t="s">
        <v>26</v>
      </c>
      <c r="F1373" s="1">
        <v>1.0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1">
        <v>79.2</v>
      </c>
      <c r="T1373" s="1">
        <v>79.2</v>
      </c>
      <c r="U1373" s="1">
        <v>0.0</v>
      </c>
      <c r="V1373" s="1">
        <v>0.0</v>
      </c>
      <c r="W1373" s="1" t="s">
        <v>25</v>
      </c>
    </row>
    <row r="1374" ht="15.75" customHeight="1">
      <c r="A1374" s="1" t="s">
        <v>1411</v>
      </c>
      <c r="B1374" s="1" t="s">
        <v>32</v>
      </c>
      <c r="C1374" s="1">
        <v>0.0</v>
      </c>
      <c r="D1374" s="1" t="s">
        <v>26</v>
      </c>
      <c r="E1374" s="1" t="s">
        <v>26</v>
      </c>
      <c r="F1374" s="1">
        <v>23.0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1">
        <v>95.3</v>
      </c>
      <c r="T1374" s="1">
        <v>2192.9</v>
      </c>
      <c r="U1374" s="1">
        <v>0.0</v>
      </c>
      <c r="V1374" s="1">
        <v>0.0</v>
      </c>
      <c r="W1374" s="1" t="s">
        <v>26</v>
      </c>
    </row>
    <row r="1375" ht="15.75" customHeight="1">
      <c r="A1375" s="1" t="s">
        <v>1412</v>
      </c>
      <c r="B1375" s="1" t="s">
        <v>32</v>
      </c>
      <c r="C1375" s="1">
        <v>0.0</v>
      </c>
      <c r="D1375" s="1" t="s">
        <v>26</v>
      </c>
      <c r="E1375" s="1" t="s">
        <v>25</v>
      </c>
      <c r="F1375" s="1">
        <v>1.0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1">
        <v>19.85</v>
      </c>
      <c r="T1375" s="1">
        <v>19.85</v>
      </c>
      <c r="U1375" s="1">
        <v>0.0</v>
      </c>
      <c r="V1375" s="1">
        <v>0.0</v>
      </c>
      <c r="W1375" s="1" t="s">
        <v>26</v>
      </c>
    </row>
    <row r="1376" ht="15.75" customHeight="1">
      <c r="A1376" s="1" t="s">
        <v>1413</v>
      </c>
      <c r="B1376" s="1" t="s">
        <v>32</v>
      </c>
      <c r="C1376" s="1">
        <v>0.0</v>
      </c>
      <c r="D1376" s="1" t="s">
        <v>25</v>
      </c>
      <c r="E1376" s="1" t="s">
        <v>25</v>
      </c>
      <c r="F1376" s="1">
        <v>45.0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1">
        <v>84.35</v>
      </c>
      <c r="T1376" s="1">
        <v>3858.05</v>
      </c>
      <c r="U1376" s="1">
        <v>0.0</v>
      </c>
      <c r="V1376" s="1">
        <v>0.0</v>
      </c>
      <c r="W1376" s="1" t="s">
        <v>26</v>
      </c>
    </row>
    <row r="1377" ht="15.75" customHeight="1">
      <c r="A1377" s="1" t="s">
        <v>1414</v>
      </c>
      <c r="B1377" s="1" t="s">
        <v>24</v>
      </c>
      <c r="C1377" s="1">
        <v>0.0</v>
      </c>
      <c r="D1377" s="1" t="s">
        <v>25</v>
      </c>
      <c r="E1377" s="1" t="s">
        <v>25</v>
      </c>
      <c r="F1377" s="1">
        <v>39.0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1">
        <v>19.85</v>
      </c>
      <c r="T1377" s="1">
        <v>854.8</v>
      </c>
      <c r="U1377" s="1">
        <v>0.0</v>
      </c>
      <c r="V1377" s="1">
        <v>0.0</v>
      </c>
      <c r="W1377" s="1" t="s">
        <v>26</v>
      </c>
    </row>
    <row r="1378" ht="15.75" customHeight="1">
      <c r="A1378" s="1" t="s">
        <v>1415</v>
      </c>
      <c r="B1378" s="1" t="s">
        <v>32</v>
      </c>
      <c r="C1378" s="1">
        <v>0.0</v>
      </c>
      <c r="D1378" s="1" t="s">
        <v>26</v>
      </c>
      <c r="E1378" s="1" t="s">
        <v>26</v>
      </c>
      <c r="F1378" s="1">
        <v>5.0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1">
        <v>70.0</v>
      </c>
      <c r="T1378" s="1">
        <v>347.4</v>
      </c>
      <c r="U1378" s="1">
        <v>0.0</v>
      </c>
      <c r="V1378" s="1">
        <v>0.0</v>
      </c>
      <c r="W1378" s="1" t="s">
        <v>25</v>
      </c>
    </row>
    <row r="1379" ht="15.75" customHeight="1">
      <c r="A1379" s="1" t="s">
        <v>1416</v>
      </c>
      <c r="B1379" s="1" t="s">
        <v>32</v>
      </c>
      <c r="C1379" s="1">
        <v>0.0</v>
      </c>
      <c r="D1379" s="1" t="s">
        <v>25</v>
      </c>
      <c r="E1379" s="1" t="s">
        <v>25</v>
      </c>
      <c r="F1379" s="1">
        <v>72.0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1">
        <v>82.3</v>
      </c>
      <c r="T1379" s="1">
        <v>5815.15</v>
      </c>
      <c r="U1379" s="1">
        <v>0.0</v>
      </c>
      <c r="V1379" s="1">
        <v>0.0</v>
      </c>
      <c r="W1379" s="1" t="s">
        <v>26</v>
      </c>
    </row>
    <row r="1380" ht="15.75" customHeight="1">
      <c r="A1380" s="1" t="s">
        <v>1417</v>
      </c>
      <c r="B1380" s="1" t="s">
        <v>24</v>
      </c>
      <c r="C1380" s="1">
        <v>0.0</v>
      </c>
      <c r="D1380" s="1" t="s">
        <v>25</v>
      </c>
      <c r="E1380" s="1" t="s">
        <v>25</v>
      </c>
      <c r="F1380" s="1">
        <v>58.0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1">
        <v>66.8</v>
      </c>
      <c r="T1380" s="1">
        <v>3970.4</v>
      </c>
      <c r="U1380" s="1">
        <v>0.0</v>
      </c>
      <c r="V1380" s="1">
        <v>0.0</v>
      </c>
      <c r="W1380" s="1" t="s">
        <v>26</v>
      </c>
    </row>
    <row r="1381" ht="15.75" customHeight="1">
      <c r="A1381" s="1" t="s">
        <v>1418</v>
      </c>
      <c r="B1381" s="1" t="s">
        <v>24</v>
      </c>
      <c r="C1381" s="1">
        <v>0.0</v>
      </c>
      <c r="D1381" s="1" t="s">
        <v>26</v>
      </c>
      <c r="E1381" s="1" t="s">
        <v>26</v>
      </c>
      <c r="F1381" s="1">
        <v>70.0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1">
        <v>44.6</v>
      </c>
      <c r="T1381" s="1">
        <v>3058.15</v>
      </c>
      <c r="U1381" s="1">
        <v>0.0</v>
      </c>
      <c r="V1381" s="1">
        <v>0.0</v>
      </c>
      <c r="W1381" s="1" t="s">
        <v>26</v>
      </c>
    </row>
    <row r="1382" ht="15.75" customHeight="1">
      <c r="A1382" s="1" t="s">
        <v>1419</v>
      </c>
      <c r="B1382" s="1" t="s">
        <v>32</v>
      </c>
      <c r="C1382" s="1">
        <v>0.0</v>
      </c>
      <c r="D1382" s="1" t="s">
        <v>25</v>
      </c>
      <c r="E1382" s="1" t="s">
        <v>25</v>
      </c>
      <c r="F1382" s="1">
        <v>61.0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1">
        <v>98.45</v>
      </c>
      <c r="T1382" s="1">
        <v>6145.2</v>
      </c>
      <c r="U1382" s="1">
        <v>0.0</v>
      </c>
      <c r="V1382" s="1">
        <v>0.0</v>
      </c>
      <c r="W1382" s="1" t="s">
        <v>26</v>
      </c>
    </row>
    <row r="1383" ht="15.75" customHeight="1">
      <c r="A1383" s="1" t="s">
        <v>1420</v>
      </c>
      <c r="B1383" s="1" t="s">
        <v>32</v>
      </c>
      <c r="C1383" s="1">
        <v>0.0</v>
      </c>
      <c r="D1383" s="1" t="s">
        <v>26</v>
      </c>
      <c r="E1383" s="1" t="s">
        <v>26</v>
      </c>
      <c r="F1383" s="1">
        <v>2.0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1">
        <v>70.7</v>
      </c>
      <c r="T1383" s="1">
        <v>129.2</v>
      </c>
      <c r="U1383" s="1">
        <v>0.0</v>
      </c>
      <c r="V1383" s="1">
        <v>0.0</v>
      </c>
      <c r="W1383" s="1" t="s">
        <v>26</v>
      </c>
    </row>
    <row r="1384" ht="15.75" customHeight="1">
      <c r="A1384" s="1" t="s">
        <v>1421</v>
      </c>
      <c r="B1384" s="1" t="s">
        <v>24</v>
      </c>
      <c r="C1384" s="1">
        <v>0.0</v>
      </c>
      <c r="D1384" s="1" t="s">
        <v>25</v>
      </c>
      <c r="E1384" s="1" t="s">
        <v>25</v>
      </c>
      <c r="F1384" s="1">
        <v>46.0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1">
        <v>24.95</v>
      </c>
      <c r="T1384" s="1">
        <v>1165.9</v>
      </c>
      <c r="U1384" s="1">
        <v>3.0</v>
      </c>
      <c r="V1384" s="1">
        <v>0.0</v>
      </c>
      <c r="W1384" s="1" t="s">
        <v>26</v>
      </c>
    </row>
    <row r="1385" ht="15.75" customHeight="1">
      <c r="A1385" s="1" t="s">
        <v>1422</v>
      </c>
      <c r="B1385" s="1" t="s">
        <v>24</v>
      </c>
      <c r="C1385" s="1">
        <v>0.0</v>
      </c>
      <c r="D1385" s="1" t="s">
        <v>26</v>
      </c>
      <c r="E1385" s="1" t="s">
        <v>26</v>
      </c>
      <c r="F1385" s="1">
        <v>1.0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1">
        <v>49.95</v>
      </c>
      <c r="T1385" s="1">
        <v>49.95</v>
      </c>
      <c r="U1385" s="1">
        <v>0.0</v>
      </c>
      <c r="V1385" s="1">
        <v>0.0</v>
      </c>
      <c r="W1385" s="1" t="s">
        <v>25</v>
      </c>
    </row>
    <row r="1386" ht="15.75" customHeight="1">
      <c r="A1386" s="1" t="s">
        <v>1423</v>
      </c>
      <c r="B1386" s="1" t="s">
        <v>24</v>
      </c>
      <c r="C1386" s="1">
        <v>0.0</v>
      </c>
      <c r="D1386" s="1" t="s">
        <v>25</v>
      </c>
      <c r="E1386" s="1" t="s">
        <v>26</v>
      </c>
      <c r="F1386" s="1">
        <v>22.0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1">
        <v>69.25</v>
      </c>
      <c r="T1386" s="1">
        <v>1554.0</v>
      </c>
      <c r="U1386" s="1">
        <v>0.0</v>
      </c>
      <c r="V1386" s="1">
        <v>0.0</v>
      </c>
      <c r="W1386" s="1" t="s">
        <v>25</v>
      </c>
    </row>
    <row r="1387" ht="15.75" customHeight="1">
      <c r="A1387" s="1" t="s">
        <v>1424</v>
      </c>
      <c r="B1387" s="1" t="s">
        <v>24</v>
      </c>
      <c r="C1387" s="1">
        <v>0.0</v>
      </c>
      <c r="D1387" s="1" t="s">
        <v>26</v>
      </c>
      <c r="E1387" s="1" t="s">
        <v>26</v>
      </c>
      <c r="F1387" s="1">
        <v>48.0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1">
        <v>102.5</v>
      </c>
      <c r="T1387" s="1">
        <v>4904.25</v>
      </c>
      <c r="U1387" s="1">
        <v>0.0</v>
      </c>
      <c r="V1387" s="1">
        <v>0.0</v>
      </c>
      <c r="W1387" s="1" t="s">
        <v>26</v>
      </c>
    </row>
    <row r="1388" ht="15.75" customHeight="1">
      <c r="A1388" s="1" t="s">
        <v>1425</v>
      </c>
      <c r="B1388" s="1" t="s">
        <v>32</v>
      </c>
      <c r="C1388" s="1">
        <v>0.0</v>
      </c>
      <c r="D1388" s="1" t="s">
        <v>26</v>
      </c>
      <c r="E1388" s="1" t="s">
        <v>26</v>
      </c>
      <c r="F1388" s="1">
        <v>64.0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1">
        <v>86.55</v>
      </c>
      <c r="T1388" s="1">
        <v>5632.55</v>
      </c>
      <c r="U1388" s="1">
        <v>0.0</v>
      </c>
      <c r="V1388" s="1">
        <v>0.0</v>
      </c>
      <c r="W1388" s="1" t="s">
        <v>26</v>
      </c>
    </row>
    <row r="1389" ht="15.75" customHeight="1">
      <c r="A1389" s="1" t="s">
        <v>1426</v>
      </c>
      <c r="B1389" s="1" t="s">
        <v>32</v>
      </c>
      <c r="C1389" s="1">
        <v>0.0</v>
      </c>
      <c r="D1389" s="1" t="s">
        <v>25</v>
      </c>
      <c r="E1389" s="1" t="s">
        <v>25</v>
      </c>
      <c r="F1389" s="1">
        <v>72.0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1">
        <v>24.3</v>
      </c>
      <c r="T1389" s="1">
        <v>1643.25</v>
      </c>
      <c r="U1389" s="1">
        <v>0.0</v>
      </c>
      <c r="V1389" s="1">
        <v>5.0</v>
      </c>
      <c r="W1389" s="1" t="s">
        <v>26</v>
      </c>
    </row>
    <row r="1390" ht="15.75" customHeight="1">
      <c r="A1390" s="1" t="s">
        <v>1427</v>
      </c>
      <c r="B1390" s="1" t="s">
        <v>24</v>
      </c>
      <c r="C1390" s="1">
        <v>0.0</v>
      </c>
      <c r="D1390" s="1" t="s">
        <v>25</v>
      </c>
      <c r="E1390" s="1" t="s">
        <v>25</v>
      </c>
      <c r="F1390" s="1">
        <v>12.0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1">
        <v>58.35</v>
      </c>
      <c r="T1390" s="1">
        <v>740.55</v>
      </c>
      <c r="U1390" s="1">
        <v>0.0</v>
      </c>
      <c r="V1390" s="1">
        <v>0.0</v>
      </c>
      <c r="W1390" s="1" t="s">
        <v>26</v>
      </c>
    </row>
    <row r="1391" ht="15.75" customHeight="1">
      <c r="A1391" s="1" t="s">
        <v>1428</v>
      </c>
      <c r="B1391" s="1" t="s">
        <v>24</v>
      </c>
      <c r="C1391" s="1">
        <v>1.0</v>
      </c>
      <c r="D1391" s="1" t="s">
        <v>25</v>
      </c>
      <c r="E1391" s="1" t="s">
        <v>26</v>
      </c>
      <c r="F1391" s="1">
        <v>34.0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1">
        <v>94.25</v>
      </c>
      <c r="T1391" s="1">
        <v>3217.55</v>
      </c>
      <c r="U1391" s="1">
        <v>0.0</v>
      </c>
      <c r="V1391" s="1">
        <v>2.0</v>
      </c>
      <c r="W1391" s="1" t="s">
        <v>25</v>
      </c>
    </row>
    <row r="1392" ht="15.75" customHeight="1">
      <c r="A1392" s="1" t="s">
        <v>1429</v>
      </c>
      <c r="B1392" s="1" t="s">
        <v>24</v>
      </c>
      <c r="C1392" s="1">
        <v>0.0</v>
      </c>
      <c r="D1392" s="1" t="s">
        <v>25</v>
      </c>
      <c r="E1392" s="1" t="s">
        <v>25</v>
      </c>
      <c r="F1392" s="1">
        <v>72.0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1">
        <v>68.75</v>
      </c>
      <c r="T1392" s="1">
        <v>4888.2</v>
      </c>
      <c r="U1392" s="1">
        <v>0.0</v>
      </c>
      <c r="V1392" s="1">
        <v>0.0</v>
      </c>
      <c r="W1392" s="1" t="s">
        <v>26</v>
      </c>
    </row>
    <row r="1393" ht="15.75" customHeight="1">
      <c r="A1393" s="1" t="s">
        <v>1430</v>
      </c>
      <c r="B1393" s="1" t="s">
        <v>32</v>
      </c>
      <c r="C1393" s="1">
        <v>0.0</v>
      </c>
      <c r="D1393" s="1" t="s">
        <v>25</v>
      </c>
      <c r="E1393" s="1" t="s">
        <v>26</v>
      </c>
      <c r="F1393" s="1">
        <v>29.0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1">
        <v>85.8</v>
      </c>
      <c r="T1393" s="1">
        <v>2440.25</v>
      </c>
      <c r="U1393" s="1">
        <v>0.0</v>
      </c>
      <c r="V1393" s="1">
        <v>0.0</v>
      </c>
      <c r="W1393" s="1" t="s">
        <v>26</v>
      </c>
    </row>
    <row r="1394" ht="15.75" customHeight="1">
      <c r="A1394" s="1" t="s">
        <v>1431</v>
      </c>
      <c r="B1394" s="1" t="s">
        <v>32</v>
      </c>
      <c r="C1394" s="1">
        <v>0.0</v>
      </c>
      <c r="D1394" s="1" t="s">
        <v>25</v>
      </c>
      <c r="E1394" s="1" t="s">
        <v>25</v>
      </c>
      <c r="F1394" s="1">
        <v>33.0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1">
        <v>20.1</v>
      </c>
      <c r="T1394" s="1">
        <v>620.55</v>
      </c>
      <c r="U1394" s="1">
        <v>0.0</v>
      </c>
      <c r="V1394" s="1">
        <v>0.0</v>
      </c>
      <c r="W1394" s="1" t="s">
        <v>26</v>
      </c>
    </row>
    <row r="1395" ht="15.75" customHeight="1">
      <c r="A1395" s="1" t="s">
        <v>1432</v>
      </c>
      <c r="B1395" s="1" t="s">
        <v>24</v>
      </c>
      <c r="C1395" s="1">
        <v>0.0</v>
      </c>
      <c r="D1395" s="1" t="s">
        <v>26</v>
      </c>
      <c r="E1395" s="1" t="s">
        <v>26</v>
      </c>
      <c r="F1395" s="1">
        <v>1.0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1">
        <v>20.35</v>
      </c>
      <c r="T1395" s="1">
        <v>20.35</v>
      </c>
      <c r="U1395" s="1">
        <v>0.0</v>
      </c>
      <c r="V1395" s="1">
        <v>0.0</v>
      </c>
      <c r="W1395" s="1" t="s">
        <v>26</v>
      </c>
    </row>
    <row r="1396" ht="15.75" customHeight="1">
      <c r="A1396" s="1" t="s">
        <v>1433</v>
      </c>
      <c r="B1396" s="1" t="s">
        <v>24</v>
      </c>
      <c r="C1396" s="1">
        <v>0.0</v>
      </c>
      <c r="D1396" s="1" t="s">
        <v>25</v>
      </c>
      <c r="E1396" s="1" t="s">
        <v>25</v>
      </c>
      <c r="F1396" s="1">
        <v>62.0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1">
        <v>110.8</v>
      </c>
      <c r="T1396" s="1">
        <v>6840.95</v>
      </c>
      <c r="U1396" s="1">
        <v>0.0</v>
      </c>
      <c r="V1396" s="1">
        <v>0.0</v>
      </c>
      <c r="W1396" s="1" t="s">
        <v>26</v>
      </c>
    </row>
    <row r="1397" ht="15.75" customHeight="1">
      <c r="A1397" s="1" t="s">
        <v>1434</v>
      </c>
      <c r="B1397" s="1" t="s">
        <v>32</v>
      </c>
      <c r="C1397" s="1">
        <v>0.0</v>
      </c>
      <c r="D1397" s="1" t="s">
        <v>25</v>
      </c>
      <c r="E1397" s="1" t="s">
        <v>26</v>
      </c>
      <c r="F1397" s="1">
        <v>41.0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1">
        <v>73.0</v>
      </c>
      <c r="T1397" s="1">
        <v>3001.2</v>
      </c>
      <c r="U1397" s="1">
        <v>3.0</v>
      </c>
      <c r="V1397" s="1">
        <v>4.0</v>
      </c>
      <c r="W1397" s="1" t="s">
        <v>25</v>
      </c>
    </row>
    <row r="1398" ht="15.75" customHeight="1">
      <c r="A1398" s="1" t="s">
        <v>1435</v>
      </c>
      <c r="B1398" s="1" t="s">
        <v>24</v>
      </c>
      <c r="C1398" s="1">
        <v>0.0</v>
      </c>
      <c r="D1398" s="1" t="s">
        <v>26</v>
      </c>
      <c r="E1398" s="1" t="s">
        <v>26</v>
      </c>
      <c r="F1398" s="1">
        <v>64.0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1">
        <v>100.05</v>
      </c>
      <c r="T1398" s="1">
        <v>6254.2</v>
      </c>
      <c r="U1398" s="1">
        <v>0.0</v>
      </c>
      <c r="V1398" s="1">
        <v>8.0</v>
      </c>
      <c r="W1398" s="1" t="s">
        <v>25</v>
      </c>
    </row>
    <row r="1399" ht="15.75" customHeight="1">
      <c r="A1399" s="1" t="s">
        <v>1436</v>
      </c>
      <c r="B1399" s="1" t="s">
        <v>24</v>
      </c>
      <c r="C1399" s="1">
        <v>0.0</v>
      </c>
      <c r="D1399" s="1" t="s">
        <v>26</v>
      </c>
      <c r="E1399" s="1" t="s">
        <v>26</v>
      </c>
      <c r="F1399" s="1">
        <v>4.0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1">
        <v>82.85</v>
      </c>
      <c r="T1399" s="1">
        <v>319.6</v>
      </c>
      <c r="U1399" s="1">
        <v>0.0</v>
      </c>
      <c r="V1399" s="1">
        <v>0.0</v>
      </c>
      <c r="W1399" s="1" t="s">
        <v>26</v>
      </c>
    </row>
    <row r="1400" ht="15.75" customHeight="1">
      <c r="A1400" s="1" t="s">
        <v>1437</v>
      </c>
      <c r="B1400" s="1" t="s">
        <v>24</v>
      </c>
      <c r="C1400" s="1">
        <v>0.0</v>
      </c>
      <c r="D1400" s="1" t="s">
        <v>26</v>
      </c>
      <c r="E1400" s="1" t="s">
        <v>26</v>
      </c>
      <c r="F1400" s="1">
        <v>24.0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1">
        <v>84.35</v>
      </c>
      <c r="T1400" s="1">
        <v>1938.05</v>
      </c>
      <c r="U1400" s="1">
        <v>0.0</v>
      </c>
      <c r="V1400" s="1">
        <v>0.0</v>
      </c>
      <c r="W1400" s="1" t="s">
        <v>26</v>
      </c>
    </row>
    <row r="1401" ht="15.75" customHeight="1">
      <c r="A1401" s="1" t="s">
        <v>1438</v>
      </c>
      <c r="B1401" s="1" t="s">
        <v>24</v>
      </c>
      <c r="C1401" s="1">
        <v>0.0</v>
      </c>
      <c r="D1401" s="1" t="s">
        <v>25</v>
      </c>
      <c r="E1401" s="1" t="s">
        <v>25</v>
      </c>
      <c r="F1401" s="1">
        <v>14.0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1">
        <v>19.55</v>
      </c>
      <c r="T1401" s="1">
        <v>294.5</v>
      </c>
      <c r="U1401" s="1">
        <v>0.0</v>
      </c>
      <c r="V1401" s="1">
        <v>0.0</v>
      </c>
      <c r="W1401" s="1" t="s">
        <v>26</v>
      </c>
    </row>
    <row r="1402" ht="15.75" customHeight="1">
      <c r="A1402" s="1" t="s">
        <v>1439</v>
      </c>
      <c r="B1402" s="1" t="s">
        <v>32</v>
      </c>
      <c r="C1402" s="1">
        <v>0.0</v>
      </c>
      <c r="D1402" s="1" t="s">
        <v>26</v>
      </c>
      <c r="E1402" s="1" t="s">
        <v>25</v>
      </c>
      <c r="F1402" s="1">
        <v>3.0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1">
        <v>19.95</v>
      </c>
      <c r="T1402" s="1">
        <v>58.3</v>
      </c>
      <c r="U1402" s="1">
        <v>0.0</v>
      </c>
      <c r="V1402" s="1">
        <v>0.0</v>
      </c>
      <c r="W1402" s="1" t="s">
        <v>26</v>
      </c>
    </row>
    <row r="1403" ht="15.75" customHeight="1">
      <c r="A1403" s="1" t="s">
        <v>1440</v>
      </c>
      <c r="B1403" s="1" t="s">
        <v>24</v>
      </c>
      <c r="C1403" s="1">
        <v>1.0</v>
      </c>
      <c r="D1403" s="1" t="s">
        <v>26</v>
      </c>
      <c r="E1403" s="1" t="s">
        <v>26</v>
      </c>
      <c r="F1403" s="1">
        <v>4.0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1">
        <v>99.8</v>
      </c>
      <c r="T1403" s="1">
        <v>442.85</v>
      </c>
      <c r="U1403" s="1">
        <v>4.0</v>
      </c>
      <c r="V1403" s="1">
        <v>0.0</v>
      </c>
      <c r="W1403" s="1" t="s">
        <v>25</v>
      </c>
    </row>
    <row r="1404" ht="15.75" customHeight="1">
      <c r="A1404" s="1" t="s">
        <v>1441</v>
      </c>
      <c r="B1404" s="1" t="s">
        <v>24</v>
      </c>
      <c r="C1404" s="1">
        <v>0.0</v>
      </c>
      <c r="D1404" s="1" t="s">
        <v>26</v>
      </c>
      <c r="E1404" s="1" t="s">
        <v>25</v>
      </c>
      <c r="F1404" s="1">
        <v>18.0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1">
        <v>35.0</v>
      </c>
      <c r="T1404" s="1">
        <v>553.0</v>
      </c>
      <c r="U1404" s="1">
        <v>0.0</v>
      </c>
      <c r="V1404" s="1">
        <v>0.0</v>
      </c>
      <c r="W1404" s="1" t="s">
        <v>25</v>
      </c>
    </row>
    <row r="1405" ht="15.75" customHeight="1">
      <c r="A1405" s="1" t="s">
        <v>1442</v>
      </c>
      <c r="B1405" s="1" t="s">
        <v>32</v>
      </c>
      <c r="C1405" s="1">
        <v>0.0</v>
      </c>
      <c r="D1405" s="1" t="s">
        <v>26</v>
      </c>
      <c r="E1405" s="1" t="s">
        <v>26</v>
      </c>
      <c r="F1405" s="1">
        <v>8.0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1">
        <v>66.25</v>
      </c>
      <c r="T1405" s="1">
        <v>546.45</v>
      </c>
      <c r="U1405" s="1">
        <v>0.0</v>
      </c>
      <c r="V1405" s="1">
        <v>0.0</v>
      </c>
      <c r="W1405" s="1" t="s">
        <v>26</v>
      </c>
    </row>
    <row r="1406" ht="15.75" customHeight="1">
      <c r="A1406" s="1" t="s">
        <v>1443</v>
      </c>
      <c r="B1406" s="1" t="s">
        <v>24</v>
      </c>
      <c r="C1406" s="1">
        <v>0.0</v>
      </c>
      <c r="D1406" s="1" t="s">
        <v>26</v>
      </c>
      <c r="E1406" s="1" t="s">
        <v>26</v>
      </c>
      <c r="F1406" s="1">
        <v>35.0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1">
        <v>23.3</v>
      </c>
      <c r="T1406" s="1">
        <v>797.1</v>
      </c>
      <c r="U1406" s="1">
        <v>0.0</v>
      </c>
      <c r="V1406" s="1">
        <v>0.0</v>
      </c>
      <c r="W1406" s="1" t="s">
        <v>26</v>
      </c>
    </row>
    <row r="1407" ht="15.75" customHeight="1">
      <c r="A1407" s="1" t="s">
        <v>1444</v>
      </c>
      <c r="B1407" s="1" t="s">
        <v>24</v>
      </c>
      <c r="C1407" s="1">
        <v>0.0</v>
      </c>
      <c r="D1407" s="1" t="s">
        <v>26</v>
      </c>
      <c r="E1407" s="1" t="s">
        <v>26</v>
      </c>
      <c r="F1407" s="1">
        <v>1.0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1">
        <v>76.0</v>
      </c>
      <c r="T1407" s="1">
        <v>76.0</v>
      </c>
      <c r="U1407" s="1">
        <v>0.0</v>
      </c>
      <c r="V1407" s="1">
        <v>0.0</v>
      </c>
      <c r="W1407" s="1" t="s">
        <v>25</v>
      </c>
    </row>
    <row r="1408" ht="15.75" customHeight="1">
      <c r="A1408" s="1" t="s">
        <v>1445</v>
      </c>
      <c r="B1408" s="1" t="s">
        <v>32</v>
      </c>
      <c r="C1408" s="1">
        <v>0.0</v>
      </c>
      <c r="D1408" s="1" t="s">
        <v>26</v>
      </c>
      <c r="E1408" s="1" t="s">
        <v>25</v>
      </c>
      <c r="F1408" s="1">
        <v>66.0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1">
        <v>25.3</v>
      </c>
      <c r="T1408" s="1">
        <v>1673.8</v>
      </c>
      <c r="U1408" s="1">
        <v>0.0</v>
      </c>
      <c r="V1408" s="1">
        <v>0.0</v>
      </c>
      <c r="W1408" s="1" t="s">
        <v>26</v>
      </c>
    </row>
    <row r="1409" ht="15.75" customHeight="1">
      <c r="A1409" s="1" t="s">
        <v>1446</v>
      </c>
      <c r="B1409" s="1" t="s">
        <v>32</v>
      </c>
      <c r="C1409" s="1">
        <v>0.0</v>
      </c>
      <c r="D1409" s="1" t="s">
        <v>26</v>
      </c>
      <c r="E1409" s="1" t="s">
        <v>25</v>
      </c>
      <c r="F1409" s="1">
        <v>8.0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1">
        <v>44.55</v>
      </c>
      <c r="T1409" s="1">
        <v>343.45</v>
      </c>
      <c r="U1409" s="1">
        <v>2.0</v>
      </c>
      <c r="V1409" s="1">
        <v>0.0</v>
      </c>
      <c r="W1409" s="1" t="s">
        <v>26</v>
      </c>
    </row>
    <row r="1410" ht="15.75" customHeight="1">
      <c r="A1410" s="1" t="s">
        <v>1447</v>
      </c>
      <c r="B1410" s="1" t="s">
        <v>24</v>
      </c>
      <c r="C1410" s="1">
        <v>0.0</v>
      </c>
      <c r="D1410" s="1" t="s">
        <v>25</v>
      </c>
      <c r="E1410" s="1" t="s">
        <v>26</v>
      </c>
      <c r="F1410" s="1">
        <v>71.0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1">
        <v>104.1</v>
      </c>
      <c r="T1410" s="1">
        <v>7412.25</v>
      </c>
      <c r="U1410" s="1">
        <v>2.0</v>
      </c>
      <c r="V1410" s="1">
        <v>0.0</v>
      </c>
      <c r="W1410" s="1" t="s">
        <v>26</v>
      </c>
    </row>
    <row r="1411" ht="15.75" customHeight="1">
      <c r="A1411" s="1" t="s">
        <v>1448</v>
      </c>
      <c r="B1411" s="1" t="s">
        <v>24</v>
      </c>
      <c r="C1411" s="1">
        <v>0.0</v>
      </c>
      <c r="D1411" s="1" t="s">
        <v>25</v>
      </c>
      <c r="E1411" s="1" t="s">
        <v>25</v>
      </c>
      <c r="F1411" s="1">
        <v>43.0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1">
        <v>92.55</v>
      </c>
      <c r="T1411" s="1">
        <v>4039.0</v>
      </c>
      <c r="U1411" s="1">
        <v>0.0</v>
      </c>
      <c r="V1411" s="1">
        <v>2.0</v>
      </c>
      <c r="W1411" s="1" t="s">
        <v>26</v>
      </c>
    </row>
    <row r="1412" ht="15.75" customHeight="1">
      <c r="A1412" s="1" t="s">
        <v>1449</v>
      </c>
      <c r="B1412" s="1" t="s">
        <v>24</v>
      </c>
      <c r="C1412" s="1">
        <v>1.0</v>
      </c>
      <c r="D1412" s="1" t="s">
        <v>26</v>
      </c>
      <c r="E1412" s="1" t="s">
        <v>26</v>
      </c>
      <c r="F1412" s="1">
        <v>2.0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1">
        <v>93.85</v>
      </c>
      <c r="T1412" s="1">
        <v>170.85</v>
      </c>
      <c r="U1412" s="1">
        <v>0.0</v>
      </c>
      <c r="V1412" s="1">
        <v>0.0</v>
      </c>
      <c r="W1412" s="1" t="s">
        <v>25</v>
      </c>
    </row>
    <row r="1413" ht="15.75" customHeight="1">
      <c r="A1413" s="1" t="s">
        <v>1450</v>
      </c>
      <c r="B1413" s="1" t="s">
        <v>32</v>
      </c>
      <c r="C1413" s="1">
        <v>1.0</v>
      </c>
      <c r="D1413" s="1" t="s">
        <v>26</v>
      </c>
      <c r="E1413" s="1" t="s">
        <v>26</v>
      </c>
      <c r="F1413" s="1">
        <v>29.0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1">
        <v>101.45</v>
      </c>
      <c r="T1413" s="1">
        <v>2948.6</v>
      </c>
      <c r="U1413" s="1">
        <v>0.0</v>
      </c>
      <c r="V1413" s="1">
        <v>0.0</v>
      </c>
      <c r="W1413" s="1" t="s">
        <v>26</v>
      </c>
    </row>
    <row r="1414" ht="15.75" customHeight="1">
      <c r="A1414" s="1" t="s">
        <v>1451</v>
      </c>
      <c r="B1414" s="1" t="s">
        <v>24</v>
      </c>
      <c r="C1414" s="1">
        <v>0.0</v>
      </c>
      <c r="D1414" s="1" t="s">
        <v>25</v>
      </c>
      <c r="E1414" s="1" t="s">
        <v>26</v>
      </c>
      <c r="F1414" s="1">
        <v>15.0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1">
        <v>84.3</v>
      </c>
      <c r="T1414" s="1">
        <v>1308.4</v>
      </c>
      <c r="U1414" s="1">
        <v>0.0</v>
      </c>
      <c r="V1414" s="1">
        <v>3.0</v>
      </c>
      <c r="W1414" s="1" t="s">
        <v>25</v>
      </c>
    </row>
    <row r="1415" ht="15.75" customHeight="1">
      <c r="A1415" s="1" t="s">
        <v>1452</v>
      </c>
      <c r="B1415" s="1" t="s">
        <v>32</v>
      </c>
      <c r="C1415" s="1">
        <v>0.0</v>
      </c>
      <c r="D1415" s="1" t="s">
        <v>25</v>
      </c>
      <c r="E1415" s="1" t="s">
        <v>25</v>
      </c>
      <c r="F1415" s="1">
        <v>65.0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1">
        <v>94.55</v>
      </c>
      <c r="T1415" s="1">
        <v>6078.75</v>
      </c>
      <c r="U1415" s="1">
        <v>0.0</v>
      </c>
      <c r="V1415" s="1">
        <v>0.0</v>
      </c>
      <c r="W1415" s="1" t="s">
        <v>26</v>
      </c>
    </row>
    <row r="1416" ht="15.75" customHeight="1">
      <c r="A1416" s="1" t="s">
        <v>1453</v>
      </c>
      <c r="B1416" s="1" t="s">
        <v>32</v>
      </c>
      <c r="C1416" s="1">
        <v>0.0</v>
      </c>
      <c r="D1416" s="1" t="s">
        <v>26</v>
      </c>
      <c r="E1416" s="1" t="s">
        <v>26</v>
      </c>
      <c r="F1416" s="1">
        <v>35.0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1">
        <v>95.5</v>
      </c>
      <c r="T1416" s="1">
        <v>3418.2</v>
      </c>
      <c r="U1416" s="1">
        <v>0.0</v>
      </c>
      <c r="V1416" s="1">
        <v>0.0</v>
      </c>
      <c r="W1416" s="1" t="s">
        <v>26</v>
      </c>
    </row>
    <row r="1417" ht="15.75" customHeight="1">
      <c r="A1417" s="1" t="s">
        <v>1454</v>
      </c>
      <c r="B1417" s="1" t="s">
        <v>32</v>
      </c>
      <c r="C1417" s="1">
        <v>0.0</v>
      </c>
      <c r="D1417" s="1" t="s">
        <v>26</v>
      </c>
      <c r="E1417" s="1" t="s">
        <v>26</v>
      </c>
      <c r="F1417" s="1">
        <v>64.0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1">
        <v>100.3</v>
      </c>
      <c r="T1417" s="1">
        <v>6603.8</v>
      </c>
      <c r="U1417" s="1">
        <v>0.0</v>
      </c>
      <c r="V1417" s="1">
        <v>0.0</v>
      </c>
      <c r="W1417" s="1" t="s">
        <v>26</v>
      </c>
    </row>
    <row r="1418" ht="15.75" customHeight="1">
      <c r="A1418" s="1" t="s">
        <v>1455</v>
      </c>
      <c r="B1418" s="1" t="s">
        <v>24</v>
      </c>
      <c r="C1418" s="1">
        <v>0.0</v>
      </c>
      <c r="D1418" s="1" t="s">
        <v>25</v>
      </c>
      <c r="E1418" s="1" t="s">
        <v>25</v>
      </c>
      <c r="F1418" s="1">
        <v>58.0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1">
        <v>55.5</v>
      </c>
      <c r="T1418" s="1">
        <v>3166.9</v>
      </c>
      <c r="U1418" s="1">
        <v>4.0</v>
      </c>
      <c r="V1418" s="1">
        <v>0.0</v>
      </c>
      <c r="W1418" s="1" t="s">
        <v>26</v>
      </c>
    </row>
    <row r="1419" ht="15.75" customHeight="1">
      <c r="A1419" s="1" t="s">
        <v>1456</v>
      </c>
      <c r="B1419" s="1" t="s">
        <v>24</v>
      </c>
      <c r="C1419" s="1">
        <v>1.0</v>
      </c>
      <c r="D1419" s="1" t="s">
        <v>26</v>
      </c>
      <c r="E1419" s="1" t="s">
        <v>26</v>
      </c>
      <c r="F1419" s="1">
        <v>18.0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1">
        <v>49.85</v>
      </c>
      <c r="T1419" s="1">
        <v>865.75</v>
      </c>
      <c r="U1419" s="1">
        <v>5.0</v>
      </c>
      <c r="V1419" s="1">
        <v>0.0</v>
      </c>
      <c r="W1419" s="1" t="s">
        <v>26</v>
      </c>
    </row>
    <row r="1420" ht="15.75" customHeight="1">
      <c r="A1420" s="1" t="s">
        <v>1457</v>
      </c>
      <c r="B1420" s="1" t="s">
        <v>32</v>
      </c>
      <c r="C1420" s="1">
        <v>0.0</v>
      </c>
      <c r="D1420" s="1" t="s">
        <v>25</v>
      </c>
      <c r="E1420" s="1" t="s">
        <v>25</v>
      </c>
      <c r="F1420" s="1">
        <v>67.0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1">
        <v>89.55</v>
      </c>
      <c r="T1420" s="1">
        <v>6373.1</v>
      </c>
      <c r="U1420" s="1">
        <v>0.0</v>
      </c>
      <c r="V1420" s="1">
        <v>0.0</v>
      </c>
      <c r="W1420" s="1" t="s">
        <v>26</v>
      </c>
    </row>
    <row r="1421" ht="15.75" customHeight="1">
      <c r="A1421" s="1" t="s">
        <v>1458</v>
      </c>
      <c r="B1421" s="1" t="s">
        <v>32</v>
      </c>
      <c r="C1421" s="1">
        <v>0.0</v>
      </c>
      <c r="D1421" s="1" t="s">
        <v>25</v>
      </c>
      <c r="E1421" s="1" t="s">
        <v>25</v>
      </c>
      <c r="F1421" s="1">
        <v>63.0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1">
        <v>19.15</v>
      </c>
      <c r="T1421" s="1">
        <v>1177.05</v>
      </c>
      <c r="U1421" s="1">
        <v>0.0</v>
      </c>
      <c r="V1421" s="1">
        <v>0.0</v>
      </c>
      <c r="W1421" s="1" t="s">
        <v>26</v>
      </c>
    </row>
    <row r="1422" ht="15.75" customHeight="1">
      <c r="A1422" s="1" t="s">
        <v>1459</v>
      </c>
      <c r="B1422" s="1" t="s">
        <v>24</v>
      </c>
      <c r="C1422" s="1">
        <v>0.0</v>
      </c>
      <c r="D1422" s="1" t="s">
        <v>25</v>
      </c>
      <c r="E1422" s="1" t="s">
        <v>26</v>
      </c>
      <c r="F1422" s="1">
        <v>60.0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1">
        <v>99.8</v>
      </c>
      <c r="T1422" s="1">
        <v>5985.75</v>
      </c>
      <c r="U1422" s="1">
        <v>0.0</v>
      </c>
      <c r="V1422" s="1">
        <v>0.0</v>
      </c>
      <c r="W1422" s="1" t="s">
        <v>26</v>
      </c>
    </row>
    <row r="1423" ht="15.75" customHeight="1">
      <c r="A1423" s="1" t="s">
        <v>1460</v>
      </c>
      <c r="B1423" s="1" t="s">
        <v>32</v>
      </c>
      <c r="C1423" s="1">
        <v>1.0</v>
      </c>
      <c r="D1423" s="1" t="s">
        <v>26</v>
      </c>
      <c r="E1423" s="1" t="s">
        <v>26</v>
      </c>
      <c r="F1423" s="1">
        <v>9.0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1">
        <v>84.4</v>
      </c>
      <c r="T1423" s="1">
        <v>732.5</v>
      </c>
      <c r="U1423" s="1">
        <v>0.0</v>
      </c>
      <c r="V1423" s="1">
        <v>0.0</v>
      </c>
      <c r="W1423" s="1" t="s">
        <v>25</v>
      </c>
    </row>
    <row r="1424" ht="15.75" customHeight="1">
      <c r="A1424" s="1" t="s">
        <v>1461</v>
      </c>
      <c r="B1424" s="1" t="s">
        <v>24</v>
      </c>
      <c r="C1424" s="1">
        <v>0.0</v>
      </c>
      <c r="D1424" s="1" t="s">
        <v>25</v>
      </c>
      <c r="E1424" s="1" t="s">
        <v>25</v>
      </c>
      <c r="F1424" s="1">
        <v>70.0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1">
        <v>113.05</v>
      </c>
      <c r="T1424" s="1">
        <v>7869.05</v>
      </c>
      <c r="U1424" s="1">
        <v>0.0</v>
      </c>
      <c r="V1424" s="1">
        <v>0.0</v>
      </c>
      <c r="W1424" s="1" t="s">
        <v>26</v>
      </c>
    </row>
    <row r="1425" ht="15.75" customHeight="1">
      <c r="A1425" s="1" t="s">
        <v>1462</v>
      </c>
      <c r="B1425" s="1" t="s">
        <v>32</v>
      </c>
      <c r="C1425" s="1">
        <v>0.0</v>
      </c>
      <c r="D1425" s="1" t="s">
        <v>25</v>
      </c>
      <c r="E1425" s="1" t="s">
        <v>26</v>
      </c>
      <c r="F1425" s="1">
        <v>15.0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1">
        <v>101.1</v>
      </c>
      <c r="T1425" s="1">
        <v>1504.05</v>
      </c>
      <c r="U1425" s="1">
        <v>0.0</v>
      </c>
      <c r="V1425" s="1">
        <v>0.0</v>
      </c>
      <c r="W1425" s="1" t="s">
        <v>25</v>
      </c>
    </row>
    <row r="1426" ht="15.75" customHeight="1">
      <c r="A1426" s="1" t="s">
        <v>1463</v>
      </c>
      <c r="B1426" s="1" t="s">
        <v>24</v>
      </c>
      <c r="C1426" s="1">
        <v>0.0</v>
      </c>
      <c r="D1426" s="1" t="s">
        <v>26</v>
      </c>
      <c r="E1426" s="1" t="s">
        <v>25</v>
      </c>
      <c r="F1426" s="1">
        <v>48.0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1">
        <v>19.95</v>
      </c>
      <c r="T1426" s="1">
        <v>936.7</v>
      </c>
      <c r="U1426" s="1">
        <v>0.0</v>
      </c>
      <c r="V1426" s="1">
        <v>0.0</v>
      </c>
      <c r="W1426" s="1" t="s">
        <v>26</v>
      </c>
    </row>
    <row r="1427" ht="15.75" customHeight="1">
      <c r="A1427" s="1" t="s">
        <v>1464</v>
      </c>
      <c r="B1427" s="1" t="s">
        <v>32</v>
      </c>
      <c r="C1427" s="1">
        <v>0.0</v>
      </c>
      <c r="D1427" s="1" t="s">
        <v>25</v>
      </c>
      <c r="E1427" s="1" t="s">
        <v>26</v>
      </c>
      <c r="F1427" s="1">
        <v>12.0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1">
        <v>74.15</v>
      </c>
      <c r="T1427" s="1">
        <v>741.4</v>
      </c>
      <c r="U1427" s="1">
        <v>0.0</v>
      </c>
      <c r="V1427" s="1">
        <v>0.0</v>
      </c>
      <c r="W1427" s="1" t="s">
        <v>26</v>
      </c>
    </row>
    <row r="1428" ht="15.75" customHeight="1">
      <c r="A1428" s="1" t="s">
        <v>1465</v>
      </c>
      <c r="B1428" s="1" t="s">
        <v>32</v>
      </c>
      <c r="C1428" s="1">
        <v>1.0</v>
      </c>
      <c r="D1428" s="1" t="s">
        <v>25</v>
      </c>
      <c r="E1428" s="1" t="s">
        <v>26</v>
      </c>
      <c r="F1428" s="1">
        <v>71.0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1">
        <v>92.0</v>
      </c>
      <c r="T1428" s="1">
        <v>6585.2</v>
      </c>
      <c r="U1428" s="1">
        <v>0.0</v>
      </c>
      <c r="V1428" s="1">
        <v>0.0</v>
      </c>
      <c r="W1428" s="1" t="s">
        <v>26</v>
      </c>
    </row>
    <row r="1429" ht="15.75" customHeight="1">
      <c r="A1429" s="1" t="s">
        <v>1466</v>
      </c>
      <c r="B1429" s="1" t="s">
        <v>32</v>
      </c>
      <c r="C1429" s="1">
        <v>1.0</v>
      </c>
      <c r="D1429" s="1" t="s">
        <v>26</v>
      </c>
      <c r="E1429" s="1" t="s">
        <v>26</v>
      </c>
      <c r="F1429" s="1">
        <v>44.0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1">
        <v>73.85</v>
      </c>
      <c r="T1429" s="1">
        <v>3122.4</v>
      </c>
      <c r="U1429" s="1">
        <v>0.0</v>
      </c>
      <c r="V1429" s="1">
        <v>0.0</v>
      </c>
      <c r="W1429" s="1" t="s">
        <v>26</v>
      </c>
    </row>
    <row r="1430" ht="15.75" customHeight="1">
      <c r="A1430" s="1" t="s">
        <v>1467</v>
      </c>
      <c r="B1430" s="1" t="s">
        <v>32</v>
      </c>
      <c r="C1430" s="1">
        <v>0.0</v>
      </c>
      <c r="D1430" s="1" t="s">
        <v>26</v>
      </c>
      <c r="E1430" s="1" t="s">
        <v>26</v>
      </c>
      <c r="F1430" s="1">
        <v>1.0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1">
        <v>50.45</v>
      </c>
      <c r="T1430" s="1">
        <v>50.45</v>
      </c>
      <c r="U1430" s="1">
        <v>0.0</v>
      </c>
      <c r="V1430" s="1">
        <v>0.0</v>
      </c>
      <c r="W1430" s="1" t="s">
        <v>25</v>
      </c>
    </row>
    <row r="1431" ht="15.75" customHeight="1">
      <c r="A1431" s="1" t="s">
        <v>1468</v>
      </c>
      <c r="B1431" s="1" t="s">
        <v>32</v>
      </c>
      <c r="C1431" s="1">
        <v>0.0</v>
      </c>
      <c r="D1431" s="1" t="s">
        <v>25</v>
      </c>
      <c r="E1431" s="1" t="s">
        <v>25</v>
      </c>
      <c r="F1431" s="1">
        <v>45.0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1">
        <v>24.45</v>
      </c>
      <c r="T1431" s="1">
        <v>1088.25</v>
      </c>
      <c r="U1431" s="1">
        <v>0.0</v>
      </c>
      <c r="V1431" s="1">
        <v>0.0</v>
      </c>
      <c r="W1431" s="1" t="s">
        <v>26</v>
      </c>
    </row>
    <row r="1432" ht="15.75" customHeight="1">
      <c r="A1432" s="1" t="s">
        <v>1469</v>
      </c>
      <c r="B1432" s="1" t="s">
        <v>24</v>
      </c>
      <c r="C1432" s="1">
        <v>0.0</v>
      </c>
      <c r="D1432" s="1" t="s">
        <v>26</v>
      </c>
      <c r="E1432" s="1" t="s">
        <v>26</v>
      </c>
      <c r="F1432" s="1">
        <v>23.0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1">
        <v>24.8</v>
      </c>
      <c r="T1432" s="1">
        <v>615.35</v>
      </c>
      <c r="U1432" s="1">
        <v>0.0</v>
      </c>
      <c r="V1432" s="1">
        <v>0.0</v>
      </c>
      <c r="W1432" s="1" t="s">
        <v>26</v>
      </c>
    </row>
    <row r="1433" ht="15.75" customHeight="1">
      <c r="A1433" s="1" t="s">
        <v>1470</v>
      </c>
      <c r="B1433" s="1" t="s">
        <v>24</v>
      </c>
      <c r="C1433" s="1">
        <v>0.0</v>
      </c>
      <c r="D1433" s="1" t="s">
        <v>25</v>
      </c>
      <c r="E1433" s="1" t="s">
        <v>26</v>
      </c>
      <c r="F1433" s="1">
        <v>43.0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1">
        <v>64.85</v>
      </c>
      <c r="T1433" s="1">
        <v>2908.2</v>
      </c>
      <c r="U1433" s="1">
        <v>0.0</v>
      </c>
      <c r="V1433" s="1">
        <v>0.0</v>
      </c>
      <c r="W1433" s="1" t="s">
        <v>26</v>
      </c>
    </row>
    <row r="1434" ht="15.75" customHeight="1">
      <c r="A1434" s="1" t="s">
        <v>1471</v>
      </c>
      <c r="B1434" s="1" t="s">
        <v>32</v>
      </c>
      <c r="C1434" s="1">
        <v>0.0</v>
      </c>
      <c r="D1434" s="1" t="s">
        <v>26</v>
      </c>
      <c r="E1434" s="1" t="s">
        <v>26</v>
      </c>
      <c r="F1434" s="1">
        <v>35.0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1">
        <v>20.75</v>
      </c>
      <c r="T1434" s="1">
        <v>739.9</v>
      </c>
      <c r="U1434" s="1">
        <v>0.0</v>
      </c>
      <c r="V1434" s="1">
        <v>0.0</v>
      </c>
      <c r="W1434" s="1" t="s">
        <v>26</v>
      </c>
    </row>
    <row r="1435" ht="15.75" customHeight="1">
      <c r="A1435" s="1" t="s">
        <v>1472</v>
      </c>
      <c r="B1435" s="1" t="s">
        <v>32</v>
      </c>
      <c r="C1435" s="1">
        <v>0.0</v>
      </c>
      <c r="D1435" s="1" t="s">
        <v>25</v>
      </c>
      <c r="E1435" s="1" t="s">
        <v>26</v>
      </c>
      <c r="F1435" s="1">
        <v>9.0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1">
        <v>68.95</v>
      </c>
      <c r="T1435" s="1">
        <v>593.85</v>
      </c>
      <c r="U1435" s="1">
        <v>0.0</v>
      </c>
      <c r="V1435" s="1">
        <v>0.0</v>
      </c>
      <c r="W1435" s="1" t="s">
        <v>26</v>
      </c>
    </row>
    <row r="1436" ht="15.75" customHeight="1">
      <c r="A1436" s="1" t="s">
        <v>1473</v>
      </c>
      <c r="B1436" s="1" t="s">
        <v>32</v>
      </c>
      <c r="C1436" s="1">
        <v>0.0</v>
      </c>
      <c r="D1436" s="1" t="s">
        <v>26</v>
      </c>
      <c r="E1436" s="1" t="s">
        <v>26</v>
      </c>
      <c r="F1436" s="1">
        <v>12.0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1">
        <v>99.95</v>
      </c>
      <c r="T1436" s="1">
        <v>1132.75</v>
      </c>
      <c r="U1436" s="1">
        <v>0.0</v>
      </c>
      <c r="V1436" s="1">
        <v>1.0</v>
      </c>
      <c r="W1436" s="1" t="s">
        <v>25</v>
      </c>
    </row>
    <row r="1437" ht="15.75" customHeight="1">
      <c r="A1437" s="1" t="s">
        <v>1474</v>
      </c>
      <c r="B1437" s="1" t="s">
        <v>24</v>
      </c>
      <c r="C1437" s="1">
        <v>1.0</v>
      </c>
      <c r="D1437" s="1" t="s">
        <v>25</v>
      </c>
      <c r="E1437" s="1" t="s">
        <v>26</v>
      </c>
      <c r="F1437" s="1">
        <v>65.0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1">
        <v>109.4</v>
      </c>
      <c r="T1437" s="1">
        <v>7227.45</v>
      </c>
      <c r="U1437" s="1">
        <v>0.0</v>
      </c>
      <c r="V1437" s="1">
        <v>0.0</v>
      </c>
      <c r="W1437" s="1" t="s">
        <v>26</v>
      </c>
    </row>
    <row r="1438" ht="15.75" customHeight="1">
      <c r="A1438" s="1" t="s">
        <v>1475</v>
      </c>
      <c r="B1438" s="1" t="s">
        <v>24</v>
      </c>
      <c r="C1438" s="1">
        <v>0.0</v>
      </c>
      <c r="D1438" s="1" t="s">
        <v>26</v>
      </c>
      <c r="E1438" s="1" t="s">
        <v>26</v>
      </c>
      <c r="F1438" s="1">
        <v>2.0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1">
        <v>91.4</v>
      </c>
      <c r="T1438" s="1">
        <v>193.6</v>
      </c>
      <c r="U1438" s="1">
        <v>0.0</v>
      </c>
      <c r="V1438" s="1">
        <v>0.0</v>
      </c>
      <c r="W1438" s="1" t="s">
        <v>25</v>
      </c>
    </row>
    <row r="1439" ht="15.75" customHeight="1">
      <c r="A1439" s="1" t="s">
        <v>1476</v>
      </c>
      <c r="B1439" s="1" t="s">
        <v>32</v>
      </c>
      <c r="C1439" s="1">
        <v>0.0</v>
      </c>
      <c r="D1439" s="1" t="s">
        <v>26</v>
      </c>
      <c r="E1439" s="1" t="s">
        <v>26</v>
      </c>
      <c r="F1439" s="1">
        <v>27.0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1">
        <v>49.0</v>
      </c>
      <c r="T1439" s="1">
        <v>1291.35</v>
      </c>
      <c r="U1439" s="1">
        <v>0.0</v>
      </c>
      <c r="V1439" s="1">
        <v>0.0</v>
      </c>
      <c r="W1439" s="1" t="s">
        <v>26</v>
      </c>
    </row>
    <row r="1440" ht="15.75" customHeight="1">
      <c r="A1440" s="1" t="s">
        <v>1477</v>
      </c>
      <c r="B1440" s="1" t="s">
        <v>24</v>
      </c>
      <c r="C1440" s="1">
        <v>0.0</v>
      </c>
      <c r="D1440" s="1" t="s">
        <v>26</v>
      </c>
      <c r="E1440" s="1" t="s">
        <v>26</v>
      </c>
      <c r="F1440" s="1">
        <v>40.0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1">
        <v>50.25</v>
      </c>
      <c r="T1440" s="1">
        <v>2023.55</v>
      </c>
      <c r="U1440" s="1">
        <v>0.0</v>
      </c>
      <c r="V1440" s="1">
        <v>0.0</v>
      </c>
      <c r="W1440" s="1" t="s">
        <v>26</v>
      </c>
    </row>
    <row r="1441" ht="15.75" customHeight="1">
      <c r="A1441" s="1" t="s">
        <v>1478</v>
      </c>
      <c r="B1441" s="1" t="s">
        <v>24</v>
      </c>
      <c r="C1441" s="1">
        <v>1.0</v>
      </c>
      <c r="D1441" s="1" t="s">
        <v>26</v>
      </c>
      <c r="E1441" s="1" t="s">
        <v>26</v>
      </c>
      <c r="F1441" s="1">
        <v>5.0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1">
        <v>75.55</v>
      </c>
      <c r="T1441" s="1">
        <v>349.65</v>
      </c>
      <c r="U1441" s="1">
        <v>0.0</v>
      </c>
      <c r="V1441" s="1">
        <v>0.0</v>
      </c>
      <c r="W1441" s="1" t="s">
        <v>25</v>
      </c>
    </row>
    <row r="1442" ht="15.75" customHeight="1">
      <c r="A1442" s="1" t="s">
        <v>1479</v>
      </c>
      <c r="B1442" s="1" t="s">
        <v>32</v>
      </c>
      <c r="C1442" s="1">
        <v>0.0</v>
      </c>
      <c r="D1442" s="1" t="s">
        <v>25</v>
      </c>
      <c r="E1442" s="1" t="s">
        <v>25</v>
      </c>
      <c r="F1442" s="1">
        <v>8.0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1">
        <v>19.9</v>
      </c>
      <c r="T1442" s="1">
        <v>153.95</v>
      </c>
      <c r="U1442" s="1">
        <v>0.0</v>
      </c>
      <c r="V1442" s="1">
        <v>0.0</v>
      </c>
      <c r="W1442" s="1" t="s">
        <v>26</v>
      </c>
    </row>
    <row r="1443" ht="15.75" customHeight="1">
      <c r="A1443" s="1" t="s">
        <v>1480</v>
      </c>
      <c r="B1443" s="1" t="s">
        <v>24</v>
      </c>
      <c r="C1443" s="1">
        <v>1.0</v>
      </c>
      <c r="D1443" s="1" t="s">
        <v>25</v>
      </c>
      <c r="E1443" s="1" t="s">
        <v>26</v>
      </c>
      <c r="F1443" s="1">
        <v>58.0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1">
        <v>97.8</v>
      </c>
      <c r="T1443" s="1">
        <v>5458.8</v>
      </c>
      <c r="U1443" s="1">
        <v>3.0</v>
      </c>
      <c r="V1443" s="1">
        <v>0.0</v>
      </c>
      <c r="W1443" s="1" t="s">
        <v>26</v>
      </c>
    </row>
    <row r="1444" ht="15.75" customHeight="1">
      <c r="A1444" s="1" t="s">
        <v>1481</v>
      </c>
      <c r="B1444" s="1" t="s">
        <v>24</v>
      </c>
      <c r="C1444" s="1">
        <v>0.0</v>
      </c>
      <c r="D1444" s="1" t="s">
        <v>25</v>
      </c>
      <c r="E1444" s="1" t="s">
        <v>25</v>
      </c>
      <c r="F1444" s="1">
        <v>52.0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1">
        <v>100.3</v>
      </c>
      <c r="T1444" s="1">
        <v>5244.45</v>
      </c>
      <c r="U1444" s="1">
        <v>2.0</v>
      </c>
      <c r="V1444" s="1">
        <v>4.0</v>
      </c>
      <c r="W1444" s="1" t="s">
        <v>26</v>
      </c>
    </row>
    <row r="1445" ht="15.75" customHeight="1">
      <c r="A1445" s="1" t="s">
        <v>1482</v>
      </c>
      <c r="B1445" s="1" t="s">
        <v>32</v>
      </c>
      <c r="C1445" s="1">
        <v>0.0</v>
      </c>
      <c r="D1445" s="1" t="s">
        <v>25</v>
      </c>
      <c r="E1445" s="1" t="s">
        <v>26</v>
      </c>
      <c r="F1445" s="1">
        <v>3.0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1">
        <v>55.8</v>
      </c>
      <c r="T1445" s="1">
        <v>154.55</v>
      </c>
      <c r="U1445" s="1">
        <v>0.0</v>
      </c>
      <c r="V1445" s="1">
        <v>0.0</v>
      </c>
      <c r="W1445" s="1" t="s">
        <v>26</v>
      </c>
    </row>
    <row r="1446" ht="15.75" customHeight="1">
      <c r="A1446" s="1" t="s">
        <v>1483</v>
      </c>
      <c r="B1446" s="1" t="s">
        <v>32</v>
      </c>
      <c r="C1446" s="1">
        <v>0.0</v>
      </c>
      <c r="D1446" s="1" t="s">
        <v>26</v>
      </c>
      <c r="E1446" s="1" t="s">
        <v>25</v>
      </c>
      <c r="F1446" s="1">
        <v>41.0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1">
        <v>111.15</v>
      </c>
      <c r="T1446" s="1">
        <v>4507.15</v>
      </c>
      <c r="U1446" s="1">
        <v>2.0</v>
      </c>
      <c r="V1446" s="1">
        <v>0.0</v>
      </c>
      <c r="W1446" s="1" t="s">
        <v>26</v>
      </c>
    </row>
    <row r="1447" ht="15.75" customHeight="1">
      <c r="A1447" s="1" t="s">
        <v>1484</v>
      </c>
      <c r="B1447" s="1" t="s">
        <v>32</v>
      </c>
      <c r="C1447" s="1">
        <v>0.0</v>
      </c>
      <c r="D1447" s="1" t="s">
        <v>26</v>
      </c>
      <c r="E1447" s="1" t="s">
        <v>26</v>
      </c>
      <c r="F1447" s="1">
        <v>20.0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1">
        <v>98.55</v>
      </c>
      <c r="T1447" s="1">
        <v>2031.95</v>
      </c>
      <c r="U1447" s="1">
        <v>0.0</v>
      </c>
      <c r="V1447" s="1">
        <v>0.0</v>
      </c>
      <c r="W1447" s="1" t="s">
        <v>26</v>
      </c>
    </row>
    <row r="1448" ht="15.75" customHeight="1">
      <c r="A1448" s="1" t="s">
        <v>1485</v>
      </c>
      <c r="B1448" s="1" t="s">
        <v>32</v>
      </c>
      <c r="C1448" s="1">
        <v>0.0</v>
      </c>
      <c r="D1448" s="1" t="s">
        <v>26</v>
      </c>
      <c r="E1448" s="1" t="s">
        <v>25</v>
      </c>
      <c r="F1448" s="1">
        <v>1.0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1">
        <v>50.05</v>
      </c>
      <c r="T1448" s="1">
        <v>50.05</v>
      </c>
      <c r="U1448" s="1">
        <v>0.0</v>
      </c>
      <c r="V1448" s="1">
        <v>0.0</v>
      </c>
      <c r="W1448" s="1" t="s">
        <v>26</v>
      </c>
    </row>
    <row r="1449" ht="15.75" customHeight="1">
      <c r="A1449" s="1" t="s">
        <v>1486</v>
      </c>
      <c r="B1449" s="1" t="s">
        <v>32</v>
      </c>
      <c r="C1449" s="1">
        <v>0.0</v>
      </c>
      <c r="D1449" s="1" t="s">
        <v>26</v>
      </c>
      <c r="E1449" s="1" t="s">
        <v>25</v>
      </c>
      <c r="F1449" s="1">
        <v>4.0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1">
        <v>80.8</v>
      </c>
      <c r="T1449" s="1">
        <v>332.45</v>
      </c>
      <c r="U1449" s="1">
        <v>0.0</v>
      </c>
      <c r="V1449" s="1">
        <v>0.0</v>
      </c>
      <c r="W1449" s="1" t="s">
        <v>25</v>
      </c>
    </row>
    <row r="1450" ht="15.75" customHeight="1">
      <c r="A1450" s="1" t="s">
        <v>1487</v>
      </c>
      <c r="B1450" s="1" t="s">
        <v>32</v>
      </c>
      <c r="C1450" s="1">
        <v>0.0</v>
      </c>
      <c r="D1450" s="1" t="s">
        <v>26</v>
      </c>
      <c r="E1450" s="1" t="s">
        <v>26</v>
      </c>
      <c r="F1450" s="1">
        <v>23.0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1">
        <v>20.85</v>
      </c>
      <c r="T1450" s="1">
        <v>473.9</v>
      </c>
      <c r="U1450" s="1">
        <v>0.0</v>
      </c>
      <c r="V1450" s="1">
        <v>0.0</v>
      </c>
      <c r="W1450" s="1" t="s">
        <v>26</v>
      </c>
    </row>
    <row r="1451" ht="15.75" customHeight="1">
      <c r="A1451" s="1" t="s">
        <v>1488</v>
      </c>
      <c r="B1451" s="1" t="s">
        <v>24</v>
      </c>
      <c r="C1451" s="1">
        <v>1.0</v>
      </c>
      <c r="D1451" s="1" t="s">
        <v>26</v>
      </c>
      <c r="E1451" s="1" t="s">
        <v>26</v>
      </c>
      <c r="F1451" s="1">
        <v>6.0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1">
        <v>19.5</v>
      </c>
      <c r="T1451" s="1">
        <v>106.8</v>
      </c>
      <c r="U1451" s="1">
        <v>0.0</v>
      </c>
      <c r="V1451" s="1">
        <v>0.0</v>
      </c>
      <c r="W1451" s="1" t="s">
        <v>26</v>
      </c>
    </row>
    <row r="1452" ht="15.75" customHeight="1">
      <c r="A1452" s="1" t="s">
        <v>1489</v>
      </c>
      <c r="B1452" s="1" t="s">
        <v>32</v>
      </c>
      <c r="C1452" s="1">
        <v>0.0</v>
      </c>
      <c r="D1452" s="1" t="s">
        <v>25</v>
      </c>
      <c r="E1452" s="1" t="s">
        <v>25</v>
      </c>
      <c r="F1452" s="1">
        <v>8.0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1">
        <v>19.35</v>
      </c>
      <c r="T1452" s="1">
        <v>152.6</v>
      </c>
      <c r="U1452" s="1">
        <v>0.0</v>
      </c>
      <c r="V1452" s="1">
        <v>0.0</v>
      </c>
      <c r="W1452" s="1" t="s">
        <v>26</v>
      </c>
    </row>
    <row r="1453" ht="15.75" customHeight="1">
      <c r="A1453" s="1" t="s">
        <v>1490</v>
      </c>
      <c r="B1453" s="1" t="s">
        <v>32</v>
      </c>
      <c r="C1453" s="1">
        <v>0.0</v>
      </c>
      <c r="D1453" s="1" t="s">
        <v>26</v>
      </c>
      <c r="E1453" s="1" t="s">
        <v>26</v>
      </c>
      <c r="F1453" s="1">
        <v>18.0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1">
        <v>69.5</v>
      </c>
      <c r="T1453" s="1">
        <v>1199.4</v>
      </c>
      <c r="U1453" s="1">
        <v>0.0</v>
      </c>
      <c r="V1453" s="1">
        <v>1.0</v>
      </c>
      <c r="W1453" s="1" t="s">
        <v>26</v>
      </c>
    </row>
    <row r="1454" ht="15.75" customHeight="1">
      <c r="A1454" s="1" t="s">
        <v>1491</v>
      </c>
      <c r="B1454" s="1" t="s">
        <v>32</v>
      </c>
      <c r="C1454" s="1">
        <v>1.0</v>
      </c>
      <c r="D1454" s="1" t="s">
        <v>26</v>
      </c>
      <c r="E1454" s="1" t="s">
        <v>26</v>
      </c>
      <c r="F1454" s="1">
        <v>52.0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1">
        <v>48.8</v>
      </c>
      <c r="T1454" s="1">
        <v>2555.05</v>
      </c>
      <c r="U1454" s="1">
        <v>0.0</v>
      </c>
      <c r="V1454" s="1">
        <v>0.0</v>
      </c>
      <c r="W1454" s="1" t="s">
        <v>26</v>
      </c>
    </row>
    <row r="1455" ht="15.75" customHeight="1">
      <c r="A1455" s="1" t="s">
        <v>1492</v>
      </c>
      <c r="B1455" s="1" t="s">
        <v>32</v>
      </c>
      <c r="C1455" s="1">
        <v>0.0</v>
      </c>
      <c r="D1455" s="1" t="s">
        <v>26</v>
      </c>
      <c r="E1455" s="1" t="s">
        <v>26</v>
      </c>
      <c r="F1455" s="1">
        <v>31.0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1">
        <v>94.5</v>
      </c>
      <c r="T1455" s="1">
        <v>2979.2</v>
      </c>
      <c r="U1455" s="1">
        <v>1.0</v>
      </c>
      <c r="V1455" s="1">
        <v>0.0</v>
      </c>
      <c r="W1455" s="1" t="s">
        <v>26</v>
      </c>
    </row>
    <row r="1456" ht="15.75" customHeight="1">
      <c r="A1456" s="1" t="s">
        <v>1493</v>
      </c>
      <c r="B1456" s="1" t="s">
        <v>32</v>
      </c>
      <c r="C1456" s="1">
        <v>0.0</v>
      </c>
      <c r="D1456" s="1" t="s">
        <v>25</v>
      </c>
      <c r="E1456" s="1" t="s">
        <v>25</v>
      </c>
      <c r="F1456" s="1">
        <v>29.0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1">
        <v>20.65</v>
      </c>
      <c r="T1456" s="1">
        <v>654.85</v>
      </c>
      <c r="U1456" s="1">
        <v>5.0</v>
      </c>
      <c r="V1456" s="1">
        <v>0.0</v>
      </c>
      <c r="W1456" s="1" t="s">
        <v>26</v>
      </c>
    </row>
    <row r="1457" ht="15.75" customHeight="1">
      <c r="A1457" s="1" t="s">
        <v>1494</v>
      </c>
      <c r="B1457" s="1" t="s">
        <v>24</v>
      </c>
      <c r="C1457" s="1">
        <v>0.0</v>
      </c>
      <c r="D1457" s="1" t="s">
        <v>25</v>
      </c>
      <c r="E1457" s="1" t="s">
        <v>26</v>
      </c>
      <c r="F1457" s="1">
        <v>36.0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1">
        <v>106.05</v>
      </c>
      <c r="T1457" s="1">
        <v>3834.4</v>
      </c>
      <c r="U1457" s="1">
        <v>5.0</v>
      </c>
      <c r="V1457" s="1">
        <v>2.0</v>
      </c>
      <c r="W1457" s="1" t="s">
        <v>26</v>
      </c>
    </row>
    <row r="1458" ht="15.75" customHeight="1">
      <c r="A1458" s="1" t="s">
        <v>1495</v>
      </c>
      <c r="B1458" s="1" t="s">
        <v>24</v>
      </c>
      <c r="C1458" s="1">
        <v>0.0</v>
      </c>
      <c r="D1458" s="1" t="s">
        <v>25</v>
      </c>
      <c r="E1458" s="1" t="s">
        <v>26</v>
      </c>
      <c r="F1458" s="1">
        <v>16.0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1">
        <v>100.0</v>
      </c>
      <c r="T1458" s="1">
        <v>1534.75</v>
      </c>
      <c r="U1458" s="1">
        <v>3.0</v>
      </c>
      <c r="V1458" s="1">
        <v>2.0</v>
      </c>
      <c r="W1458" s="1" t="s">
        <v>25</v>
      </c>
    </row>
    <row r="1459" ht="15.75" customHeight="1">
      <c r="A1459" s="1" t="s">
        <v>1496</v>
      </c>
      <c r="B1459" s="1" t="s">
        <v>32</v>
      </c>
      <c r="C1459" s="1">
        <v>0.0</v>
      </c>
      <c r="D1459" s="1" t="s">
        <v>25</v>
      </c>
      <c r="E1459" s="1" t="s">
        <v>26</v>
      </c>
      <c r="F1459" s="1">
        <v>42.0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1">
        <v>108.3</v>
      </c>
      <c r="T1459" s="1">
        <v>4586.15</v>
      </c>
      <c r="U1459" s="1">
        <v>2.0</v>
      </c>
      <c r="V1459" s="1">
        <v>0.0</v>
      </c>
      <c r="W1459" s="1" t="s">
        <v>26</v>
      </c>
    </row>
    <row r="1460" ht="15.75" customHeight="1">
      <c r="A1460" s="1" t="s">
        <v>1497</v>
      </c>
      <c r="B1460" s="1" t="s">
        <v>32</v>
      </c>
      <c r="C1460" s="1">
        <v>0.0</v>
      </c>
      <c r="D1460" s="1" t="s">
        <v>26</v>
      </c>
      <c r="E1460" s="1" t="s">
        <v>26</v>
      </c>
      <c r="F1460" s="1">
        <v>1.0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1">
        <v>20.55</v>
      </c>
      <c r="T1460" s="1">
        <v>20.55</v>
      </c>
      <c r="U1460" s="1">
        <v>0.0</v>
      </c>
      <c r="V1460" s="1">
        <v>0.0</v>
      </c>
      <c r="W1460" s="1" t="s">
        <v>25</v>
      </c>
    </row>
    <row r="1461" ht="15.75" customHeight="1">
      <c r="A1461" s="1" t="s">
        <v>1498</v>
      </c>
      <c r="B1461" s="1" t="s">
        <v>24</v>
      </c>
      <c r="C1461" s="1">
        <v>0.0</v>
      </c>
      <c r="D1461" s="1" t="s">
        <v>26</v>
      </c>
      <c r="E1461" s="1" t="s">
        <v>26</v>
      </c>
      <c r="F1461" s="1">
        <v>60.0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1">
        <v>99.65</v>
      </c>
      <c r="T1461" s="1">
        <v>5941.05</v>
      </c>
      <c r="U1461" s="1">
        <v>0.0</v>
      </c>
      <c r="V1461" s="1">
        <v>0.0</v>
      </c>
      <c r="W1461" s="1" t="s">
        <v>26</v>
      </c>
    </row>
    <row r="1462" ht="15.75" customHeight="1">
      <c r="A1462" s="1" t="s">
        <v>1499</v>
      </c>
      <c r="B1462" s="1" t="s">
        <v>32</v>
      </c>
      <c r="C1462" s="1">
        <v>0.0</v>
      </c>
      <c r="D1462" s="1" t="s">
        <v>26</v>
      </c>
      <c r="E1462" s="1" t="s">
        <v>26</v>
      </c>
      <c r="F1462" s="1">
        <v>5.0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1">
        <v>85.3</v>
      </c>
      <c r="T1462" s="1">
        <v>424.15</v>
      </c>
      <c r="U1462" s="1">
        <v>0.0</v>
      </c>
      <c r="V1462" s="1">
        <v>1.0</v>
      </c>
      <c r="W1462" s="1" t="s">
        <v>25</v>
      </c>
    </row>
    <row r="1463" ht="15.75" customHeight="1">
      <c r="A1463" s="1" t="s">
        <v>1500</v>
      </c>
      <c r="B1463" s="1" t="s">
        <v>32</v>
      </c>
      <c r="C1463" s="1">
        <v>0.0</v>
      </c>
      <c r="D1463" s="1" t="s">
        <v>25</v>
      </c>
      <c r="E1463" s="1" t="s">
        <v>26</v>
      </c>
      <c r="F1463" s="1">
        <v>22.0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1">
        <v>95.9</v>
      </c>
      <c r="T1463" s="1">
        <v>2234.95</v>
      </c>
      <c r="U1463" s="1">
        <v>0.0</v>
      </c>
      <c r="V1463" s="1">
        <v>0.0</v>
      </c>
      <c r="W1463" s="1" t="s">
        <v>26</v>
      </c>
    </row>
    <row r="1464" ht="15.75" customHeight="1">
      <c r="A1464" s="1" t="s">
        <v>1501</v>
      </c>
      <c r="B1464" s="1" t="s">
        <v>32</v>
      </c>
      <c r="C1464" s="1">
        <v>0.0</v>
      </c>
      <c r="D1464" s="1" t="s">
        <v>25</v>
      </c>
      <c r="E1464" s="1" t="s">
        <v>26</v>
      </c>
      <c r="F1464" s="1">
        <v>36.0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1">
        <v>20.0</v>
      </c>
      <c r="T1464" s="1">
        <v>666.75</v>
      </c>
      <c r="U1464" s="1">
        <v>0.0</v>
      </c>
      <c r="V1464" s="1">
        <v>0.0</v>
      </c>
      <c r="W1464" s="1" t="s">
        <v>26</v>
      </c>
    </row>
    <row r="1465" ht="15.75" customHeight="1">
      <c r="A1465" s="1" t="s">
        <v>1502</v>
      </c>
      <c r="B1465" s="1" t="s">
        <v>24</v>
      </c>
      <c r="C1465" s="1">
        <v>0.0</v>
      </c>
      <c r="D1465" s="1" t="s">
        <v>26</v>
      </c>
      <c r="E1465" s="1" t="s">
        <v>26</v>
      </c>
      <c r="F1465" s="1">
        <v>4.0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1">
        <v>70.4</v>
      </c>
      <c r="T1465" s="1">
        <v>281.0</v>
      </c>
      <c r="U1465" s="1">
        <v>0.0</v>
      </c>
      <c r="V1465" s="1">
        <v>0.0</v>
      </c>
      <c r="W1465" s="1" t="s">
        <v>25</v>
      </c>
    </row>
    <row r="1466" ht="15.75" customHeight="1">
      <c r="A1466" s="1" t="s">
        <v>1503</v>
      </c>
      <c r="B1466" s="1" t="s">
        <v>32</v>
      </c>
      <c r="C1466" s="1">
        <v>0.0</v>
      </c>
      <c r="D1466" s="1" t="s">
        <v>26</v>
      </c>
      <c r="E1466" s="1" t="s">
        <v>26</v>
      </c>
      <c r="F1466" s="1">
        <v>9.0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1">
        <v>64.95</v>
      </c>
      <c r="T1466" s="1">
        <v>547.8</v>
      </c>
      <c r="U1466" s="1">
        <v>0.0</v>
      </c>
      <c r="V1466" s="1">
        <v>0.0</v>
      </c>
      <c r="W1466" s="1" t="s">
        <v>26</v>
      </c>
    </row>
    <row r="1467" ht="15.75" customHeight="1">
      <c r="A1467" s="1" t="s">
        <v>1504</v>
      </c>
      <c r="B1467" s="1" t="s">
        <v>32</v>
      </c>
      <c r="C1467" s="1">
        <v>0.0</v>
      </c>
      <c r="D1467" s="1" t="s">
        <v>25</v>
      </c>
      <c r="E1467" s="1" t="s">
        <v>25</v>
      </c>
      <c r="F1467" s="1">
        <v>1.0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1">
        <v>74.6</v>
      </c>
      <c r="T1467" s="1">
        <v>74.6</v>
      </c>
      <c r="U1467" s="1">
        <v>0.0</v>
      </c>
      <c r="V1467" s="1">
        <v>0.0</v>
      </c>
      <c r="W1467" s="1" t="s">
        <v>26</v>
      </c>
    </row>
    <row r="1468" ht="15.75" customHeight="1">
      <c r="A1468" s="1" t="s">
        <v>1505</v>
      </c>
      <c r="B1468" s="1" t="s">
        <v>32</v>
      </c>
      <c r="C1468" s="1">
        <v>0.0</v>
      </c>
      <c r="D1468" s="1" t="s">
        <v>25</v>
      </c>
      <c r="E1468" s="1" t="s">
        <v>25</v>
      </c>
      <c r="F1468" s="1">
        <v>12.0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1">
        <v>49.2</v>
      </c>
      <c r="T1468" s="1">
        <v>571.15</v>
      </c>
      <c r="U1468" s="1">
        <v>0.0</v>
      </c>
      <c r="V1468" s="1">
        <v>0.0</v>
      </c>
      <c r="W1468" s="1" t="s">
        <v>26</v>
      </c>
    </row>
    <row r="1469" ht="15.75" customHeight="1">
      <c r="A1469" s="1" t="s">
        <v>1506</v>
      </c>
      <c r="B1469" s="1" t="s">
        <v>24</v>
      </c>
      <c r="C1469" s="1">
        <v>0.0</v>
      </c>
      <c r="D1469" s="1" t="s">
        <v>26</v>
      </c>
      <c r="E1469" s="1" t="s">
        <v>26</v>
      </c>
      <c r="F1469" s="1">
        <v>23.0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1">
        <v>73.75</v>
      </c>
      <c r="T1469" s="1">
        <v>1756.6</v>
      </c>
      <c r="U1469" s="1">
        <v>1.0</v>
      </c>
      <c r="V1469" s="1">
        <v>0.0</v>
      </c>
      <c r="W1469" s="1" t="s">
        <v>26</v>
      </c>
    </row>
    <row r="1470" ht="15.75" customHeight="1">
      <c r="A1470" s="1" t="s">
        <v>1507</v>
      </c>
      <c r="B1470" s="1" t="s">
        <v>32</v>
      </c>
      <c r="C1470" s="1">
        <v>0.0</v>
      </c>
      <c r="D1470" s="1" t="s">
        <v>26</v>
      </c>
      <c r="E1470" s="1" t="s">
        <v>26</v>
      </c>
      <c r="F1470" s="1">
        <v>62.0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1">
        <v>92.3</v>
      </c>
      <c r="T1470" s="1">
        <v>5731.45</v>
      </c>
      <c r="U1470" s="1">
        <v>0.0</v>
      </c>
      <c r="V1470" s="1">
        <v>0.0</v>
      </c>
      <c r="W1470" s="1" t="s">
        <v>26</v>
      </c>
    </row>
    <row r="1471" ht="15.75" customHeight="1">
      <c r="A1471" s="1" t="s">
        <v>1508</v>
      </c>
      <c r="B1471" s="1" t="s">
        <v>32</v>
      </c>
      <c r="C1471" s="1">
        <v>0.0</v>
      </c>
      <c r="D1471" s="1" t="s">
        <v>26</v>
      </c>
      <c r="E1471" s="1" t="s">
        <v>26</v>
      </c>
      <c r="F1471" s="1">
        <v>37.0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1">
        <v>98.8</v>
      </c>
      <c r="T1471" s="1">
        <v>3475.55</v>
      </c>
      <c r="U1471" s="1">
        <v>0.0</v>
      </c>
      <c r="V1471" s="1">
        <v>1.0</v>
      </c>
      <c r="W1471" s="1" t="s">
        <v>25</v>
      </c>
    </row>
    <row r="1472" ht="15.75" customHeight="1">
      <c r="A1472" s="1" t="s">
        <v>1509</v>
      </c>
      <c r="B1472" s="1" t="s">
        <v>24</v>
      </c>
      <c r="C1472" s="1">
        <v>0.0</v>
      </c>
      <c r="D1472" s="1" t="s">
        <v>26</v>
      </c>
      <c r="E1472" s="1" t="s">
        <v>26</v>
      </c>
      <c r="F1472" s="1">
        <v>8.0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1">
        <v>19.2</v>
      </c>
      <c r="T1472" s="1">
        <v>156.85</v>
      </c>
      <c r="U1472" s="1">
        <v>1.0</v>
      </c>
      <c r="V1472" s="1">
        <v>0.0</v>
      </c>
      <c r="W1472" s="1" t="s">
        <v>26</v>
      </c>
    </row>
    <row r="1473" ht="15.75" customHeight="1">
      <c r="A1473" s="1" t="s">
        <v>1510</v>
      </c>
      <c r="B1473" s="1" t="s">
        <v>32</v>
      </c>
      <c r="C1473" s="1">
        <v>0.0</v>
      </c>
      <c r="D1473" s="1" t="s">
        <v>25</v>
      </c>
      <c r="E1473" s="1" t="s">
        <v>26</v>
      </c>
      <c r="F1473" s="1">
        <v>31.0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1">
        <v>88.65</v>
      </c>
      <c r="T1473" s="1">
        <v>2683.2</v>
      </c>
      <c r="U1473" s="1">
        <v>0.0</v>
      </c>
      <c r="V1473" s="1">
        <v>0.0</v>
      </c>
      <c r="W1473" s="1" t="s">
        <v>26</v>
      </c>
    </row>
    <row r="1474" ht="15.75" customHeight="1">
      <c r="A1474" s="1" t="s">
        <v>1511</v>
      </c>
      <c r="B1474" s="1" t="s">
        <v>32</v>
      </c>
      <c r="C1474" s="1">
        <v>0.0</v>
      </c>
      <c r="D1474" s="1" t="s">
        <v>25</v>
      </c>
      <c r="E1474" s="1" t="s">
        <v>25</v>
      </c>
      <c r="F1474" s="1">
        <v>13.0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1">
        <v>74.4</v>
      </c>
      <c r="T1474" s="1">
        <v>896.75</v>
      </c>
      <c r="U1474" s="1">
        <v>0.0</v>
      </c>
      <c r="V1474" s="1">
        <v>0.0</v>
      </c>
      <c r="W1474" s="1" t="s">
        <v>25</v>
      </c>
    </row>
    <row r="1475" ht="15.75" customHeight="1">
      <c r="A1475" s="1" t="s">
        <v>1512</v>
      </c>
      <c r="B1475" s="1" t="s">
        <v>24</v>
      </c>
      <c r="C1475" s="1">
        <v>0.0</v>
      </c>
      <c r="D1475" s="1" t="s">
        <v>26</v>
      </c>
      <c r="E1475" s="1" t="s">
        <v>26</v>
      </c>
      <c r="F1475" s="1">
        <v>24.0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1">
        <v>98.75</v>
      </c>
      <c r="T1475" s="1">
        <v>2407.3</v>
      </c>
      <c r="U1475" s="1">
        <v>0.0</v>
      </c>
      <c r="V1475" s="1">
        <v>3.0</v>
      </c>
      <c r="W1475" s="1" t="s">
        <v>25</v>
      </c>
    </row>
    <row r="1476" ht="15.75" customHeight="1">
      <c r="A1476" s="1" t="s">
        <v>1513</v>
      </c>
      <c r="B1476" s="1" t="s">
        <v>32</v>
      </c>
      <c r="C1476" s="1">
        <v>0.0</v>
      </c>
      <c r="D1476" s="1" t="s">
        <v>25</v>
      </c>
      <c r="E1476" s="1" t="s">
        <v>25</v>
      </c>
      <c r="F1476" s="1">
        <v>45.0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1">
        <v>95.95</v>
      </c>
      <c r="T1476" s="1">
        <v>4456.65</v>
      </c>
      <c r="U1476" s="1">
        <v>0.0</v>
      </c>
      <c r="V1476" s="1">
        <v>3.0</v>
      </c>
      <c r="W1476" s="1" t="s">
        <v>26</v>
      </c>
    </row>
    <row r="1477" ht="15.75" customHeight="1">
      <c r="A1477" s="1" t="s">
        <v>1514</v>
      </c>
      <c r="B1477" s="1" t="s">
        <v>24</v>
      </c>
      <c r="C1477" s="1">
        <v>1.0</v>
      </c>
      <c r="D1477" s="1" t="s">
        <v>25</v>
      </c>
      <c r="E1477" s="1" t="s">
        <v>26</v>
      </c>
      <c r="F1477" s="1">
        <v>69.0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1">
        <v>105.4</v>
      </c>
      <c r="T1477" s="1">
        <v>6998.95</v>
      </c>
      <c r="U1477" s="1">
        <v>0.0</v>
      </c>
      <c r="V1477" s="1">
        <v>0.0</v>
      </c>
      <c r="W1477" s="1" t="s">
        <v>26</v>
      </c>
    </row>
    <row r="1478" ht="15.75" customHeight="1">
      <c r="A1478" s="1" t="s">
        <v>1515</v>
      </c>
      <c r="B1478" s="1" t="s">
        <v>32</v>
      </c>
      <c r="C1478" s="1">
        <v>0.0</v>
      </c>
      <c r="D1478" s="1" t="s">
        <v>26</v>
      </c>
      <c r="E1478" s="1" t="s">
        <v>26</v>
      </c>
      <c r="F1478" s="1">
        <v>2.0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1">
        <v>20.25</v>
      </c>
      <c r="T1478" s="1">
        <v>36.8</v>
      </c>
      <c r="U1478" s="1">
        <v>0.0</v>
      </c>
      <c r="V1478" s="1">
        <v>0.0</v>
      </c>
      <c r="W1478" s="1" t="s">
        <v>26</v>
      </c>
    </row>
    <row r="1479" ht="15.75" customHeight="1">
      <c r="A1479" s="1" t="s">
        <v>1516</v>
      </c>
      <c r="B1479" s="1" t="s">
        <v>32</v>
      </c>
      <c r="C1479" s="1">
        <v>0.0</v>
      </c>
      <c r="D1479" s="1" t="s">
        <v>25</v>
      </c>
      <c r="E1479" s="1" t="s">
        <v>25</v>
      </c>
      <c r="F1479" s="1">
        <v>61.0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1">
        <v>106.0</v>
      </c>
      <c r="T1479" s="1">
        <v>6547.7</v>
      </c>
      <c r="U1479" s="1">
        <v>0.0</v>
      </c>
      <c r="V1479" s="1">
        <v>6.0</v>
      </c>
      <c r="W1479" s="1" t="s">
        <v>25</v>
      </c>
    </row>
    <row r="1480" ht="15.75" customHeight="1">
      <c r="A1480" s="1" t="s">
        <v>1517</v>
      </c>
      <c r="B1480" s="1" t="s">
        <v>32</v>
      </c>
      <c r="C1480" s="1">
        <v>0.0</v>
      </c>
      <c r="D1480" s="1" t="s">
        <v>26</v>
      </c>
      <c r="E1480" s="1" t="s">
        <v>26</v>
      </c>
      <c r="F1480" s="1">
        <v>41.0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1">
        <v>104.7</v>
      </c>
      <c r="T1480" s="1">
        <v>4346.4</v>
      </c>
      <c r="U1480" s="1">
        <v>0.0</v>
      </c>
      <c r="V1480" s="1">
        <v>4.0</v>
      </c>
      <c r="W1480" s="1" t="s">
        <v>25</v>
      </c>
    </row>
    <row r="1481" ht="15.75" customHeight="1">
      <c r="A1481" s="1" t="s">
        <v>1518</v>
      </c>
      <c r="B1481" s="1" t="s">
        <v>24</v>
      </c>
      <c r="C1481" s="1">
        <v>0.0</v>
      </c>
      <c r="D1481" s="1" t="s">
        <v>26</v>
      </c>
      <c r="E1481" s="1" t="s">
        <v>26</v>
      </c>
      <c r="F1481" s="1">
        <v>44.0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1">
        <v>49.05</v>
      </c>
      <c r="T1481" s="1">
        <v>2265.0</v>
      </c>
      <c r="U1481" s="1">
        <v>0.0</v>
      </c>
      <c r="V1481" s="1">
        <v>0.0</v>
      </c>
      <c r="W1481" s="1" t="s">
        <v>26</v>
      </c>
    </row>
    <row r="1482" ht="15.75" customHeight="1">
      <c r="A1482" s="1" t="s">
        <v>1519</v>
      </c>
      <c r="B1482" s="1" t="s">
        <v>32</v>
      </c>
      <c r="C1482" s="1">
        <v>0.0</v>
      </c>
      <c r="D1482" s="1" t="s">
        <v>26</v>
      </c>
      <c r="E1482" s="1" t="s">
        <v>26</v>
      </c>
      <c r="F1482" s="1">
        <v>39.0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1">
        <v>35.55</v>
      </c>
      <c r="T1482" s="1">
        <v>1309.15</v>
      </c>
      <c r="U1482" s="1">
        <v>0.0</v>
      </c>
      <c r="V1482" s="1">
        <v>0.0</v>
      </c>
      <c r="W1482" s="1" t="s">
        <v>26</v>
      </c>
    </row>
    <row r="1483" ht="15.75" customHeight="1">
      <c r="A1483" s="1" t="s">
        <v>1520</v>
      </c>
      <c r="B1483" s="1" t="s">
        <v>32</v>
      </c>
      <c r="C1483" s="1">
        <v>0.0</v>
      </c>
      <c r="D1483" s="1" t="s">
        <v>25</v>
      </c>
      <c r="E1483" s="1" t="s">
        <v>25</v>
      </c>
      <c r="F1483" s="1">
        <v>72.0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1">
        <v>65.1</v>
      </c>
      <c r="T1483" s="1">
        <v>4754.3</v>
      </c>
      <c r="U1483" s="1">
        <v>3.0</v>
      </c>
      <c r="V1483" s="1">
        <v>0.0</v>
      </c>
      <c r="W1483" s="1" t="s">
        <v>26</v>
      </c>
    </row>
    <row r="1484" ht="15.75" customHeight="1">
      <c r="A1484" s="1" t="s">
        <v>1521</v>
      </c>
      <c r="B1484" s="1" t="s">
        <v>24</v>
      </c>
      <c r="C1484" s="1">
        <v>1.0</v>
      </c>
      <c r="D1484" s="1" t="s">
        <v>26</v>
      </c>
      <c r="E1484" s="1" t="s">
        <v>26</v>
      </c>
      <c r="F1484" s="1">
        <v>13.0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1">
        <v>96.85</v>
      </c>
      <c r="T1484" s="1">
        <v>1235.55</v>
      </c>
      <c r="U1484" s="1">
        <v>0.0</v>
      </c>
      <c r="V1484" s="1">
        <v>0.0</v>
      </c>
      <c r="W1484" s="1" t="s">
        <v>26</v>
      </c>
    </row>
    <row r="1485" ht="15.75" customHeight="1">
      <c r="A1485" s="1" t="s">
        <v>1522</v>
      </c>
      <c r="B1485" s="1" t="s">
        <v>24</v>
      </c>
      <c r="C1485" s="1">
        <v>0.0</v>
      </c>
      <c r="D1485" s="1" t="s">
        <v>25</v>
      </c>
      <c r="E1485" s="1" t="s">
        <v>25</v>
      </c>
      <c r="F1485" s="1">
        <v>51.0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1">
        <v>69.75</v>
      </c>
      <c r="T1485" s="1">
        <v>3562.5</v>
      </c>
      <c r="U1485" s="1">
        <v>0.0</v>
      </c>
      <c r="V1485" s="1">
        <v>0.0</v>
      </c>
      <c r="W1485" s="1" t="s">
        <v>26</v>
      </c>
    </row>
    <row r="1486" ht="15.75" customHeight="1">
      <c r="A1486" s="1" t="s">
        <v>1523</v>
      </c>
      <c r="B1486" s="1" t="s">
        <v>24</v>
      </c>
      <c r="C1486" s="1">
        <v>1.0</v>
      </c>
      <c r="D1486" s="1" t="s">
        <v>25</v>
      </c>
      <c r="E1486" s="1" t="s">
        <v>26</v>
      </c>
      <c r="F1486" s="1">
        <v>71.0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1">
        <v>99.2</v>
      </c>
      <c r="T1486" s="1">
        <v>7213.75</v>
      </c>
      <c r="U1486" s="1">
        <v>1.0</v>
      </c>
      <c r="V1486" s="1">
        <v>0.0</v>
      </c>
      <c r="W1486" s="1" t="s">
        <v>26</v>
      </c>
    </row>
    <row r="1487" ht="15.75" customHeight="1">
      <c r="A1487" s="1" t="s">
        <v>1524</v>
      </c>
      <c r="B1487" s="1" t="s">
        <v>32</v>
      </c>
      <c r="C1487" s="1">
        <v>1.0</v>
      </c>
      <c r="D1487" s="1" t="s">
        <v>26</v>
      </c>
      <c r="E1487" s="1" t="s">
        <v>26</v>
      </c>
      <c r="F1487" s="1">
        <v>22.0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1">
        <v>96.7</v>
      </c>
      <c r="T1487" s="1">
        <v>2082.95</v>
      </c>
      <c r="U1487" s="1">
        <v>0.0</v>
      </c>
      <c r="V1487" s="1">
        <v>2.0</v>
      </c>
      <c r="W1487" s="1" t="s">
        <v>25</v>
      </c>
    </row>
    <row r="1488" ht="15.75" customHeight="1">
      <c r="A1488" s="1" t="s">
        <v>1525</v>
      </c>
      <c r="B1488" s="1" t="s">
        <v>24</v>
      </c>
      <c r="C1488" s="1">
        <v>0.0</v>
      </c>
      <c r="D1488" s="1" t="s">
        <v>26</v>
      </c>
      <c r="E1488" s="1" t="s">
        <v>26</v>
      </c>
      <c r="F1488" s="1">
        <v>2.0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1">
        <v>55.05</v>
      </c>
      <c r="T1488" s="1">
        <v>102.75</v>
      </c>
      <c r="U1488" s="1">
        <v>0.0</v>
      </c>
      <c r="V1488" s="1">
        <v>0.0</v>
      </c>
      <c r="W1488" s="1" t="s">
        <v>25</v>
      </c>
    </row>
    <row r="1489" ht="15.75" customHeight="1">
      <c r="A1489" s="1" t="s">
        <v>1526</v>
      </c>
      <c r="B1489" s="1" t="s">
        <v>24</v>
      </c>
      <c r="C1489" s="1">
        <v>0.0</v>
      </c>
      <c r="D1489" s="1" t="s">
        <v>26</v>
      </c>
      <c r="E1489" s="1" t="s">
        <v>26</v>
      </c>
      <c r="F1489" s="1">
        <v>56.0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1">
        <v>106.8</v>
      </c>
      <c r="T1489" s="1">
        <v>5914.4</v>
      </c>
      <c r="U1489" s="1">
        <v>0.0</v>
      </c>
      <c r="V1489" s="1">
        <v>0.0</v>
      </c>
      <c r="W1489" s="1" t="s">
        <v>26</v>
      </c>
    </row>
    <row r="1490" ht="15.75" customHeight="1">
      <c r="A1490" s="1" t="s">
        <v>1527</v>
      </c>
      <c r="B1490" s="1" t="s">
        <v>32</v>
      </c>
      <c r="C1490" s="1">
        <v>0.0</v>
      </c>
      <c r="D1490" s="1" t="s">
        <v>26</v>
      </c>
      <c r="E1490" s="1" t="s">
        <v>26</v>
      </c>
      <c r="F1490" s="1">
        <v>1.0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1">
        <v>51.25</v>
      </c>
      <c r="T1490" s="1">
        <v>51.25</v>
      </c>
      <c r="U1490" s="1">
        <v>0.0</v>
      </c>
      <c r="V1490" s="1">
        <v>0.0</v>
      </c>
      <c r="W1490" s="1" t="s">
        <v>26</v>
      </c>
    </row>
    <row r="1491" ht="15.75" customHeight="1">
      <c r="A1491" s="1" t="s">
        <v>1528</v>
      </c>
      <c r="B1491" s="1" t="s">
        <v>24</v>
      </c>
      <c r="C1491" s="1">
        <v>0.0</v>
      </c>
      <c r="D1491" s="1" t="s">
        <v>25</v>
      </c>
      <c r="E1491" s="1" t="s">
        <v>25</v>
      </c>
      <c r="F1491" s="1">
        <v>23.0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1">
        <v>57.75</v>
      </c>
      <c r="T1491" s="1">
        <v>1282.85</v>
      </c>
      <c r="U1491" s="1">
        <v>0.0</v>
      </c>
      <c r="V1491" s="1">
        <v>0.0</v>
      </c>
      <c r="W1491" s="1" t="s">
        <v>26</v>
      </c>
    </row>
    <row r="1492" ht="15.75" customHeight="1">
      <c r="A1492" s="1" t="s">
        <v>1529</v>
      </c>
      <c r="B1492" s="1" t="s">
        <v>24</v>
      </c>
      <c r="C1492" s="1">
        <v>1.0</v>
      </c>
      <c r="D1492" s="1" t="s">
        <v>25</v>
      </c>
      <c r="E1492" s="1" t="s">
        <v>26</v>
      </c>
      <c r="F1492" s="1">
        <v>66.0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1">
        <v>70.85</v>
      </c>
      <c r="T1492" s="1">
        <v>4738.85</v>
      </c>
      <c r="U1492" s="1">
        <v>0.0</v>
      </c>
      <c r="V1492" s="1">
        <v>0.0</v>
      </c>
      <c r="W1492" s="1" t="s">
        <v>26</v>
      </c>
    </row>
    <row r="1493" ht="15.75" customHeight="1">
      <c r="A1493" s="1" t="s">
        <v>1530</v>
      </c>
      <c r="B1493" s="1" t="s">
        <v>24</v>
      </c>
      <c r="C1493" s="1">
        <v>0.0</v>
      </c>
      <c r="D1493" s="1" t="s">
        <v>26</v>
      </c>
      <c r="E1493" s="1" t="s">
        <v>26</v>
      </c>
      <c r="F1493" s="1">
        <v>1.0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1">
        <v>19.55</v>
      </c>
      <c r="T1493" s="1">
        <v>19.55</v>
      </c>
      <c r="U1493" s="1">
        <v>0.0</v>
      </c>
      <c r="V1493" s="1">
        <v>0.0</v>
      </c>
      <c r="W1493" s="1" t="s">
        <v>26</v>
      </c>
    </row>
    <row r="1494" ht="15.75" customHeight="1">
      <c r="A1494" s="1" t="s">
        <v>1531</v>
      </c>
      <c r="B1494" s="1" t="s">
        <v>32</v>
      </c>
      <c r="C1494" s="1">
        <v>1.0</v>
      </c>
      <c r="D1494" s="1" t="s">
        <v>26</v>
      </c>
      <c r="E1494" s="1" t="s">
        <v>26</v>
      </c>
      <c r="F1494" s="1">
        <v>19.0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1">
        <v>88.2</v>
      </c>
      <c r="T1494" s="1">
        <v>1775.8</v>
      </c>
      <c r="U1494" s="1">
        <v>0.0</v>
      </c>
      <c r="V1494" s="1">
        <v>1.0</v>
      </c>
      <c r="W1494" s="1" t="s">
        <v>25</v>
      </c>
    </row>
    <row r="1495" ht="15.75" customHeight="1">
      <c r="A1495" s="1" t="s">
        <v>1532</v>
      </c>
      <c r="B1495" s="1" t="s">
        <v>32</v>
      </c>
      <c r="C1495" s="1">
        <v>0.0</v>
      </c>
      <c r="D1495" s="1" t="s">
        <v>26</v>
      </c>
      <c r="E1495" s="1" t="s">
        <v>26</v>
      </c>
      <c r="F1495" s="1">
        <v>11.0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1">
        <v>79.5</v>
      </c>
      <c r="T1495" s="1">
        <v>795.65</v>
      </c>
      <c r="U1495" s="1">
        <v>0.0</v>
      </c>
      <c r="V1495" s="1">
        <v>0.0</v>
      </c>
      <c r="W1495" s="1" t="s">
        <v>26</v>
      </c>
    </row>
    <row r="1496" ht="15.75" customHeight="1">
      <c r="A1496" s="1" t="s">
        <v>1533</v>
      </c>
      <c r="B1496" s="1" t="s">
        <v>24</v>
      </c>
      <c r="C1496" s="1">
        <v>0.0</v>
      </c>
      <c r="D1496" s="1" t="s">
        <v>25</v>
      </c>
      <c r="E1496" s="1" t="s">
        <v>25</v>
      </c>
      <c r="F1496" s="1">
        <v>8.0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1">
        <v>19.75</v>
      </c>
      <c r="T1496" s="1">
        <v>145.0</v>
      </c>
      <c r="U1496" s="1">
        <v>0.0</v>
      </c>
      <c r="V1496" s="1">
        <v>0.0</v>
      </c>
      <c r="W1496" s="1" t="s">
        <v>25</v>
      </c>
    </row>
    <row r="1497" ht="15.75" customHeight="1">
      <c r="A1497" s="1" t="s">
        <v>1534</v>
      </c>
      <c r="B1497" s="1" t="s">
        <v>24</v>
      </c>
      <c r="C1497" s="1">
        <v>0.0</v>
      </c>
      <c r="D1497" s="1" t="s">
        <v>25</v>
      </c>
      <c r="E1497" s="1" t="s">
        <v>25</v>
      </c>
      <c r="F1497" s="1">
        <v>52.0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1">
        <v>98.15</v>
      </c>
      <c r="T1497" s="1">
        <v>4993.4</v>
      </c>
      <c r="U1497" s="1">
        <v>0.0</v>
      </c>
      <c r="V1497" s="1">
        <v>1.0</v>
      </c>
      <c r="W1497" s="1" t="s">
        <v>26</v>
      </c>
    </row>
    <row r="1498" ht="15.75" customHeight="1">
      <c r="A1498" s="1" t="s">
        <v>1535</v>
      </c>
      <c r="B1498" s="1" t="s">
        <v>32</v>
      </c>
      <c r="C1498" s="1">
        <v>0.0</v>
      </c>
      <c r="D1498" s="1" t="s">
        <v>26</v>
      </c>
      <c r="E1498" s="1" t="s">
        <v>26</v>
      </c>
      <c r="F1498" s="1">
        <v>3.0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1">
        <v>20.25</v>
      </c>
      <c r="T1498" s="1">
        <v>61.45</v>
      </c>
      <c r="U1498" s="1">
        <v>0.0</v>
      </c>
      <c r="V1498" s="1">
        <v>0.0</v>
      </c>
      <c r="W1498" s="1" t="s">
        <v>26</v>
      </c>
    </row>
    <row r="1499" ht="15.75" customHeight="1">
      <c r="A1499" s="1" t="s">
        <v>1536</v>
      </c>
      <c r="B1499" s="1" t="s">
        <v>24</v>
      </c>
      <c r="C1499" s="1">
        <v>0.0</v>
      </c>
      <c r="D1499" s="1" t="s">
        <v>25</v>
      </c>
      <c r="E1499" s="1" t="s">
        <v>25</v>
      </c>
      <c r="F1499" s="1">
        <v>51.0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1">
        <v>79.15</v>
      </c>
      <c r="T1499" s="1">
        <v>4018.55</v>
      </c>
      <c r="U1499" s="1">
        <v>3.0</v>
      </c>
      <c r="V1499" s="1">
        <v>0.0</v>
      </c>
      <c r="W1499" s="1" t="s">
        <v>26</v>
      </c>
    </row>
    <row r="1500" ht="15.75" customHeight="1">
      <c r="A1500" s="1" t="s">
        <v>1537</v>
      </c>
      <c r="B1500" s="1" t="s">
        <v>32</v>
      </c>
      <c r="C1500" s="1">
        <v>1.0</v>
      </c>
      <c r="D1500" s="1" t="s">
        <v>26</v>
      </c>
      <c r="E1500" s="1" t="s">
        <v>26</v>
      </c>
      <c r="F1500" s="1">
        <v>15.0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1">
        <v>75.65</v>
      </c>
      <c r="T1500" s="1">
        <v>1146.65</v>
      </c>
      <c r="U1500" s="1">
        <v>0.0</v>
      </c>
      <c r="V1500" s="1">
        <v>0.0</v>
      </c>
      <c r="W1500" s="1" t="s">
        <v>25</v>
      </c>
    </row>
    <row r="1501" ht="15.75" customHeight="1">
      <c r="A1501" s="1" t="s">
        <v>1538</v>
      </c>
      <c r="B1501" s="1" t="s">
        <v>32</v>
      </c>
      <c r="C1501" s="1">
        <v>1.0</v>
      </c>
      <c r="D1501" s="1" t="s">
        <v>25</v>
      </c>
      <c r="E1501" s="1" t="s">
        <v>26</v>
      </c>
      <c r="F1501" s="1">
        <v>64.0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1">
        <v>94.25</v>
      </c>
      <c r="T1501" s="1">
        <v>6081.4</v>
      </c>
      <c r="U1501" s="1">
        <v>0.0</v>
      </c>
      <c r="V1501" s="1">
        <v>0.0</v>
      </c>
      <c r="W1501" s="1" t="s">
        <v>26</v>
      </c>
    </row>
    <row r="1502" ht="15.75" customHeight="1">
      <c r="A1502" s="1" t="s">
        <v>1539</v>
      </c>
      <c r="B1502" s="1" t="s">
        <v>24</v>
      </c>
      <c r="C1502" s="1">
        <v>0.0</v>
      </c>
      <c r="D1502" s="1" t="s">
        <v>26</v>
      </c>
      <c r="E1502" s="1" t="s">
        <v>26</v>
      </c>
      <c r="F1502" s="1">
        <v>37.0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1">
        <v>40.2</v>
      </c>
      <c r="T1502" s="1">
        <v>1478.85</v>
      </c>
      <c r="U1502" s="1">
        <v>0.0</v>
      </c>
      <c r="V1502" s="1">
        <v>0.0</v>
      </c>
      <c r="W1502" s="1" t="s">
        <v>26</v>
      </c>
    </row>
    <row r="1503" ht="15.75" customHeight="1">
      <c r="A1503" s="1" t="s">
        <v>1540</v>
      </c>
      <c r="B1503" s="1" t="s">
        <v>32</v>
      </c>
      <c r="C1503" s="1">
        <v>0.0</v>
      </c>
      <c r="D1503" s="1" t="s">
        <v>26</v>
      </c>
      <c r="E1503" s="1" t="s">
        <v>26</v>
      </c>
      <c r="F1503" s="1">
        <v>13.0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1">
        <v>19.95</v>
      </c>
      <c r="T1503" s="1">
        <v>243.65</v>
      </c>
      <c r="U1503" s="1">
        <v>0.0</v>
      </c>
      <c r="V1503" s="1">
        <v>0.0</v>
      </c>
      <c r="W1503" s="1" t="s">
        <v>26</v>
      </c>
    </row>
    <row r="1504" ht="15.75" customHeight="1">
      <c r="A1504" s="1" t="s">
        <v>1541</v>
      </c>
      <c r="B1504" s="1" t="s">
        <v>32</v>
      </c>
      <c r="C1504" s="1">
        <v>0.0</v>
      </c>
      <c r="D1504" s="1" t="s">
        <v>25</v>
      </c>
      <c r="E1504" s="1" t="s">
        <v>26</v>
      </c>
      <c r="F1504" s="1">
        <v>49.0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1">
        <v>55.35</v>
      </c>
      <c r="T1504" s="1">
        <v>2633.95</v>
      </c>
      <c r="U1504" s="1">
        <v>0.0</v>
      </c>
      <c r="V1504" s="1">
        <v>0.0</v>
      </c>
      <c r="W1504" s="1" t="s">
        <v>26</v>
      </c>
    </row>
    <row r="1505" ht="15.75" customHeight="1">
      <c r="A1505" s="1" t="s">
        <v>1542</v>
      </c>
      <c r="B1505" s="1" t="s">
        <v>24</v>
      </c>
      <c r="C1505" s="1">
        <v>1.0</v>
      </c>
      <c r="D1505" s="1" t="s">
        <v>26</v>
      </c>
      <c r="E1505" s="1" t="s">
        <v>26</v>
      </c>
      <c r="F1505" s="1">
        <v>45.0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1">
        <v>102.15</v>
      </c>
      <c r="T1505" s="1">
        <v>4735.35</v>
      </c>
      <c r="U1505" s="1">
        <v>0.0</v>
      </c>
      <c r="V1505" s="1">
        <v>0.0</v>
      </c>
      <c r="W1505" s="1" t="s">
        <v>26</v>
      </c>
    </row>
    <row r="1506" ht="15.75" customHeight="1">
      <c r="A1506" s="1" t="s">
        <v>1543</v>
      </c>
      <c r="B1506" s="1" t="s">
        <v>24</v>
      </c>
      <c r="C1506" s="1">
        <v>0.0</v>
      </c>
      <c r="D1506" s="1" t="s">
        <v>26</v>
      </c>
      <c r="E1506" s="1" t="s">
        <v>26</v>
      </c>
      <c r="F1506" s="1">
        <v>18.0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1">
        <v>71.1</v>
      </c>
      <c r="T1506" s="1">
        <v>1247.75</v>
      </c>
      <c r="U1506" s="1">
        <v>0.0</v>
      </c>
      <c r="V1506" s="1">
        <v>0.0</v>
      </c>
      <c r="W1506" s="1" t="s">
        <v>26</v>
      </c>
    </row>
    <row r="1507" ht="15.75" customHeight="1">
      <c r="A1507" s="1" t="s">
        <v>1544</v>
      </c>
      <c r="B1507" s="1" t="s">
        <v>32</v>
      </c>
      <c r="C1507" s="1">
        <v>1.0</v>
      </c>
      <c r="D1507" s="1" t="s">
        <v>26</v>
      </c>
      <c r="E1507" s="1" t="s">
        <v>26</v>
      </c>
      <c r="F1507" s="1">
        <v>1.0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1">
        <v>74.7</v>
      </c>
      <c r="T1507" s="1">
        <v>74.7</v>
      </c>
      <c r="U1507" s="1">
        <v>4.0</v>
      </c>
      <c r="V1507" s="1">
        <v>0.0</v>
      </c>
      <c r="W1507" s="1" t="s">
        <v>25</v>
      </c>
    </row>
    <row r="1508" ht="15.75" customHeight="1">
      <c r="A1508" s="1" t="s">
        <v>1545</v>
      </c>
      <c r="B1508" s="1" t="s">
        <v>32</v>
      </c>
      <c r="C1508" s="1">
        <v>0.0</v>
      </c>
      <c r="D1508" s="1" t="s">
        <v>25</v>
      </c>
      <c r="E1508" s="1" t="s">
        <v>26</v>
      </c>
      <c r="F1508" s="1">
        <v>68.0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1">
        <v>54.1</v>
      </c>
      <c r="T1508" s="1">
        <v>3794.5</v>
      </c>
      <c r="U1508" s="1">
        <v>0.0</v>
      </c>
      <c r="V1508" s="1">
        <v>0.0</v>
      </c>
      <c r="W1508" s="1" t="s">
        <v>26</v>
      </c>
    </row>
    <row r="1509" ht="15.75" customHeight="1">
      <c r="A1509" s="1" t="s">
        <v>1546</v>
      </c>
      <c r="B1509" s="1" t="s">
        <v>32</v>
      </c>
      <c r="C1509" s="1">
        <v>0.0</v>
      </c>
      <c r="D1509" s="1" t="s">
        <v>26</v>
      </c>
      <c r="E1509" s="1" t="s">
        <v>26</v>
      </c>
      <c r="F1509" s="1">
        <v>54.0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1">
        <v>19.65</v>
      </c>
      <c r="T1509" s="1">
        <v>1008.7</v>
      </c>
      <c r="U1509" s="1">
        <v>3.0</v>
      </c>
      <c r="V1509" s="1">
        <v>0.0</v>
      </c>
      <c r="W1509" s="1" t="s">
        <v>26</v>
      </c>
    </row>
    <row r="1510" ht="15.75" customHeight="1">
      <c r="A1510" s="1" t="s">
        <v>1547</v>
      </c>
      <c r="B1510" s="1" t="s">
        <v>24</v>
      </c>
      <c r="C1510" s="1">
        <v>1.0</v>
      </c>
      <c r="D1510" s="1" t="s">
        <v>25</v>
      </c>
      <c r="E1510" s="1" t="s">
        <v>25</v>
      </c>
      <c r="F1510" s="1">
        <v>23.0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1">
        <v>88.45</v>
      </c>
      <c r="T1510" s="1">
        <v>2130.55</v>
      </c>
      <c r="U1510" s="1">
        <v>0.0</v>
      </c>
      <c r="V1510" s="1">
        <v>0.0</v>
      </c>
      <c r="W1510" s="1" t="s">
        <v>26</v>
      </c>
    </row>
    <row r="1511" ht="15.75" customHeight="1">
      <c r="A1511" s="1" t="s">
        <v>1548</v>
      </c>
      <c r="B1511" s="1" t="s">
        <v>32</v>
      </c>
      <c r="C1511" s="1">
        <v>0.0</v>
      </c>
      <c r="D1511" s="1" t="s">
        <v>26</v>
      </c>
      <c r="E1511" s="1" t="s">
        <v>26</v>
      </c>
      <c r="F1511" s="1">
        <v>17.0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1">
        <v>76.65</v>
      </c>
      <c r="T1511" s="1">
        <v>1313.55</v>
      </c>
      <c r="U1511" s="1">
        <v>0.0</v>
      </c>
      <c r="V1511" s="1">
        <v>0.0</v>
      </c>
      <c r="W1511" s="1" t="s">
        <v>25</v>
      </c>
    </row>
    <row r="1512" ht="15.75" customHeight="1">
      <c r="A1512" s="1" t="s">
        <v>1549</v>
      </c>
      <c r="B1512" s="1" t="s">
        <v>32</v>
      </c>
      <c r="C1512" s="1">
        <v>0.0</v>
      </c>
      <c r="D1512" s="1" t="s">
        <v>25</v>
      </c>
      <c r="E1512" s="1" t="s">
        <v>26</v>
      </c>
      <c r="F1512" s="1">
        <v>71.0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1">
        <v>80.4</v>
      </c>
      <c r="T1512" s="1">
        <v>5727.15</v>
      </c>
      <c r="U1512" s="1">
        <v>0.0</v>
      </c>
      <c r="V1512" s="1">
        <v>0.0</v>
      </c>
      <c r="W1512" s="1" t="s">
        <v>26</v>
      </c>
    </row>
    <row r="1513" ht="15.75" customHeight="1">
      <c r="A1513" s="1" t="s">
        <v>1550</v>
      </c>
      <c r="B1513" s="1" t="s">
        <v>24</v>
      </c>
      <c r="C1513" s="1">
        <v>0.0</v>
      </c>
      <c r="D1513" s="1" t="s">
        <v>25</v>
      </c>
      <c r="E1513" s="1" t="s">
        <v>25</v>
      </c>
      <c r="F1513" s="1">
        <v>67.0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1">
        <v>19.25</v>
      </c>
      <c r="T1513" s="1">
        <v>1372.9</v>
      </c>
      <c r="U1513" s="1">
        <v>0.0</v>
      </c>
      <c r="V1513" s="1">
        <v>0.0</v>
      </c>
      <c r="W1513" s="1" t="s">
        <v>26</v>
      </c>
    </row>
    <row r="1514" ht="15.75" customHeight="1">
      <c r="A1514" s="1" t="s">
        <v>1551</v>
      </c>
      <c r="B1514" s="1" t="s">
        <v>24</v>
      </c>
      <c r="C1514" s="1">
        <v>0.0</v>
      </c>
      <c r="D1514" s="1" t="s">
        <v>25</v>
      </c>
      <c r="E1514" s="1" t="s">
        <v>25</v>
      </c>
      <c r="F1514" s="1">
        <v>14.0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1">
        <v>84.8</v>
      </c>
      <c r="T1514" s="1">
        <v>1203.9</v>
      </c>
      <c r="U1514" s="1">
        <v>2.0</v>
      </c>
      <c r="V1514" s="1">
        <v>0.0</v>
      </c>
      <c r="W1514" s="1" t="s">
        <v>26</v>
      </c>
    </row>
    <row r="1515" ht="15.75" customHeight="1">
      <c r="A1515" s="1" t="s">
        <v>1552</v>
      </c>
      <c r="B1515" s="1" t="s">
        <v>24</v>
      </c>
      <c r="C1515" s="1">
        <v>1.0</v>
      </c>
      <c r="D1515" s="1" t="s">
        <v>26</v>
      </c>
      <c r="E1515" s="1" t="s">
        <v>26</v>
      </c>
      <c r="F1515" s="1">
        <v>1.0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1">
        <v>25.8</v>
      </c>
      <c r="T1515" s="1">
        <v>25.8</v>
      </c>
      <c r="U1515" s="1">
        <v>0.0</v>
      </c>
      <c r="V1515" s="1">
        <v>0.0</v>
      </c>
      <c r="W1515" s="1" t="s">
        <v>25</v>
      </c>
    </row>
    <row r="1516" ht="15.75" customHeight="1">
      <c r="A1516" s="1" t="s">
        <v>1553</v>
      </c>
      <c r="B1516" s="1" t="s">
        <v>24</v>
      </c>
      <c r="C1516" s="1">
        <v>0.0</v>
      </c>
      <c r="D1516" s="1" t="s">
        <v>26</v>
      </c>
      <c r="E1516" s="1" t="s">
        <v>25</v>
      </c>
      <c r="F1516" s="1">
        <v>63.0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1">
        <v>19.5</v>
      </c>
      <c r="T1516" s="1">
        <v>1215.1</v>
      </c>
      <c r="U1516" s="1">
        <v>0.0</v>
      </c>
      <c r="V1516" s="1">
        <v>0.0</v>
      </c>
      <c r="W1516" s="1" t="s">
        <v>26</v>
      </c>
    </row>
    <row r="1517" ht="15.75" customHeight="1">
      <c r="A1517" s="1" t="s">
        <v>1554</v>
      </c>
      <c r="B1517" s="1" t="s">
        <v>24</v>
      </c>
      <c r="C1517" s="1">
        <v>0.0</v>
      </c>
      <c r="D1517" s="1" t="s">
        <v>26</v>
      </c>
      <c r="E1517" s="1" t="s">
        <v>26</v>
      </c>
      <c r="F1517" s="1">
        <v>41.0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1">
        <v>68.6</v>
      </c>
      <c r="T1517" s="1">
        <v>2877.05</v>
      </c>
      <c r="U1517" s="1">
        <v>0.0</v>
      </c>
      <c r="V1517" s="1">
        <v>0.0</v>
      </c>
      <c r="W1517" s="1" t="s">
        <v>26</v>
      </c>
    </row>
    <row r="1518" ht="15.75" customHeight="1">
      <c r="A1518" s="1" t="s">
        <v>1555</v>
      </c>
      <c r="B1518" s="1" t="s">
        <v>24</v>
      </c>
      <c r="C1518" s="1">
        <v>0.0</v>
      </c>
      <c r="D1518" s="1" t="s">
        <v>25</v>
      </c>
      <c r="E1518" s="1" t="s">
        <v>26</v>
      </c>
      <c r="F1518" s="1">
        <v>17.0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1">
        <v>92.6</v>
      </c>
      <c r="T1518" s="1">
        <v>1579.7</v>
      </c>
      <c r="U1518" s="1">
        <v>3.0</v>
      </c>
      <c r="V1518" s="1">
        <v>0.0</v>
      </c>
      <c r="W1518" s="1" t="s">
        <v>26</v>
      </c>
    </row>
    <row r="1519" ht="15.75" customHeight="1">
      <c r="A1519" s="1" t="s">
        <v>1556</v>
      </c>
      <c r="B1519" s="1" t="s">
        <v>32</v>
      </c>
      <c r="C1519" s="1">
        <v>0.0</v>
      </c>
      <c r="D1519" s="1" t="s">
        <v>25</v>
      </c>
      <c r="E1519" s="1" t="s">
        <v>26</v>
      </c>
      <c r="F1519" s="1">
        <v>56.0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1">
        <v>100.55</v>
      </c>
      <c r="T1519" s="1">
        <v>5514.95</v>
      </c>
      <c r="U1519" s="1">
        <v>0.0</v>
      </c>
      <c r="V1519" s="1">
        <v>0.0</v>
      </c>
      <c r="W1519" s="1" t="s">
        <v>26</v>
      </c>
    </row>
    <row r="1520" ht="15.75" customHeight="1">
      <c r="A1520" s="1" t="s">
        <v>1557</v>
      </c>
      <c r="B1520" s="1" t="s">
        <v>24</v>
      </c>
      <c r="C1520" s="1">
        <v>0.0</v>
      </c>
      <c r="D1520" s="1" t="s">
        <v>26</v>
      </c>
      <c r="E1520" s="1" t="s">
        <v>26</v>
      </c>
      <c r="F1520" s="1">
        <v>5.0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1">
        <v>20.55</v>
      </c>
      <c r="T1520" s="1">
        <v>96.1</v>
      </c>
      <c r="U1520" s="1">
        <v>1.0</v>
      </c>
      <c r="V1520" s="1">
        <v>0.0</v>
      </c>
      <c r="W1520" s="1" t="s">
        <v>26</v>
      </c>
    </row>
    <row r="1521" ht="15.75" customHeight="1">
      <c r="A1521" s="1" t="s">
        <v>1558</v>
      </c>
      <c r="B1521" s="1" t="s">
        <v>24</v>
      </c>
      <c r="C1521" s="1">
        <v>0.0</v>
      </c>
      <c r="D1521" s="1" t="s">
        <v>26</v>
      </c>
      <c r="E1521" s="1" t="s">
        <v>26</v>
      </c>
      <c r="F1521" s="1">
        <v>2.0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1">
        <v>42.6</v>
      </c>
      <c r="T1521" s="1">
        <v>72.4</v>
      </c>
      <c r="U1521" s="1">
        <v>0.0</v>
      </c>
      <c r="V1521" s="1">
        <v>0.0</v>
      </c>
      <c r="W1521" s="1" t="s">
        <v>25</v>
      </c>
    </row>
    <row r="1522" ht="15.75" customHeight="1">
      <c r="A1522" s="1" t="s">
        <v>1559</v>
      </c>
      <c r="B1522" s="1" t="s">
        <v>24</v>
      </c>
      <c r="C1522" s="1">
        <v>0.0</v>
      </c>
      <c r="D1522" s="1" t="s">
        <v>25</v>
      </c>
      <c r="E1522" s="1" t="s">
        <v>26</v>
      </c>
      <c r="F1522" s="1">
        <v>3.0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1">
        <v>19.6</v>
      </c>
      <c r="T1522" s="1">
        <v>55.25</v>
      </c>
      <c r="U1522" s="1">
        <v>0.0</v>
      </c>
      <c r="V1522" s="1">
        <v>0.0</v>
      </c>
      <c r="W1522" s="1" t="s">
        <v>26</v>
      </c>
    </row>
    <row r="1523" ht="15.75" customHeight="1">
      <c r="A1523" s="1" t="s">
        <v>1560</v>
      </c>
      <c r="B1523" s="1" t="s">
        <v>32</v>
      </c>
      <c r="C1523" s="1">
        <v>0.0</v>
      </c>
      <c r="D1523" s="1" t="s">
        <v>26</v>
      </c>
      <c r="E1523" s="1" t="s">
        <v>26</v>
      </c>
      <c r="F1523" s="1">
        <v>37.0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1">
        <v>67.45</v>
      </c>
      <c r="T1523" s="1">
        <v>2443.3</v>
      </c>
      <c r="U1523" s="1">
        <v>5.0</v>
      </c>
      <c r="V1523" s="1">
        <v>0.0</v>
      </c>
      <c r="W1523" s="1" t="s">
        <v>26</v>
      </c>
    </row>
    <row r="1524" ht="15.75" customHeight="1">
      <c r="A1524" s="1" t="s">
        <v>1561</v>
      </c>
      <c r="B1524" s="1" t="s">
        <v>24</v>
      </c>
      <c r="C1524" s="1">
        <v>0.0</v>
      </c>
      <c r="D1524" s="1" t="s">
        <v>26</v>
      </c>
      <c r="E1524" s="1" t="s">
        <v>26</v>
      </c>
      <c r="F1524" s="1">
        <v>29.0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1">
        <v>68.85</v>
      </c>
      <c r="T1524" s="1">
        <v>1970.5</v>
      </c>
      <c r="U1524" s="1">
        <v>0.0</v>
      </c>
      <c r="V1524" s="1">
        <v>3.0</v>
      </c>
      <c r="W1524" s="1" t="s">
        <v>25</v>
      </c>
    </row>
    <row r="1525" ht="15.75" customHeight="1">
      <c r="A1525" s="1" t="s">
        <v>1562</v>
      </c>
      <c r="B1525" s="1" t="s">
        <v>32</v>
      </c>
      <c r="C1525" s="1">
        <v>0.0</v>
      </c>
      <c r="D1525" s="1" t="s">
        <v>26</v>
      </c>
      <c r="E1525" s="1" t="s">
        <v>26</v>
      </c>
      <c r="F1525" s="1">
        <v>8.0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1">
        <v>43.55</v>
      </c>
      <c r="T1525" s="1">
        <v>335.4</v>
      </c>
      <c r="U1525" s="1">
        <v>0.0</v>
      </c>
      <c r="V1525" s="1">
        <v>0.0</v>
      </c>
      <c r="W1525" s="1" t="s">
        <v>26</v>
      </c>
    </row>
    <row r="1526" ht="15.75" customHeight="1">
      <c r="A1526" s="1" t="s">
        <v>1563</v>
      </c>
      <c r="B1526" s="1" t="s">
        <v>24</v>
      </c>
      <c r="C1526" s="1">
        <v>0.0</v>
      </c>
      <c r="D1526" s="1" t="s">
        <v>26</v>
      </c>
      <c r="E1526" s="1" t="s">
        <v>26</v>
      </c>
      <c r="F1526" s="1">
        <v>63.0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1">
        <v>109.85</v>
      </c>
      <c r="T1526" s="1">
        <v>7002.95</v>
      </c>
      <c r="U1526" s="1">
        <v>0.0</v>
      </c>
      <c r="V1526" s="1">
        <v>0.0</v>
      </c>
      <c r="W1526" s="1" t="s">
        <v>26</v>
      </c>
    </row>
    <row r="1527" ht="15.75" customHeight="1">
      <c r="A1527" s="1" t="s">
        <v>1564</v>
      </c>
      <c r="B1527" s="1" t="s">
        <v>24</v>
      </c>
      <c r="C1527" s="1">
        <v>0.0</v>
      </c>
      <c r="D1527" s="1" t="s">
        <v>25</v>
      </c>
      <c r="E1527" s="1" t="s">
        <v>25</v>
      </c>
      <c r="F1527" s="1">
        <v>7.0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1">
        <v>20.65</v>
      </c>
      <c r="T1527" s="1">
        <v>158.95</v>
      </c>
      <c r="U1527" s="1">
        <v>0.0</v>
      </c>
      <c r="V1527" s="1">
        <v>0.0</v>
      </c>
      <c r="W1527" s="1" t="s">
        <v>26</v>
      </c>
    </row>
    <row r="1528" ht="15.75" customHeight="1">
      <c r="A1528" s="1" t="s">
        <v>1565</v>
      </c>
      <c r="B1528" s="1" t="s">
        <v>24</v>
      </c>
      <c r="C1528" s="1">
        <v>0.0</v>
      </c>
      <c r="D1528" s="1" t="s">
        <v>26</v>
      </c>
      <c r="E1528" s="1" t="s">
        <v>26</v>
      </c>
      <c r="F1528" s="1">
        <v>3.0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1">
        <v>95.4</v>
      </c>
      <c r="T1528" s="1">
        <v>293.15</v>
      </c>
      <c r="U1528" s="1">
        <v>0.0</v>
      </c>
      <c r="V1528" s="1">
        <v>0.0</v>
      </c>
      <c r="W1528" s="1" t="s">
        <v>26</v>
      </c>
    </row>
    <row r="1529" ht="15.75" customHeight="1">
      <c r="A1529" s="1" t="s">
        <v>1566</v>
      </c>
      <c r="B1529" s="1" t="s">
        <v>32</v>
      </c>
      <c r="C1529" s="1">
        <v>0.0</v>
      </c>
      <c r="D1529" s="1" t="s">
        <v>25</v>
      </c>
      <c r="E1529" s="1" t="s">
        <v>25</v>
      </c>
      <c r="F1529" s="1">
        <v>72.0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1">
        <v>21.0</v>
      </c>
      <c r="T1529" s="1">
        <v>1493.75</v>
      </c>
      <c r="U1529" s="1">
        <v>0.0</v>
      </c>
      <c r="V1529" s="1">
        <v>0.0</v>
      </c>
      <c r="W1529" s="1" t="s">
        <v>26</v>
      </c>
    </row>
    <row r="1530" ht="15.75" customHeight="1">
      <c r="A1530" s="1" t="s">
        <v>1567</v>
      </c>
      <c r="B1530" s="1" t="s">
        <v>24</v>
      </c>
      <c r="C1530" s="1">
        <v>0.0</v>
      </c>
      <c r="D1530" s="1" t="s">
        <v>26</v>
      </c>
      <c r="E1530" s="1" t="s">
        <v>26</v>
      </c>
      <c r="F1530" s="1">
        <v>19.0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1">
        <v>56.2</v>
      </c>
      <c r="T1530" s="1">
        <v>1093.4</v>
      </c>
      <c r="U1530" s="1">
        <v>0.0</v>
      </c>
      <c r="V1530" s="1">
        <v>0.0</v>
      </c>
      <c r="W1530" s="1" t="s">
        <v>26</v>
      </c>
    </row>
    <row r="1531" ht="15.75" customHeight="1">
      <c r="A1531" s="1" t="s">
        <v>1568</v>
      </c>
      <c r="B1531" s="1" t="s">
        <v>24</v>
      </c>
      <c r="C1531" s="1">
        <v>0.0</v>
      </c>
      <c r="D1531" s="1" t="s">
        <v>25</v>
      </c>
      <c r="E1531" s="1" t="s">
        <v>26</v>
      </c>
      <c r="F1531" s="1">
        <v>59.0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1">
        <v>18.4</v>
      </c>
      <c r="T1531" s="1">
        <v>1057.85</v>
      </c>
      <c r="U1531" s="1">
        <v>0.0</v>
      </c>
      <c r="V1531" s="1">
        <v>0.0</v>
      </c>
      <c r="W1531" s="1" t="s">
        <v>26</v>
      </c>
    </row>
    <row r="1532" ht="15.75" customHeight="1">
      <c r="A1532" s="1" t="s">
        <v>1569</v>
      </c>
      <c r="B1532" s="1" t="s">
        <v>32</v>
      </c>
      <c r="C1532" s="1">
        <v>0.0</v>
      </c>
      <c r="D1532" s="1" t="s">
        <v>25</v>
      </c>
      <c r="E1532" s="1" t="s">
        <v>25</v>
      </c>
      <c r="F1532" s="1">
        <v>2.0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1">
        <v>90.0</v>
      </c>
      <c r="T1532" s="1">
        <v>190.05</v>
      </c>
      <c r="U1532" s="1">
        <v>0.0</v>
      </c>
      <c r="V1532" s="1">
        <v>0.0</v>
      </c>
      <c r="W1532" s="1" t="s">
        <v>25</v>
      </c>
    </row>
    <row r="1533" ht="15.75" customHeight="1">
      <c r="A1533" s="1" t="s">
        <v>1570</v>
      </c>
      <c r="B1533" s="1" t="s">
        <v>24</v>
      </c>
      <c r="C1533" s="1">
        <v>0.0</v>
      </c>
      <c r="D1533" s="1" t="s">
        <v>25</v>
      </c>
      <c r="E1533" s="1" t="s">
        <v>25</v>
      </c>
      <c r="F1533" s="1">
        <v>35.0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1">
        <v>25.75</v>
      </c>
      <c r="T1533" s="1">
        <v>882.55</v>
      </c>
      <c r="U1533" s="1">
        <v>0.0</v>
      </c>
      <c r="V1533" s="1">
        <v>0.0</v>
      </c>
      <c r="W1533" s="1" t="s">
        <v>26</v>
      </c>
    </row>
    <row r="1534" ht="15.75" customHeight="1">
      <c r="A1534" s="1" t="s">
        <v>1571</v>
      </c>
      <c r="B1534" s="1" t="s">
        <v>32</v>
      </c>
      <c r="C1534" s="1">
        <v>0.0</v>
      </c>
      <c r="D1534" s="1" t="s">
        <v>26</v>
      </c>
      <c r="E1534" s="1" t="s">
        <v>26</v>
      </c>
      <c r="F1534" s="1">
        <v>14.0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1">
        <v>19.6</v>
      </c>
      <c r="T1534" s="1">
        <v>300.4</v>
      </c>
      <c r="U1534" s="1">
        <v>0.0</v>
      </c>
      <c r="V1534" s="1">
        <v>0.0</v>
      </c>
      <c r="W1534" s="1" t="s">
        <v>26</v>
      </c>
    </row>
    <row r="1535" ht="15.75" customHeight="1">
      <c r="A1535" s="1" t="s">
        <v>1572</v>
      </c>
      <c r="B1535" s="1" t="s">
        <v>24</v>
      </c>
      <c r="C1535" s="1">
        <v>0.0</v>
      </c>
      <c r="D1535" s="1" t="s">
        <v>26</v>
      </c>
      <c r="E1535" s="1" t="s">
        <v>26</v>
      </c>
      <c r="F1535" s="1">
        <v>14.0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1">
        <v>75.35</v>
      </c>
      <c r="T1535" s="1">
        <v>1025.95</v>
      </c>
      <c r="U1535" s="1">
        <v>0.0</v>
      </c>
      <c r="V1535" s="1">
        <v>0.0</v>
      </c>
      <c r="W1535" s="1" t="s">
        <v>25</v>
      </c>
    </row>
    <row r="1536" ht="15.75" customHeight="1">
      <c r="A1536" s="1" t="s">
        <v>1573</v>
      </c>
      <c r="B1536" s="1" t="s">
        <v>24</v>
      </c>
      <c r="C1536" s="1">
        <v>0.0</v>
      </c>
      <c r="D1536" s="1" t="s">
        <v>25</v>
      </c>
      <c r="E1536" s="1" t="s">
        <v>25</v>
      </c>
      <c r="F1536" s="1">
        <v>69.0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1">
        <v>19.8</v>
      </c>
      <c r="T1536" s="1">
        <v>1436.95</v>
      </c>
      <c r="U1536" s="1">
        <v>0.0</v>
      </c>
      <c r="V1536" s="1">
        <v>0.0</v>
      </c>
      <c r="W1536" s="1" t="s">
        <v>26</v>
      </c>
    </row>
    <row r="1537" ht="15.75" customHeight="1">
      <c r="A1537" s="1" t="s">
        <v>1574</v>
      </c>
      <c r="B1537" s="1" t="s">
        <v>32</v>
      </c>
      <c r="C1537" s="1">
        <v>1.0</v>
      </c>
      <c r="D1537" s="1" t="s">
        <v>25</v>
      </c>
      <c r="E1537" s="1" t="s">
        <v>26</v>
      </c>
      <c r="F1537" s="1">
        <v>7.0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1">
        <v>64.2</v>
      </c>
      <c r="T1537" s="1">
        <v>475.0</v>
      </c>
      <c r="U1537" s="1">
        <v>5.0</v>
      </c>
      <c r="V1537" s="1">
        <v>0.0</v>
      </c>
      <c r="W1537" s="1" t="s">
        <v>26</v>
      </c>
    </row>
    <row r="1538" ht="15.75" customHeight="1">
      <c r="A1538" s="1" t="s">
        <v>1575</v>
      </c>
      <c r="B1538" s="1" t="s">
        <v>32</v>
      </c>
      <c r="C1538" s="1">
        <v>0.0</v>
      </c>
      <c r="D1538" s="1" t="s">
        <v>25</v>
      </c>
      <c r="E1538" s="1" t="s">
        <v>25</v>
      </c>
      <c r="F1538" s="1">
        <v>69.0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1">
        <v>75.75</v>
      </c>
      <c r="T1538" s="1">
        <v>5388.15</v>
      </c>
      <c r="U1538" s="1">
        <v>0.0</v>
      </c>
      <c r="V1538" s="1">
        <v>0.0</v>
      </c>
      <c r="W1538" s="1" t="s">
        <v>26</v>
      </c>
    </row>
    <row r="1539" ht="15.75" customHeight="1">
      <c r="A1539" s="1" t="s">
        <v>1576</v>
      </c>
      <c r="B1539" s="1" t="s">
        <v>24</v>
      </c>
      <c r="C1539" s="1">
        <v>0.0</v>
      </c>
      <c r="D1539" s="1" t="s">
        <v>25</v>
      </c>
      <c r="E1539" s="1" t="s">
        <v>25</v>
      </c>
      <c r="F1539" s="1">
        <v>72.0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1">
        <v>78.95</v>
      </c>
      <c r="T1539" s="1">
        <v>5730.15</v>
      </c>
      <c r="U1539" s="1">
        <v>0.0</v>
      </c>
      <c r="V1539" s="1">
        <v>0.0</v>
      </c>
      <c r="W1539" s="1" t="s">
        <v>26</v>
      </c>
    </row>
    <row r="1540" ht="15.75" customHeight="1">
      <c r="A1540" s="1" t="s">
        <v>1577</v>
      </c>
      <c r="B1540" s="1" t="s">
        <v>32</v>
      </c>
      <c r="C1540" s="1">
        <v>0.0</v>
      </c>
      <c r="D1540" s="1" t="s">
        <v>26</v>
      </c>
      <c r="E1540" s="1" t="s">
        <v>26</v>
      </c>
      <c r="F1540" s="1">
        <v>8.0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1">
        <v>100.85</v>
      </c>
      <c r="T1540" s="1">
        <v>819.55</v>
      </c>
      <c r="U1540" s="1">
        <v>0.0</v>
      </c>
      <c r="V1540" s="1">
        <v>0.0</v>
      </c>
      <c r="W1540" s="1" t="s">
        <v>25</v>
      </c>
    </row>
    <row r="1541" ht="15.75" customHeight="1">
      <c r="A1541" s="1" t="s">
        <v>1578</v>
      </c>
      <c r="B1541" s="1" t="s">
        <v>24</v>
      </c>
      <c r="C1541" s="1">
        <v>0.0</v>
      </c>
      <c r="D1541" s="1" t="s">
        <v>25</v>
      </c>
      <c r="E1541" s="1" t="s">
        <v>25</v>
      </c>
      <c r="F1541" s="1">
        <v>4.0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1">
        <v>50.3</v>
      </c>
      <c r="T1541" s="1">
        <v>217.1</v>
      </c>
      <c r="U1541" s="1">
        <v>0.0</v>
      </c>
      <c r="V1541" s="1">
        <v>0.0</v>
      </c>
      <c r="W1541" s="1" t="s">
        <v>26</v>
      </c>
    </row>
    <row r="1542" ht="15.75" customHeight="1">
      <c r="A1542" s="1" t="s">
        <v>1579</v>
      </c>
      <c r="B1542" s="1" t="s">
        <v>32</v>
      </c>
      <c r="C1542" s="1">
        <v>0.0</v>
      </c>
      <c r="D1542" s="1" t="s">
        <v>25</v>
      </c>
      <c r="E1542" s="1" t="s">
        <v>25</v>
      </c>
      <c r="F1542" s="1">
        <v>63.0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1">
        <v>80.3</v>
      </c>
      <c r="T1542" s="1">
        <v>4896.35</v>
      </c>
      <c r="U1542" s="1">
        <v>0.0</v>
      </c>
      <c r="V1542" s="1">
        <v>0.0</v>
      </c>
      <c r="W1542" s="1" t="s">
        <v>26</v>
      </c>
    </row>
    <row r="1543" ht="15.75" customHeight="1">
      <c r="A1543" s="1" t="s">
        <v>1580</v>
      </c>
      <c r="B1543" s="1" t="s">
        <v>32</v>
      </c>
      <c r="C1543" s="1">
        <v>0.0</v>
      </c>
      <c r="D1543" s="1" t="s">
        <v>26</v>
      </c>
      <c r="E1543" s="1" t="s">
        <v>26</v>
      </c>
      <c r="F1543" s="1">
        <v>72.0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1">
        <v>19.85</v>
      </c>
      <c r="T1543" s="1">
        <v>1434.1</v>
      </c>
      <c r="U1543" s="1">
        <v>0.0</v>
      </c>
      <c r="V1543" s="1">
        <v>0.0</v>
      </c>
      <c r="W1543" s="1" t="s">
        <v>26</v>
      </c>
    </row>
    <row r="1544" ht="15.75" customHeight="1">
      <c r="A1544" s="1" t="s">
        <v>1581</v>
      </c>
      <c r="B1544" s="1" t="s">
        <v>24</v>
      </c>
      <c r="C1544" s="1">
        <v>0.0</v>
      </c>
      <c r="D1544" s="1" t="s">
        <v>26</v>
      </c>
      <c r="E1544" s="1" t="s">
        <v>26</v>
      </c>
      <c r="F1544" s="1">
        <v>46.0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1">
        <v>21.1</v>
      </c>
      <c r="T1544" s="1">
        <v>937.1</v>
      </c>
      <c r="U1544" s="1">
        <v>0.0</v>
      </c>
      <c r="V1544" s="1">
        <v>0.0</v>
      </c>
      <c r="W1544" s="1" t="s">
        <v>26</v>
      </c>
    </row>
    <row r="1545" ht="15.75" customHeight="1">
      <c r="A1545" s="1" t="s">
        <v>1582</v>
      </c>
      <c r="B1545" s="1" t="s">
        <v>24</v>
      </c>
      <c r="C1545" s="1">
        <v>0.0</v>
      </c>
      <c r="D1545" s="1" t="s">
        <v>25</v>
      </c>
      <c r="E1545" s="1" t="s">
        <v>26</v>
      </c>
      <c r="F1545" s="1">
        <v>5.0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1">
        <v>69.95</v>
      </c>
      <c r="T1545" s="1">
        <v>330.15</v>
      </c>
      <c r="U1545" s="1">
        <v>0.0</v>
      </c>
      <c r="V1545" s="1">
        <v>0.0</v>
      </c>
      <c r="W1545" s="1" t="s">
        <v>25</v>
      </c>
    </row>
    <row r="1546" ht="15.75" customHeight="1">
      <c r="A1546" s="1" t="s">
        <v>1583</v>
      </c>
      <c r="B1546" s="1" t="s">
        <v>32</v>
      </c>
      <c r="C1546" s="1">
        <v>0.0</v>
      </c>
      <c r="D1546" s="1" t="s">
        <v>25</v>
      </c>
      <c r="E1546" s="1" t="s">
        <v>26</v>
      </c>
      <c r="F1546" s="1">
        <v>30.0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1">
        <v>50.0</v>
      </c>
      <c r="T1546" s="1">
        <v>1474.9</v>
      </c>
      <c r="U1546" s="1">
        <v>0.0</v>
      </c>
      <c r="V1546" s="1">
        <v>0.0</v>
      </c>
      <c r="W1546" s="1" t="s">
        <v>26</v>
      </c>
    </row>
    <row r="1547" ht="15.75" customHeight="1">
      <c r="A1547" s="1" t="s">
        <v>1584</v>
      </c>
      <c r="B1547" s="1" t="s">
        <v>32</v>
      </c>
      <c r="C1547" s="1">
        <v>0.0</v>
      </c>
      <c r="D1547" s="1" t="s">
        <v>26</v>
      </c>
      <c r="E1547" s="1" t="s">
        <v>26</v>
      </c>
      <c r="F1547" s="1">
        <v>63.0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1">
        <v>104.75</v>
      </c>
      <c r="T1547" s="1">
        <v>6536.5</v>
      </c>
      <c r="U1547" s="1">
        <v>0.0</v>
      </c>
      <c r="V1547" s="1">
        <v>0.0</v>
      </c>
      <c r="W1547" s="1" t="s">
        <v>26</v>
      </c>
    </row>
    <row r="1548" ht="15.75" customHeight="1">
      <c r="A1548" s="1" t="s">
        <v>1585</v>
      </c>
      <c r="B1548" s="1" t="s">
        <v>24</v>
      </c>
      <c r="C1548" s="1">
        <v>0.0</v>
      </c>
      <c r="D1548" s="1" t="s">
        <v>26</v>
      </c>
      <c r="E1548" s="1" t="s">
        <v>26</v>
      </c>
      <c r="F1548" s="1">
        <v>60.0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1">
        <v>19.85</v>
      </c>
      <c r="T1548" s="1">
        <v>1128.1</v>
      </c>
      <c r="U1548" s="1">
        <v>4.0</v>
      </c>
      <c r="V1548" s="1">
        <v>0.0</v>
      </c>
      <c r="W1548" s="1" t="s">
        <v>26</v>
      </c>
    </row>
    <row r="1549" ht="15.75" customHeight="1">
      <c r="A1549" s="1" t="s">
        <v>1586</v>
      </c>
      <c r="B1549" s="1" t="s">
        <v>24</v>
      </c>
      <c r="C1549" s="1">
        <v>0.0</v>
      </c>
      <c r="D1549" s="1" t="s">
        <v>25</v>
      </c>
      <c r="E1549" s="1" t="s">
        <v>26</v>
      </c>
      <c r="F1549" s="1">
        <v>63.0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1">
        <v>107.5</v>
      </c>
      <c r="T1549" s="1">
        <v>6873.75</v>
      </c>
      <c r="U1549" s="1">
        <v>3.0</v>
      </c>
      <c r="V1549" s="1">
        <v>6.0</v>
      </c>
      <c r="W1549" s="1" t="s">
        <v>25</v>
      </c>
    </row>
    <row r="1550" ht="15.75" customHeight="1">
      <c r="A1550" s="1" t="s">
        <v>1587</v>
      </c>
      <c r="B1550" s="1" t="s">
        <v>32</v>
      </c>
      <c r="C1550" s="1">
        <v>0.0</v>
      </c>
      <c r="D1550" s="1" t="s">
        <v>25</v>
      </c>
      <c r="E1550" s="1" t="s">
        <v>25</v>
      </c>
      <c r="F1550" s="1">
        <v>25.0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1">
        <v>85.9</v>
      </c>
      <c r="T1550" s="1">
        <v>2199.05</v>
      </c>
      <c r="U1550" s="1">
        <v>0.0</v>
      </c>
      <c r="V1550" s="1">
        <v>0.0</v>
      </c>
      <c r="W1550" s="1" t="s">
        <v>26</v>
      </c>
    </row>
    <row r="1551" ht="15.75" customHeight="1">
      <c r="A1551" s="1" t="s">
        <v>1588</v>
      </c>
      <c r="B1551" s="1" t="s">
        <v>32</v>
      </c>
      <c r="C1551" s="1">
        <v>0.0</v>
      </c>
      <c r="D1551" s="1" t="s">
        <v>26</v>
      </c>
      <c r="E1551" s="1" t="s">
        <v>26</v>
      </c>
      <c r="F1551" s="1">
        <v>1.0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1">
        <v>45.85</v>
      </c>
      <c r="T1551" s="1">
        <v>45.85</v>
      </c>
      <c r="U1551" s="1">
        <v>0.0</v>
      </c>
      <c r="V1551" s="1">
        <v>0.0</v>
      </c>
      <c r="W1551" s="1" t="s">
        <v>25</v>
      </c>
    </row>
    <row r="1552" ht="15.75" customHeight="1">
      <c r="A1552" s="1" t="s">
        <v>1589</v>
      </c>
      <c r="B1552" s="1" t="s">
        <v>32</v>
      </c>
      <c r="C1552" s="1">
        <v>1.0</v>
      </c>
      <c r="D1552" s="1" t="s">
        <v>25</v>
      </c>
      <c r="E1552" s="1" t="s">
        <v>26</v>
      </c>
      <c r="F1552" s="1">
        <v>6.0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1">
        <v>80.8</v>
      </c>
      <c r="T1552" s="1">
        <v>457.1</v>
      </c>
      <c r="U1552" s="1">
        <v>0.0</v>
      </c>
      <c r="V1552" s="1">
        <v>0.0</v>
      </c>
      <c r="W1552" s="1" t="s">
        <v>26</v>
      </c>
    </row>
    <row r="1553" ht="15.75" customHeight="1">
      <c r="A1553" s="1" t="s">
        <v>1590</v>
      </c>
      <c r="B1553" s="1" t="s">
        <v>32</v>
      </c>
      <c r="C1553" s="1">
        <v>0.0</v>
      </c>
      <c r="D1553" s="1" t="s">
        <v>26</v>
      </c>
      <c r="E1553" s="1" t="s">
        <v>26</v>
      </c>
      <c r="F1553" s="1">
        <v>22.0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1">
        <v>25.25</v>
      </c>
      <c r="T1553" s="1">
        <v>566.5</v>
      </c>
      <c r="U1553" s="1">
        <v>0.0</v>
      </c>
      <c r="V1553" s="1">
        <v>0.0</v>
      </c>
      <c r="W1553" s="1" t="s">
        <v>26</v>
      </c>
    </row>
    <row r="1554" ht="15.75" customHeight="1">
      <c r="A1554" s="1" t="s">
        <v>1591</v>
      </c>
      <c r="B1554" s="1" t="s">
        <v>24</v>
      </c>
      <c r="C1554" s="1">
        <v>0.0</v>
      </c>
      <c r="D1554" s="1" t="s">
        <v>25</v>
      </c>
      <c r="E1554" s="1" t="s">
        <v>25</v>
      </c>
      <c r="F1554" s="1">
        <v>31.0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1">
        <v>80.55</v>
      </c>
      <c r="T1554" s="1">
        <v>2471.6</v>
      </c>
      <c r="U1554" s="1">
        <v>0.0</v>
      </c>
      <c r="V1554" s="1">
        <v>0.0</v>
      </c>
      <c r="W1554" s="1" t="s">
        <v>26</v>
      </c>
    </row>
    <row r="1555" ht="15.75" customHeight="1">
      <c r="A1555" s="1" t="s">
        <v>1592</v>
      </c>
      <c r="B1555" s="1" t="s">
        <v>24</v>
      </c>
      <c r="C1555" s="1">
        <v>0.0</v>
      </c>
      <c r="D1555" s="1" t="s">
        <v>25</v>
      </c>
      <c r="E1555" s="1" t="s">
        <v>25</v>
      </c>
      <c r="F1555" s="1">
        <v>39.0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1">
        <v>81.5</v>
      </c>
      <c r="T1555" s="1">
        <v>3107.3</v>
      </c>
      <c r="U1555" s="1">
        <v>0.0</v>
      </c>
      <c r="V1555" s="1">
        <v>0.0</v>
      </c>
      <c r="W1555" s="1" t="s">
        <v>26</v>
      </c>
    </row>
    <row r="1556" ht="15.75" customHeight="1">
      <c r="A1556" s="1" t="s">
        <v>1593</v>
      </c>
      <c r="B1556" s="1" t="s">
        <v>32</v>
      </c>
      <c r="C1556" s="1">
        <v>0.0</v>
      </c>
      <c r="D1556" s="1" t="s">
        <v>26</v>
      </c>
      <c r="E1556" s="1" t="s">
        <v>26</v>
      </c>
      <c r="F1556" s="1">
        <v>26.0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1">
        <v>20.9</v>
      </c>
      <c r="T1556" s="1">
        <v>518.3</v>
      </c>
      <c r="U1556" s="1">
        <v>0.0</v>
      </c>
      <c r="V1556" s="1">
        <v>0.0</v>
      </c>
      <c r="W1556" s="1" t="s">
        <v>26</v>
      </c>
    </row>
    <row r="1557" ht="15.75" customHeight="1">
      <c r="A1557" s="1" t="s">
        <v>1594</v>
      </c>
      <c r="B1557" s="1" t="s">
        <v>24</v>
      </c>
      <c r="C1557" s="1">
        <v>0.0</v>
      </c>
      <c r="D1557" s="1" t="s">
        <v>25</v>
      </c>
      <c r="E1557" s="1" t="s">
        <v>26</v>
      </c>
      <c r="F1557" s="1">
        <v>53.0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1">
        <v>106.1</v>
      </c>
      <c r="T1557" s="1">
        <v>5769.75</v>
      </c>
      <c r="U1557" s="1">
        <v>0.0</v>
      </c>
      <c r="V1557" s="1">
        <v>5.0</v>
      </c>
      <c r="W1557" s="1" t="s">
        <v>25</v>
      </c>
    </row>
    <row r="1558" ht="15.75" customHeight="1">
      <c r="A1558" s="1" t="s">
        <v>1595</v>
      </c>
      <c r="B1558" s="1" t="s">
        <v>24</v>
      </c>
      <c r="C1558" s="1">
        <v>0.0</v>
      </c>
      <c r="D1558" s="1" t="s">
        <v>26</v>
      </c>
      <c r="E1558" s="1" t="s">
        <v>26</v>
      </c>
      <c r="F1558" s="1">
        <v>1.0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1">
        <v>91.7</v>
      </c>
      <c r="T1558" s="1">
        <v>91.7</v>
      </c>
      <c r="U1558" s="1">
        <v>0.0</v>
      </c>
      <c r="V1558" s="1">
        <v>0.0</v>
      </c>
      <c r="W1558" s="1" t="s">
        <v>25</v>
      </c>
    </row>
    <row r="1559" ht="15.75" customHeight="1">
      <c r="A1559" s="1" t="s">
        <v>1596</v>
      </c>
      <c r="B1559" s="1" t="s">
        <v>32</v>
      </c>
      <c r="C1559" s="1">
        <v>0.0</v>
      </c>
      <c r="D1559" s="1" t="s">
        <v>26</v>
      </c>
      <c r="E1559" s="1" t="s">
        <v>26</v>
      </c>
      <c r="F1559" s="1">
        <v>12.0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1">
        <v>67.25</v>
      </c>
      <c r="T1559" s="1">
        <v>832.3</v>
      </c>
      <c r="U1559" s="1">
        <v>0.0</v>
      </c>
      <c r="V1559" s="1">
        <v>0.0</v>
      </c>
      <c r="W1559" s="1" t="s">
        <v>26</v>
      </c>
    </row>
    <row r="1560" ht="15.75" customHeight="1">
      <c r="A1560" s="1" t="s">
        <v>1597</v>
      </c>
      <c r="B1560" s="1" t="s">
        <v>24</v>
      </c>
      <c r="C1560" s="1">
        <v>0.0</v>
      </c>
      <c r="D1560" s="1" t="s">
        <v>26</v>
      </c>
      <c r="E1560" s="1" t="s">
        <v>26</v>
      </c>
      <c r="F1560" s="1">
        <v>16.0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1">
        <v>95.6</v>
      </c>
      <c r="T1560" s="1">
        <v>1555.65</v>
      </c>
      <c r="U1560" s="1">
        <v>2.0</v>
      </c>
      <c r="V1560" s="1">
        <v>1.0</v>
      </c>
      <c r="W1560" s="1" t="s">
        <v>25</v>
      </c>
    </row>
    <row r="1561" ht="15.75" customHeight="1">
      <c r="A1561" s="1" t="s">
        <v>1598</v>
      </c>
      <c r="B1561" s="1" t="s">
        <v>24</v>
      </c>
      <c r="C1561" s="1">
        <v>0.0</v>
      </c>
      <c r="D1561" s="1" t="s">
        <v>26</v>
      </c>
      <c r="E1561" s="1" t="s">
        <v>26</v>
      </c>
      <c r="F1561" s="1">
        <v>2.0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1">
        <v>20.35</v>
      </c>
      <c r="T1561" s="1">
        <v>45.3</v>
      </c>
      <c r="U1561" s="1">
        <v>0.0</v>
      </c>
      <c r="V1561" s="1">
        <v>0.0</v>
      </c>
      <c r="W1561" s="1" t="s">
        <v>26</v>
      </c>
    </row>
    <row r="1562" ht="15.75" customHeight="1">
      <c r="A1562" s="1" t="s">
        <v>1599</v>
      </c>
      <c r="B1562" s="1" t="s">
        <v>32</v>
      </c>
      <c r="C1562" s="1">
        <v>0.0</v>
      </c>
      <c r="D1562" s="1" t="s">
        <v>26</v>
      </c>
      <c r="E1562" s="1" t="s">
        <v>25</v>
      </c>
      <c r="F1562" s="1">
        <v>39.0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1">
        <v>45.05</v>
      </c>
      <c r="T1562" s="1">
        <v>1790.6</v>
      </c>
      <c r="U1562" s="1">
        <v>0.0</v>
      </c>
      <c r="V1562" s="1">
        <v>0.0</v>
      </c>
      <c r="W1562" s="1" t="s">
        <v>26</v>
      </c>
    </row>
    <row r="1563" ht="15.75" customHeight="1">
      <c r="A1563" s="1" t="s">
        <v>1600</v>
      </c>
      <c r="B1563" s="1" t="s">
        <v>32</v>
      </c>
      <c r="C1563" s="1">
        <v>0.0</v>
      </c>
      <c r="D1563" s="1" t="s">
        <v>26</v>
      </c>
      <c r="E1563" s="1" t="s">
        <v>26</v>
      </c>
      <c r="F1563" s="1">
        <v>1.0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1">
        <v>74.95</v>
      </c>
      <c r="T1563" s="1">
        <v>74.95</v>
      </c>
      <c r="U1563" s="1">
        <v>0.0</v>
      </c>
      <c r="V1563" s="1">
        <v>0.0</v>
      </c>
      <c r="W1563" s="1" t="s">
        <v>25</v>
      </c>
    </row>
    <row r="1564" ht="15.75" customHeight="1">
      <c r="A1564" s="1" t="s">
        <v>1601</v>
      </c>
      <c r="B1564" s="1" t="s">
        <v>24</v>
      </c>
      <c r="C1564" s="1">
        <v>0.0</v>
      </c>
      <c r="D1564" s="1" t="s">
        <v>25</v>
      </c>
      <c r="E1564" s="1" t="s">
        <v>25</v>
      </c>
      <c r="F1564" s="1">
        <v>7.0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1">
        <v>34.65</v>
      </c>
      <c r="T1564" s="1">
        <v>246.6</v>
      </c>
      <c r="U1564" s="1">
        <v>0.0</v>
      </c>
      <c r="V1564" s="1">
        <v>0.0</v>
      </c>
      <c r="W1564" s="1" t="s">
        <v>26</v>
      </c>
    </row>
    <row r="1565" ht="15.75" customHeight="1">
      <c r="A1565" s="1" t="s">
        <v>1602</v>
      </c>
      <c r="B1565" s="1" t="s">
        <v>32</v>
      </c>
      <c r="C1565" s="1">
        <v>1.0</v>
      </c>
      <c r="D1565" s="1" t="s">
        <v>26</v>
      </c>
      <c r="E1565" s="1" t="s">
        <v>26</v>
      </c>
      <c r="F1565" s="1">
        <v>4.0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1">
        <v>69.35</v>
      </c>
      <c r="T1565" s="1">
        <v>261.65</v>
      </c>
      <c r="U1565" s="1">
        <v>0.0</v>
      </c>
      <c r="V1565" s="1">
        <v>0.0</v>
      </c>
      <c r="W1565" s="1" t="s">
        <v>26</v>
      </c>
    </row>
    <row r="1566" ht="15.75" customHeight="1">
      <c r="A1566" s="1" t="s">
        <v>1603</v>
      </c>
      <c r="B1566" s="1" t="s">
        <v>32</v>
      </c>
      <c r="C1566" s="1">
        <v>1.0</v>
      </c>
      <c r="D1566" s="1" t="s">
        <v>26</v>
      </c>
      <c r="E1566" s="1" t="s">
        <v>26</v>
      </c>
      <c r="F1566" s="1">
        <v>10.0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1">
        <v>95.35</v>
      </c>
      <c r="T1566" s="1">
        <v>898.35</v>
      </c>
      <c r="U1566" s="1">
        <v>0.0</v>
      </c>
      <c r="V1566" s="1">
        <v>1.0</v>
      </c>
      <c r="W1566" s="1" t="s">
        <v>25</v>
      </c>
    </row>
    <row r="1567" ht="15.75" customHeight="1">
      <c r="A1567" s="1" t="s">
        <v>1604</v>
      </c>
      <c r="B1567" s="1" t="s">
        <v>24</v>
      </c>
      <c r="C1567" s="1">
        <v>0.0</v>
      </c>
      <c r="D1567" s="1" t="s">
        <v>26</v>
      </c>
      <c r="E1567" s="1" t="s">
        <v>26</v>
      </c>
      <c r="F1567" s="1">
        <v>55.0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1">
        <v>81.55</v>
      </c>
      <c r="T1567" s="1">
        <v>4509.5</v>
      </c>
      <c r="U1567" s="1">
        <v>0.0</v>
      </c>
      <c r="V1567" s="1">
        <v>0.0</v>
      </c>
      <c r="W1567" s="1" t="s">
        <v>26</v>
      </c>
    </row>
    <row r="1568" ht="15.75" customHeight="1">
      <c r="A1568" s="1" t="s">
        <v>1605</v>
      </c>
      <c r="B1568" s="1" t="s">
        <v>32</v>
      </c>
      <c r="C1568" s="1">
        <v>0.0</v>
      </c>
      <c r="D1568" s="1" t="s">
        <v>25</v>
      </c>
      <c r="E1568" s="1" t="s">
        <v>25</v>
      </c>
      <c r="F1568" s="1">
        <v>72.0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1">
        <v>75.4</v>
      </c>
      <c r="T1568" s="1">
        <v>5480.25</v>
      </c>
      <c r="U1568" s="1">
        <v>0.0</v>
      </c>
      <c r="V1568" s="1">
        <v>0.0</v>
      </c>
      <c r="W1568" s="1" t="s">
        <v>26</v>
      </c>
    </row>
    <row r="1569" ht="15.75" customHeight="1">
      <c r="A1569" s="1" t="s">
        <v>1606</v>
      </c>
      <c r="B1569" s="1" t="s">
        <v>24</v>
      </c>
      <c r="C1569" s="1">
        <v>0.0</v>
      </c>
      <c r="D1569" s="1" t="s">
        <v>25</v>
      </c>
      <c r="E1569" s="1" t="s">
        <v>26</v>
      </c>
      <c r="F1569" s="1">
        <v>10.0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1">
        <v>67.8</v>
      </c>
      <c r="T1569" s="1">
        <v>653.15</v>
      </c>
      <c r="U1569" s="1">
        <v>0.0</v>
      </c>
      <c r="V1569" s="1">
        <v>0.0</v>
      </c>
      <c r="W1569" s="1" t="s">
        <v>26</v>
      </c>
    </row>
    <row r="1570" ht="15.75" customHeight="1">
      <c r="A1570" s="1" t="s">
        <v>1607</v>
      </c>
      <c r="B1570" s="1" t="s">
        <v>32</v>
      </c>
      <c r="C1570" s="1">
        <v>1.0</v>
      </c>
      <c r="D1570" s="1" t="s">
        <v>26</v>
      </c>
      <c r="E1570" s="1" t="s">
        <v>26</v>
      </c>
      <c r="F1570" s="1">
        <v>11.0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1">
        <v>111.4</v>
      </c>
      <c r="T1570" s="1">
        <v>1183.05</v>
      </c>
      <c r="U1570" s="1">
        <v>0.0</v>
      </c>
      <c r="V1570" s="1">
        <v>0.0</v>
      </c>
      <c r="W1570" s="1" t="s">
        <v>26</v>
      </c>
    </row>
    <row r="1571" ht="15.75" customHeight="1">
      <c r="A1571" s="1" t="s">
        <v>1608</v>
      </c>
      <c r="B1571" s="1" t="s">
        <v>24</v>
      </c>
      <c r="C1571" s="1">
        <v>0.0</v>
      </c>
      <c r="D1571" s="1" t="s">
        <v>25</v>
      </c>
      <c r="E1571" s="1" t="s">
        <v>25</v>
      </c>
      <c r="F1571" s="1">
        <v>15.0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1">
        <v>46.3</v>
      </c>
      <c r="T1571" s="1">
        <v>639.45</v>
      </c>
      <c r="U1571" s="1">
        <v>0.0</v>
      </c>
      <c r="V1571" s="1">
        <v>0.0</v>
      </c>
      <c r="W1571" s="1" t="s">
        <v>26</v>
      </c>
    </row>
    <row r="1572" ht="15.75" customHeight="1">
      <c r="A1572" s="1" t="s">
        <v>1609</v>
      </c>
      <c r="B1572" s="1" t="s">
        <v>24</v>
      </c>
      <c r="C1572" s="1">
        <v>0.0</v>
      </c>
      <c r="D1572" s="1" t="s">
        <v>25</v>
      </c>
      <c r="E1572" s="1" t="s">
        <v>25</v>
      </c>
      <c r="F1572" s="1">
        <v>23.0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1">
        <v>20.4</v>
      </c>
      <c r="T1572" s="1">
        <v>478.75</v>
      </c>
      <c r="U1572" s="1">
        <v>0.0</v>
      </c>
      <c r="V1572" s="1">
        <v>0.0</v>
      </c>
      <c r="W1572" s="1" t="s">
        <v>26</v>
      </c>
    </row>
    <row r="1573" ht="15.75" customHeight="1">
      <c r="A1573" s="1" t="s">
        <v>1610</v>
      </c>
      <c r="B1573" s="1" t="s">
        <v>32</v>
      </c>
      <c r="C1573" s="1">
        <v>0.0</v>
      </c>
      <c r="D1573" s="1" t="s">
        <v>26</v>
      </c>
      <c r="E1573" s="1" t="s">
        <v>25</v>
      </c>
      <c r="F1573" s="1">
        <v>1.0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1">
        <v>20.05</v>
      </c>
      <c r="T1573" s="1">
        <v>20.05</v>
      </c>
      <c r="U1573" s="1">
        <v>0.0</v>
      </c>
      <c r="V1573" s="1">
        <v>0.0</v>
      </c>
      <c r="W1573" s="1" t="s">
        <v>26</v>
      </c>
    </row>
    <row r="1574" ht="15.75" customHeight="1">
      <c r="A1574" s="1" t="s">
        <v>1611</v>
      </c>
      <c r="B1574" s="1" t="s">
        <v>24</v>
      </c>
      <c r="C1574" s="1">
        <v>1.0</v>
      </c>
      <c r="D1574" s="1" t="s">
        <v>26</v>
      </c>
      <c r="E1574" s="1" t="s">
        <v>26</v>
      </c>
      <c r="F1574" s="1">
        <v>3.0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1">
        <v>45.0</v>
      </c>
      <c r="T1574" s="1">
        <v>127.1</v>
      </c>
      <c r="U1574" s="1">
        <v>0.0</v>
      </c>
      <c r="V1574" s="1">
        <v>0.0</v>
      </c>
      <c r="W1574" s="1" t="s">
        <v>25</v>
      </c>
    </row>
    <row r="1575" ht="15.75" customHeight="1">
      <c r="A1575" s="1" t="s">
        <v>1612</v>
      </c>
      <c r="B1575" s="1" t="s">
        <v>32</v>
      </c>
      <c r="C1575" s="1">
        <v>0.0</v>
      </c>
      <c r="D1575" s="1" t="s">
        <v>25</v>
      </c>
      <c r="E1575" s="1" t="s">
        <v>25</v>
      </c>
      <c r="F1575" s="1">
        <v>47.0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1">
        <v>96.1</v>
      </c>
      <c r="T1575" s="1">
        <v>4391.45</v>
      </c>
      <c r="U1575" s="1">
        <v>0.0</v>
      </c>
      <c r="V1575" s="1">
        <v>0.0</v>
      </c>
      <c r="W1575" s="1" t="s">
        <v>26</v>
      </c>
    </row>
    <row r="1576" ht="15.75" customHeight="1">
      <c r="A1576" s="1" t="s">
        <v>1613</v>
      </c>
      <c r="B1576" s="1" t="s">
        <v>24</v>
      </c>
      <c r="C1576" s="1">
        <v>0.0</v>
      </c>
      <c r="D1576" s="1" t="s">
        <v>26</v>
      </c>
      <c r="E1576" s="1" t="s">
        <v>25</v>
      </c>
      <c r="F1576" s="1">
        <v>15.0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1">
        <v>19.65</v>
      </c>
      <c r="T1576" s="1">
        <v>270.6</v>
      </c>
      <c r="U1576" s="1">
        <v>5.0</v>
      </c>
      <c r="V1576" s="1">
        <v>0.0</v>
      </c>
      <c r="W1576" s="1" t="s">
        <v>26</v>
      </c>
    </row>
    <row r="1577" ht="15.75" customHeight="1">
      <c r="A1577" s="1" t="s">
        <v>1614</v>
      </c>
      <c r="B1577" s="1" t="s">
        <v>32</v>
      </c>
      <c r="C1577" s="1">
        <v>0.0</v>
      </c>
      <c r="D1577" s="1" t="s">
        <v>26</v>
      </c>
      <c r="E1577" s="1" t="s">
        <v>26</v>
      </c>
      <c r="F1577" s="1">
        <v>66.0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1">
        <v>99.5</v>
      </c>
      <c r="T1577" s="1">
        <v>6710.5</v>
      </c>
      <c r="U1577" s="1">
        <v>0.0</v>
      </c>
      <c r="V1577" s="1">
        <v>8.0</v>
      </c>
      <c r="W1577" s="1" t="s">
        <v>25</v>
      </c>
    </row>
    <row r="1578" ht="15.75" customHeight="1">
      <c r="A1578" s="1" t="s">
        <v>1615</v>
      </c>
      <c r="B1578" s="1" t="s">
        <v>24</v>
      </c>
      <c r="C1578" s="1">
        <v>1.0</v>
      </c>
      <c r="D1578" s="1" t="s">
        <v>25</v>
      </c>
      <c r="E1578" s="1" t="s">
        <v>26</v>
      </c>
      <c r="F1578" s="1">
        <v>68.0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1">
        <v>60.65</v>
      </c>
      <c r="T1578" s="1">
        <v>3975.9</v>
      </c>
      <c r="U1578" s="1">
        <v>0.0</v>
      </c>
      <c r="V1578" s="1">
        <v>0.0</v>
      </c>
      <c r="W1578" s="1" t="s">
        <v>26</v>
      </c>
    </row>
    <row r="1579" ht="15.75" customHeight="1">
      <c r="A1579" s="1" t="s">
        <v>1616</v>
      </c>
      <c r="B1579" s="1" t="s">
        <v>24</v>
      </c>
      <c r="C1579" s="1">
        <v>0.0</v>
      </c>
      <c r="D1579" s="1" t="s">
        <v>25</v>
      </c>
      <c r="E1579" s="1" t="s">
        <v>25</v>
      </c>
      <c r="F1579" s="1">
        <v>17.0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1">
        <v>98.6</v>
      </c>
      <c r="T1579" s="1">
        <v>1704.95</v>
      </c>
      <c r="U1579" s="1">
        <v>3.0</v>
      </c>
      <c r="V1579" s="1">
        <v>1.0</v>
      </c>
      <c r="W1579" s="1" t="s">
        <v>25</v>
      </c>
    </row>
    <row r="1580" ht="15.75" customHeight="1">
      <c r="A1580" s="1" t="s">
        <v>1617</v>
      </c>
      <c r="B1580" s="1" t="s">
        <v>24</v>
      </c>
      <c r="C1580" s="1">
        <v>0.0</v>
      </c>
      <c r="D1580" s="1" t="s">
        <v>26</v>
      </c>
      <c r="E1580" s="1" t="s">
        <v>26</v>
      </c>
      <c r="F1580" s="1">
        <v>7.0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1">
        <v>59.5</v>
      </c>
      <c r="T1580" s="1">
        <v>415.95</v>
      </c>
      <c r="U1580" s="1">
        <v>0.0</v>
      </c>
      <c r="V1580" s="1">
        <v>0.0</v>
      </c>
      <c r="W1580" s="1" t="s">
        <v>25</v>
      </c>
    </row>
    <row r="1581" ht="15.75" customHeight="1">
      <c r="A1581" s="1" t="s">
        <v>1618</v>
      </c>
      <c r="B1581" s="1" t="s">
        <v>32</v>
      </c>
      <c r="C1581" s="1">
        <v>1.0</v>
      </c>
      <c r="D1581" s="1" t="s">
        <v>25</v>
      </c>
      <c r="E1581" s="1" t="s">
        <v>26</v>
      </c>
      <c r="F1581" s="1">
        <v>12.0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1">
        <v>80.45</v>
      </c>
      <c r="T1581" s="1">
        <v>950.2</v>
      </c>
      <c r="U1581" s="1">
        <v>0.0</v>
      </c>
      <c r="V1581" s="1">
        <v>0.0</v>
      </c>
      <c r="W1581" s="1" t="s">
        <v>25</v>
      </c>
    </row>
    <row r="1582" ht="15.75" customHeight="1">
      <c r="A1582" s="1" t="s">
        <v>1619</v>
      </c>
      <c r="B1582" s="1" t="s">
        <v>24</v>
      </c>
      <c r="C1582" s="1">
        <v>1.0</v>
      </c>
      <c r="D1582" s="1" t="s">
        <v>25</v>
      </c>
      <c r="E1582" s="1" t="s">
        <v>26</v>
      </c>
      <c r="F1582" s="1">
        <v>21.0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1">
        <v>71.7</v>
      </c>
      <c r="T1582" s="1">
        <v>1497.05</v>
      </c>
      <c r="U1582" s="1">
        <v>0.0</v>
      </c>
      <c r="V1582" s="1">
        <v>0.0</v>
      </c>
      <c r="W1582" s="1" t="s">
        <v>26</v>
      </c>
    </row>
    <row r="1583" ht="15.75" customHeight="1">
      <c r="A1583" s="1" t="s">
        <v>1620</v>
      </c>
      <c r="B1583" s="1" t="s">
        <v>32</v>
      </c>
      <c r="C1583" s="1">
        <v>0.0</v>
      </c>
      <c r="D1583" s="1" t="s">
        <v>26</v>
      </c>
      <c r="E1583" s="1" t="s">
        <v>26</v>
      </c>
      <c r="F1583" s="1">
        <v>21.0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1">
        <v>36.0</v>
      </c>
      <c r="T1583" s="1">
        <v>780.15</v>
      </c>
      <c r="U1583" s="1">
        <v>0.0</v>
      </c>
      <c r="V1583" s="1">
        <v>0.0</v>
      </c>
      <c r="W1583" s="1" t="s">
        <v>26</v>
      </c>
    </row>
    <row r="1584" ht="15.75" customHeight="1">
      <c r="A1584" s="1" t="s">
        <v>1621</v>
      </c>
      <c r="B1584" s="1" t="s">
        <v>24</v>
      </c>
      <c r="C1584" s="1">
        <v>0.0</v>
      </c>
      <c r="D1584" s="1" t="s">
        <v>25</v>
      </c>
      <c r="E1584" s="1" t="s">
        <v>25</v>
      </c>
      <c r="F1584" s="1">
        <v>56.0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1">
        <v>65.2</v>
      </c>
      <c r="T1584" s="1">
        <v>3512.15</v>
      </c>
      <c r="U1584" s="1">
        <v>0.0</v>
      </c>
      <c r="V1584" s="1">
        <v>2.0</v>
      </c>
      <c r="W1584" s="1" t="s">
        <v>26</v>
      </c>
    </row>
    <row r="1585" ht="15.75" customHeight="1">
      <c r="A1585" s="1" t="s">
        <v>1622</v>
      </c>
      <c r="B1585" s="1" t="s">
        <v>24</v>
      </c>
      <c r="C1585" s="1">
        <v>0.0</v>
      </c>
      <c r="D1585" s="1" t="s">
        <v>25</v>
      </c>
      <c r="E1585" s="1" t="s">
        <v>25</v>
      </c>
      <c r="F1585" s="1">
        <v>6.0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1">
        <v>48.95</v>
      </c>
      <c r="T1585" s="1">
        <v>273.25</v>
      </c>
      <c r="U1585" s="1">
        <v>0.0</v>
      </c>
      <c r="V1585" s="1">
        <v>0.0</v>
      </c>
      <c r="W1585" s="1" t="s">
        <v>26</v>
      </c>
    </row>
    <row r="1586" ht="15.75" customHeight="1">
      <c r="A1586" s="1" t="s">
        <v>1623</v>
      </c>
      <c r="B1586" s="1" t="s">
        <v>24</v>
      </c>
      <c r="C1586" s="1">
        <v>1.0</v>
      </c>
      <c r="D1586" s="1" t="s">
        <v>26</v>
      </c>
      <c r="E1586" s="1" t="s">
        <v>26</v>
      </c>
      <c r="F1586" s="1">
        <v>65.0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1">
        <v>53.5</v>
      </c>
      <c r="T1586" s="1">
        <v>3517.9</v>
      </c>
      <c r="U1586" s="1">
        <v>0.0</v>
      </c>
      <c r="V1586" s="1">
        <v>0.0</v>
      </c>
      <c r="W1586" s="1" t="s">
        <v>26</v>
      </c>
    </row>
    <row r="1587" ht="15.75" customHeight="1">
      <c r="A1587" s="1" t="s">
        <v>1624</v>
      </c>
      <c r="B1587" s="1" t="s">
        <v>32</v>
      </c>
      <c r="C1587" s="1">
        <v>0.0</v>
      </c>
      <c r="D1587" s="1" t="s">
        <v>25</v>
      </c>
      <c r="E1587" s="1" t="s">
        <v>26</v>
      </c>
      <c r="F1587" s="1">
        <v>42.0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1">
        <v>80.45</v>
      </c>
      <c r="T1587" s="1">
        <v>3375.9</v>
      </c>
      <c r="U1587" s="1">
        <v>0.0</v>
      </c>
      <c r="V1587" s="1">
        <v>0.0</v>
      </c>
      <c r="W1587" s="1" t="s">
        <v>26</v>
      </c>
    </row>
    <row r="1588" ht="15.75" customHeight="1">
      <c r="A1588" s="1" t="s">
        <v>1625</v>
      </c>
      <c r="B1588" s="1" t="s">
        <v>24</v>
      </c>
      <c r="C1588" s="1">
        <v>0.0</v>
      </c>
      <c r="D1588" s="1" t="s">
        <v>25</v>
      </c>
      <c r="E1588" s="1" t="s">
        <v>25</v>
      </c>
      <c r="F1588" s="1">
        <v>68.0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1">
        <v>109.05</v>
      </c>
      <c r="T1588" s="1">
        <v>7508.55</v>
      </c>
      <c r="U1588" s="1">
        <v>0.0</v>
      </c>
      <c r="V1588" s="1">
        <v>0.0</v>
      </c>
      <c r="W1588" s="1" t="s">
        <v>26</v>
      </c>
    </row>
    <row r="1589" ht="15.75" customHeight="1">
      <c r="A1589" s="1" t="s">
        <v>1626</v>
      </c>
      <c r="B1589" s="1" t="s">
        <v>32</v>
      </c>
      <c r="C1589" s="1">
        <v>0.0</v>
      </c>
      <c r="D1589" s="1" t="s">
        <v>25</v>
      </c>
      <c r="E1589" s="1" t="s">
        <v>25</v>
      </c>
      <c r="F1589" s="1">
        <v>48.0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1">
        <v>26.3</v>
      </c>
      <c r="T1589" s="1">
        <v>1245.05</v>
      </c>
      <c r="U1589" s="1">
        <v>0.0</v>
      </c>
      <c r="V1589" s="1">
        <v>0.0</v>
      </c>
      <c r="W1589" s="1" t="s">
        <v>26</v>
      </c>
    </row>
    <row r="1590" ht="15.75" customHeight="1">
      <c r="A1590" s="1" t="s">
        <v>1627</v>
      </c>
      <c r="B1590" s="1" t="s">
        <v>24</v>
      </c>
      <c r="C1590" s="1">
        <v>1.0</v>
      </c>
      <c r="D1590" s="1" t="s">
        <v>26</v>
      </c>
      <c r="E1590" s="1" t="s">
        <v>26</v>
      </c>
      <c r="F1590" s="1">
        <v>50.0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1">
        <v>106.8</v>
      </c>
      <c r="T1590" s="1">
        <v>5347.95</v>
      </c>
      <c r="U1590" s="1">
        <v>0.0</v>
      </c>
      <c r="V1590" s="1">
        <v>0.0</v>
      </c>
      <c r="W1590" s="1" t="s">
        <v>26</v>
      </c>
    </row>
    <row r="1591" ht="15.75" customHeight="1">
      <c r="A1591" s="1" t="s">
        <v>1628</v>
      </c>
      <c r="B1591" s="1" t="s">
        <v>24</v>
      </c>
      <c r="C1591" s="1">
        <v>1.0</v>
      </c>
      <c r="D1591" s="1" t="s">
        <v>26</v>
      </c>
      <c r="E1591" s="1" t="s">
        <v>26</v>
      </c>
      <c r="F1591" s="1">
        <v>7.0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1">
        <v>64.95</v>
      </c>
      <c r="T1591" s="1">
        <v>493.65</v>
      </c>
      <c r="U1591" s="1">
        <v>0.0</v>
      </c>
      <c r="V1591" s="1">
        <v>0.0</v>
      </c>
      <c r="W1591" s="1" t="s">
        <v>26</v>
      </c>
    </row>
    <row r="1592" ht="15.75" customHeight="1">
      <c r="A1592" s="1" t="s">
        <v>1629</v>
      </c>
      <c r="B1592" s="1" t="s">
        <v>24</v>
      </c>
      <c r="C1592" s="1">
        <v>0.0</v>
      </c>
      <c r="D1592" s="1" t="s">
        <v>25</v>
      </c>
      <c r="E1592" s="1" t="s">
        <v>25</v>
      </c>
      <c r="F1592" s="1">
        <v>63.0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1">
        <v>19.35</v>
      </c>
      <c r="T1592" s="1">
        <v>1263.85</v>
      </c>
      <c r="U1592" s="1">
        <v>1.0</v>
      </c>
      <c r="V1592" s="1">
        <v>0.0</v>
      </c>
      <c r="W1592" s="1" t="s">
        <v>26</v>
      </c>
    </row>
    <row r="1593" ht="15.75" customHeight="1">
      <c r="A1593" s="1" t="s">
        <v>1630</v>
      </c>
      <c r="B1593" s="1" t="s">
        <v>32</v>
      </c>
      <c r="C1593" s="1">
        <v>0.0</v>
      </c>
      <c r="D1593" s="1" t="s">
        <v>26</v>
      </c>
      <c r="E1593" s="1" t="s">
        <v>26</v>
      </c>
      <c r="F1593" s="1">
        <v>17.0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1">
        <v>21.1</v>
      </c>
      <c r="T1593" s="1">
        <v>385.55</v>
      </c>
      <c r="U1593" s="1">
        <v>0.0</v>
      </c>
      <c r="V1593" s="1">
        <v>0.0</v>
      </c>
      <c r="W1593" s="1" t="s">
        <v>26</v>
      </c>
    </row>
    <row r="1594" ht="15.75" customHeight="1">
      <c r="A1594" s="1" t="s">
        <v>1631</v>
      </c>
      <c r="B1594" s="1" t="s">
        <v>24</v>
      </c>
      <c r="C1594" s="1">
        <v>0.0</v>
      </c>
      <c r="D1594" s="1" t="s">
        <v>25</v>
      </c>
      <c r="E1594" s="1" t="s">
        <v>25</v>
      </c>
      <c r="F1594" s="1">
        <v>42.0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1">
        <v>77.95</v>
      </c>
      <c r="T1594" s="1">
        <v>3384.0</v>
      </c>
      <c r="U1594" s="1">
        <v>4.0</v>
      </c>
      <c r="V1594" s="1">
        <v>0.0</v>
      </c>
      <c r="W1594" s="1" t="s">
        <v>25</v>
      </c>
    </row>
    <row r="1595" ht="15.75" customHeight="1">
      <c r="A1595" s="1" t="s">
        <v>1632</v>
      </c>
      <c r="B1595" s="1" t="s">
        <v>32</v>
      </c>
      <c r="C1595" s="1">
        <v>0.0</v>
      </c>
      <c r="D1595" s="1" t="s">
        <v>25</v>
      </c>
      <c r="E1595" s="1" t="s">
        <v>25</v>
      </c>
      <c r="F1595" s="1">
        <v>4.0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1">
        <v>18.85</v>
      </c>
      <c r="T1595" s="1">
        <v>84.2</v>
      </c>
      <c r="U1595" s="1">
        <v>5.0</v>
      </c>
      <c r="V1595" s="1">
        <v>0.0</v>
      </c>
      <c r="W1595" s="1" t="s">
        <v>26</v>
      </c>
    </row>
    <row r="1596" ht="15.75" customHeight="1">
      <c r="A1596" s="1" t="s">
        <v>1633</v>
      </c>
      <c r="B1596" s="1" t="s">
        <v>24</v>
      </c>
      <c r="C1596" s="1">
        <v>0.0</v>
      </c>
      <c r="D1596" s="1" t="s">
        <v>26</v>
      </c>
      <c r="E1596" s="1" t="s">
        <v>25</v>
      </c>
      <c r="F1596" s="1">
        <v>62.0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1">
        <v>26.0</v>
      </c>
      <c r="T1596" s="1">
        <v>1638.7</v>
      </c>
      <c r="U1596" s="1">
        <v>0.0</v>
      </c>
      <c r="V1596" s="1">
        <v>0.0</v>
      </c>
      <c r="W1596" s="1" t="s">
        <v>26</v>
      </c>
    </row>
    <row r="1597" ht="15.75" customHeight="1">
      <c r="A1597" s="1" t="s">
        <v>1634</v>
      </c>
      <c r="B1597" s="1" t="s">
        <v>32</v>
      </c>
      <c r="C1597" s="1">
        <v>1.0</v>
      </c>
      <c r="D1597" s="1" t="s">
        <v>26</v>
      </c>
      <c r="E1597" s="1" t="s">
        <v>26</v>
      </c>
      <c r="F1597" s="1">
        <v>2.0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1">
        <v>74.7</v>
      </c>
      <c r="T1597" s="1">
        <v>165.4</v>
      </c>
      <c r="U1597" s="1">
        <v>0.0</v>
      </c>
      <c r="V1597" s="1">
        <v>0.0</v>
      </c>
      <c r="W1597" s="1" t="s">
        <v>25</v>
      </c>
    </row>
    <row r="1598" ht="15.75" customHeight="1">
      <c r="A1598" s="1" t="s">
        <v>1635</v>
      </c>
      <c r="B1598" s="1" t="s">
        <v>24</v>
      </c>
      <c r="C1598" s="1">
        <v>0.0</v>
      </c>
      <c r="D1598" s="1" t="s">
        <v>25</v>
      </c>
      <c r="E1598" s="1" t="s">
        <v>26</v>
      </c>
      <c r="F1598" s="1">
        <v>2.0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1">
        <v>70.35</v>
      </c>
      <c r="T1598" s="1">
        <v>120.25</v>
      </c>
      <c r="U1598" s="1">
        <v>0.0</v>
      </c>
      <c r="V1598" s="1">
        <v>0.0</v>
      </c>
      <c r="W1598" s="1" t="s">
        <v>26</v>
      </c>
    </row>
    <row r="1599" ht="15.75" customHeight="1">
      <c r="A1599" s="1" t="s">
        <v>1636</v>
      </c>
      <c r="B1599" s="1" t="s">
        <v>32</v>
      </c>
      <c r="C1599" s="1">
        <v>0.0</v>
      </c>
      <c r="D1599" s="1" t="s">
        <v>25</v>
      </c>
      <c r="E1599" s="1" t="s">
        <v>26</v>
      </c>
      <c r="F1599" s="1">
        <v>48.0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1">
        <v>96.9</v>
      </c>
      <c r="T1599" s="1">
        <v>4473.45</v>
      </c>
      <c r="U1599" s="1">
        <v>0.0</v>
      </c>
      <c r="V1599" s="1">
        <v>0.0</v>
      </c>
      <c r="W1599" s="1" t="s">
        <v>26</v>
      </c>
    </row>
    <row r="1600" ht="15.75" customHeight="1">
      <c r="A1600" s="1" t="s">
        <v>1637</v>
      </c>
      <c r="B1600" s="1" t="s">
        <v>32</v>
      </c>
      <c r="C1600" s="1">
        <v>0.0</v>
      </c>
      <c r="D1600" s="1" t="s">
        <v>25</v>
      </c>
      <c r="E1600" s="1" t="s">
        <v>26</v>
      </c>
      <c r="F1600" s="1">
        <v>27.0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1">
        <v>19.55</v>
      </c>
      <c r="T1600" s="1">
        <v>520.55</v>
      </c>
      <c r="U1600" s="1">
        <v>4.0</v>
      </c>
      <c r="V1600" s="1">
        <v>0.0</v>
      </c>
      <c r="W1600" s="1" t="s">
        <v>26</v>
      </c>
    </row>
    <row r="1601" ht="15.75" customHeight="1">
      <c r="A1601" s="1" t="s">
        <v>1638</v>
      </c>
      <c r="B1601" s="1" t="s">
        <v>24</v>
      </c>
      <c r="C1601" s="1">
        <v>0.0</v>
      </c>
      <c r="D1601" s="1" t="s">
        <v>25</v>
      </c>
      <c r="E1601" s="1" t="s">
        <v>25</v>
      </c>
      <c r="F1601" s="1">
        <v>70.0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1">
        <v>80.4</v>
      </c>
      <c r="T1601" s="1">
        <v>5717.85</v>
      </c>
      <c r="U1601" s="1">
        <v>3.0</v>
      </c>
      <c r="V1601" s="1">
        <v>0.0</v>
      </c>
      <c r="W1601" s="1" t="s">
        <v>26</v>
      </c>
    </row>
    <row r="1602" ht="15.75" customHeight="1">
      <c r="A1602" s="1" t="s">
        <v>1639</v>
      </c>
      <c r="B1602" s="1" t="s">
        <v>32</v>
      </c>
      <c r="C1602" s="1">
        <v>1.0</v>
      </c>
      <c r="D1602" s="1" t="s">
        <v>26</v>
      </c>
      <c r="E1602" s="1" t="s">
        <v>26</v>
      </c>
      <c r="F1602" s="1">
        <v>1.0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1">
        <v>88.8</v>
      </c>
      <c r="T1602" s="1">
        <v>88.8</v>
      </c>
      <c r="U1602" s="1">
        <v>0.0</v>
      </c>
      <c r="V1602" s="1">
        <v>0.0</v>
      </c>
      <c r="W1602" s="1" t="s">
        <v>25</v>
      </c>
    </row>
    <row r="1603" ht="15.75" customHeight="1">
      <c r="A1603" s="1" t="s">
        <v>1640</v>
      </c>
      <c r="B1603" s="1" t="s">
        <v>32</v>
      </c>
      <c r="C1603" s="1">
        <v>0.0</v>
      </c>
      <c r="D1603" s="1" t="s">
        <v>25</v>
      </c>
      <c r="E1603" s="1" t="s">
        <v>26</v>
      </c>
      <c r="F1603" s="1">
        <v>46.0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1">
        <v>94.65</v>
      </c>
      <c r="T1603" s="1">
        <v>4312.5</v>
      </c>
      <c r="U1603" s="1">
        <v>2.0</v>
      </c>
      <c r="V1603" s="1">
        <v>0.0</v>
      </c>
      <c r="W1603" s="1" t="s">
        <v>26</v>
      </c>
    </row>
    <row r="1604" ht="15.75" customHeight="1">
      <c r="A1604" s="1" t="s">
        <v>1641</v>
      </c>
      <c r="B1604" s="1" t="s">
        <v>32</v>
      </c>
      <c r="C1604" s="1">
        <v>0.0</v>
      </c>
      <c r="D1604" s="1" t="s">
        <v>26</v>
      </c>
      <c r="E1604" s="1" t="s">
        <v>26</v>
      </c>
      <c r="F1604" s="1">
        <v>30.0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1">
        <v>90.25</v>
      </c>
      <c r="T1604" s="1">
        <v>2755.35</v>
      </c>
      <c r="U1604" s="1">
        <v>0.0</v>
      </c>
      <c r="V1604" s="1">
        <v>3.0</v>
      </c>
      <c r="W1604" s="1" t="s">
        <v>25</v>
      </c>
    </row>
    <row r="1605" ht="15.75" customHeight="1">
      <c r="A1605" s="1" t="s">
        <v>1642</v>
      </c>
      <c r="B1605" s="1" t="s">
        <v>24</v>
      </c>
      <c r="C1605" s="1">
        <v>0.0</v>
      </c>
      <c r="D1605" s="1" t="s">
        <v>26</v>
      </c>
      <c r="E1605" s="1" t="s">
        <v>26</v>
      </c>
      <c r="F1605" s="1">
        <v>15.0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1">
        <v>64.65</v>
      </c>
      <c r="T1605" s="1">
        <v>994.55</v>
      </c>
      <c r="U1605" s="1">
        <v>5.0</v>
      </c>
      <c r="V1605" s="1">
        <v>1.0</v>
      </c>
      <c r="W1605" s="1" t="s">
        <v>25</v>
      </c>
    </row>
    <row r="1606" ht="15.75" customHeight="1">
      <c r="A1606" s="1" t="s">
        <v>1643</v>
      </c>
      <c r="B1606" s="1" t="s">
        <v>32</v>
      </c>
      <c r="C1606" s="1">
        <v>0.0</v>
      </c>
      <c r="D1606" s="1" t="s">
        <v>25</v>
      </c>
      <c r="E1606" s="1" t="s">
        <v>25</v>
      </c>
      <c r="F1606" s="1">
        <v>69.0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1">
        <v>95.75</v>
      </c>
      <c r="T1606" s="1">
        <v>6511.25</v>
      </c>
      <c r="U1606" s="1">
        <v>0.0</v>
      </c>
      <c r="V1606" s="1">
        <v>0.0</v>
      </c>
      <c r="W1606" s="1" t="s">
        <v>26</v>
      </c>
    </row>
    <row r="1607" ht="15.75" customHeight="1">
      <c r="A1607" s="1" t="s">
        <v>1644</v>
      </c>
      <c r="B1607" s="1" t="s">
        <v>32</v>
      </c>
      <c r="C1607" s="1">
        <v>0.0</v>
      </c>
      <c r="D1607" s="1" t="s">
        <v>26</v>
      </c>
      <c r="E1607" s="1" t="s">
        <v>26</v>
      </c>
      <c r="F1607" s="1">
        <v>65.0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1">
        <v>19.55</v>
      </c>
      <c r="T1607" s="1">
        <v>1218.65</v>
      </c>
      <c r="U1607" s="1">
        <v>0.0</v>
      </c>
      <c r="V1607" s="1">
        <v>0.0</v>
      </c>
      <c r="W1607" s="1" t="s">
        <v>26</v>
      </c>
    </row>
    <row r="1608" ht="15.75" customHeight="1">
      <c r="A1608" s="1" t="s">
        <v>1645</v>
      </c>
      <c r="B1608" s="1" t="s">
        <v>32</v>
      </c>
      <c r="C1608" s="1">
        <v>1.0</v>
      </c>
      <c r="D1608" s="1" t="s">
        <v>25</v>
      </c>
      <c r="E1608" s="1" t="s">
        <v>25</v>
      </c>
      <c r="F1608" s="1">
        <v>72.0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1">
        <v>104.1</v>
      </c>
      <c r="T1608" s="1">
        <v>7447.7</v>
      </c>
      <c r="U1608" s="1">
        <v>0.0</v>
      </c>
      <c r="V1608" s="1">
        <v>0.0</v>
      </c>
      <c r="W1608" s="1" t="s">
        <v>26</v>
      </c>
    </row>
    <row r="1609" ht="15.75" customHeight="1">
      <c r="A1609" s="1" t="s">
        <v>1646</v>
      </c>
      <c r="B1609" s="1" t="s">
        <v>32</v>
      </c>
      <c r="C1609" s="1">
        <v>1.0</v>
      </c>
      <c r="D1609" s="1" t="s">
        <v>25</v>
      </c>
      <c r="E1609" s="1" t="s">
        <v>26</v>
      </c>
      <c r="F1609" s="1">
        <v>13.0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1">
        <v>89.05</v>
      </c>
      <c r="T1609" s="1">
        <v>1169.35</v>
      </c>
      <c r="U1609" s="1">
        <v>0.0</v>
      </c>
      <c r="V1609" s="1">
        <v>1.0</v>
      </c>
      <c r="W1609" s="1" t="s">
        <v>25</v>
      </c>
    </row>
    <row r="1610" ht="15.75" customHeight="1">
      <c r="A1610" s="1" t="s">
        <v>1647</v>
      </c>
      <c r="B1610" s="1" t="s">
        <v>32</v>
      </c>
      <c r="C1610" s="1">
        <v>0.0</v>
      </c>
      <c r="D1610" s="1" t="s">
        <v>26</v>
      </c>
      <c r="E1610" s="1" t="s">
        <v>26</v>
      </c>
      <c r="F1610" s="1">
        <v>17.0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1">
        <v>20.1</v>
      </c>
      <c r="T1610" s="1">
        <v>279.5</v>
      </c>
      <c r="U1610" s="1">
        <v>0.0</v>
      </c>
      <c r="V1610" s="1">
        <v>0.0</v>
      </c>
      <c r="W1610" s="1" t="s">
        <v>26</v>
      </c>
    </row>
    <row r="1611" ht="15.75" customHeight="1">
      <c r="A1611" s="1" t="s">
        <v>1648</v>
      </c>
      <c r="B1611" s="1" t="s">
        <v>32</v>
      </c>
      <c r="C1611" s="1">
        <v>0.0</v>
      </c>
      <c r="D1611" s="1" t="s">
        <v>25</v>
      </c>
      <c r="E1611" s="1" t="s">
        <v>26</v>
      </c>
      <c r="F1611" s="1">
        <v>51.0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1">
        <v>111.55</v>
      </c>
      <c r="T1611" s="1">
        <v>5720.35</v>
      </c>
      <c r="U1611" s="1">
        <v>0.0</v>
      </c>
      <c r="V1611" s="1">
        <v>4.0</v>
      </c>
      <c r="W1611" s="1" t="s">
        <v>26</v>
      </c>
    </row>
    <row r="1612" ht="15.75" customHeight="1">
      <c r="A1612" s="1" t="s">
        <v>1649</v>
      </c>
      <c r="B1612" s="1" t="s">
        <v>32</v>
      </c>
      <c r="C1612" s="1">
        <v>0.0</v>
      </c>
      <c r="D1612" s="1" t="s">
        <v>25</v>
      </c>
      <c r="E1612" s="1" t="s">
        <v>25</v>
      </c>
      <c r="F1612" s="1">
        <v>51.0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1">
        <v>60.5</v>
      </c>
      <c r="T1612" s="1">
        <v>3121.45</v>
      </c>
      <c r="U1612" s="1">
        <v>0.0</v>
      </c>
      <c r="V1612" s="1">
        <v>0.0</v>
      </c>
      <c r="W1612" s="1" t="s">
        <v>26</v>
      </c>
    </row>
    <row r="1613" ht="15.75" customHeight="1">
      <c r="A1613" s="1" t="s">
        <v>1650</v>
      </c>
      <c r="B1613" s="1" t="s">
        <v>24</v>
      </c>
      <c r="C1613" s="1">
        <v>0.0</v>
      </c>
      <c r="D1613" s="1" t="s">
        <v>25</v>
      </c>
      <c r="E1613" s="1" t="s">
        <v>26</v>
      </c>
      <c r="F1613" s="1">
        <v>72.0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1">
        <v>90.95</v>
      </c>
      <c r="T1613" s="1">
        <v>6468.6</v>
      </c>
      <c r="U1613" s="1">
        <v>0.0</v>
      </c>
      <c r="V1613" s="1">
        <v>0.0</v>
      </c>
      <c r="W1613" s="1" t="s">
        <v>26</v>
      </c>
    </row>
    <row r="1614" ht="15.75" customHeight="1">
      <c r="A1614" s="1" t="s">
        <v>1651</v>
      </c>
      <c r="B1614" s="1" t="s">
        <v>32</v>
      </c>
      <c r="C1614" s="1">
        <v>0.0</v>
      </c>
      <c r="D1614" s="1" t="s">
        <v>25</v>
      </c>
      <c r="E1614" s="1" t="s">
        <v>25</v>
      </c>
      <c r="F1614" s="1">
        <v>67.0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1">
        <v>87.4</v>
      </c>
      <c r="T1614" s="1">
        <v>5918.8</v>
      </c>
      <c r="U1614" s="1">
        <v>4.0</v>
      </c>
      <c r="V1614" s="1">
        <v>6.0</v>
      </c>
      <c r="W1614" s="1" t="s">
        <v>25</v>
      </c>
    </row>
    <row r="1615" ht="15.75" customHeight="1">
      <c r="A1615" s="1" t="s">
        <v>1652</v>
      </c>
      <c r="B1615" s="1" t="s">
        <v>32</v>
      </c>
      <c r="C1615" s="1">
        <v>0.0</v>
      </c>
      <c r="D1615" s="1" t="s">
        <v>26</v>
      </c>
      <c r="E1615" s="1" t="s">
        <v>26</v>
      </c>
      <c r="F1615" s="1">
        <v>34.0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1">
        <v>19.7</v>
      </c>
      <c r="T1615" s="1">
        <v>675.6</v>
      </c>
      <c r="U1615" s="1">
        <v>1.0</v>
      </c>
      <c r="V1615" s="1">
        <v>0.0</v>
      </c>
      <c r="W1615" s="1" t="s">
        <v>26</v>
      </c>
    </row>
    <row r="1616" ht="15.75" customHeight="1">
      <c r="A1616" s="1" t="s">
        <v>1653</v>
      </c>
      <c r="B1616" s="1" t="s">
        <v>32</v>
      </c>
      <c r="C1616" s="1">
        <v>0.0</v>
      </c>
      <c r="D1616" s="1" t="s">
        <v>25</v>
      </c>
      <c r="E1616" s="1" t="s">
        <v>26</v>
      </c>
      <c r="F1616" s="1">
        <v>67.0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1">
        <v>50.95</v>
      </c>
      <c r="T1616" s="1">
        <v>3521.7</v>
      </c>
      <c r="U1616" s="1">
        <v>0.0</v>
      </c>
      <c r="V1616" s="1">
        <v>0.0</v>
      </c>
      <c r="W1616" s="1" t="s">
        <v>26</v>
      </c>
    </row>
    <row r="1617" ht="15.75" customHeight="1">
      <c r="A1617" s="1" t="s">
        <v>1654</v>
      </c>
      <c r="B1617" s="1" t="s">
        <v>24</v>
      </c>
      <c r="C1617" s="1">
        <v>0.0</v>
      </c>
      <c r="D1617" s="1" t="s">
        <v>25</v>
      </c>
      <c r="E1617" s="1" t="s">
        <v>26</v>
      </c>
      <c r="F1617" s="1">
        <v>49.0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1">
        <v>20.05</v>
      </c>
      <c r="T1617" s="1">
        <v>923.1</v>
      </c>
      <c r="U1617" s="1">
        <v>0.0</v>
      </c>
      <c r="V1617" s="1">
        <v>0.0</v>
      </c>
      <c r="W1617" s="1" t="s">
        <v>26</v>
      </c>
    </row>
    <row r="1618" ht="15.75" customHeight="1">
      <c r="A1618" s="1" t="s">
        <v>1655</v>
      </c>
      <c r="B1618" s="1" t="s">
        <v>32</v>
      </c>
      <c r="C1618" s="1">
        <v>0.0</v>
      </c>
      <c r="D1618" s="1" t="s">
        <v>25</v>
      </c>
      <c r="E1618" s="1" t="s">
        <v>25</v>
      </c>
      <c r="F1618" s="1">
        <v>53.0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1">
        <v>19.4</v>
      </c>
      <c r="T1618" s="1">
        <v>1110.35</v>
      </c>
      <c r="U1618" s="1">
        <v>0.0</v>
      </c>
      <c r="V1618" s="1">
        <v>3.0</v>
      </c>
      <c r="W1618" s="1" t="s">
        <v>26</v>
      </c>
    </row>
    <row r="1619" ht="15.75" customHeight="1">
      <c r="A1619" s="1" t="s">
        <v>1656</v>
      </c>
      <c r="B1619" s="1" t="s">
        <v>32</v>
      </c>
      <c r="C1619" s="1">
        <v>0.0</v>
      </c>
      <c r="D1619" s="1" t="s">
        <v>26</v>
      </c>
      <c r="E1619" s="1" t="s">
        <v>26</v>
      </c>
      <c r="F1619" s="1">
        <v>27.0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1">
        <v>59.45</v>
      </c>
      <c r="T1619" s="1">
        <v>1611.65</v>
      </c>
      <c r="U1619" s="1">
        <v>0.0</v>
      </c>
      <c r="V1619" s="1">
        <v>0.0</v>
      </c>
      <c r="W1619" s="1" t="s">
        <v>26</v>
      </c>
    </row>
    <row r="1620" ht="15.75" customHeight="1">
      <c r="A1620" s="1" t="s">
        <v>1657</v>
      </c>
      <c r="B1620" s="1" t="s">
        <v>24</v>
      </c>
      <c r="C1620" s="1">
        <v>1.0</v>
      </c>
      <c r="D1620" s="1" t="s">
        <v>26</v>
      </c>
      <c r="E1620" s="1" t="s">
        <v>26</v>
      </c>
      <c r="F1620" s="1">
        <v>23.0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1">
        <v>94.75</v>
      </c>
      <c r="T1620" s="1">
        <v>2293.6</v>
      </c>
      <c r="U1620" s="1">
        <v>0.0</v>
      </c>
      <c r="V1620" s="1">
        <v>2.0</v>
      </c>
      <c r="W1620" s="1" t="s">
        <v>25</v>
      </c>
    </row>
    <row r="1621" ht="15.75" customHeight="1">
      <c r="A1621" s="1" t="s">
        <v>1658</v>
      </c>
      <c r="B1621" s="1" t="s">
        <v>32</v>
      </c>
      <c r="C1621" s="1">
        <v>0.0</v>
      </c>
      <c r="D1621" s="1" t="s">
        <v>26</v>
      </c>
      <c r="E1621" s="1" t="s">
        <v>26</v>
      </c>
      <c r="F1621" s="1">
        <v>69.0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1">
        <v>81.5</v>
      </c>
      <c r="T1621" s="1">
        <v>5553.25</v>
      </c>
      <c r="U1621" s="1">
        <v>0.0</v>
      </c>
      <c r="V1621" s="1">
        <v>0.0</v>
      </c>
      <c r="W1621" s="1" t="s">
        <v>26</v>
      </c>
    </row>
    <row r="1622" ht="15.75" customHeight="1">
      <c r="A1622" s="1" t="s">
        <v>1659</v>
      </c>
      <c r="B1622" s="1" t="s">
        <v>24</v>
      </c>
      <c r="C1622" s="1">
        <v>0.0</v>
      </c>
      <c r="D1622" s="1" t="s">
        <v>25</v>
      </c>
      <c r="E1622" s="1" t="s">
        <v>25</v>
      </c>
      <c r="F1622" s="1">
        <v>2.0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1">
        <v>29.05</v>
      </c>
      <c r="T1622" s="1">
        <v>44.75</v>
      </c>
      <c r="U1622" s="1">
        <v>0.0</v>
      </c>
      <c r="V1622" s="1">
        <v>0.0</v>
      </c>
      <c r="W1622" s="1" t="s">
        <v>26</v>
      </c>
    </row>
    <row r="1623" ht="15.75" customHeight="1">
      <c r="A1623" s="1" t="s">
        <v>1660</v>
      </c>
      <c r="B1623" s="1" t="s">
        <v>24</v>
      </c>
      <c r="C1623" s="1">
        <v>0.0</v>
      </c>
      <c r="D1623" s="1" t="s">
        <v>26</v>
      </c>
      <c r="E1623" s="1" t="s">
        <v>26</v>
      </c>
      <c r="F1623" s="1">
        <v>35.0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1">
        <v>86.45</v>
      </c>
      <c r="T1623" s="1">
        <v>3029.1</v>
      </c>
      <c r="U1623" s="1">
        <v>0.0</v>
      </c>
      <c r="V1623" s="1">
        <v>0.0</v>
      </c>
      <c r="W1623" s="1" t="s">
        <v>25</v>
      </c>
    </row>
    <row r="1624" ht="15.75" customHeight="1">
      <c r="A1624" s="1" t="s">
        <v>1661</v>
      </c>
      <c r="B1624" s="1" t="s">
        <v>24</v>
      </c>
      <c r="C1624" s="1">
        <v>0.0</v>
      </c>
      <c r="D1624" s="1" t="s">
        <v>25</v>
      </c>
      <c r="E1624" s="1" t="s">
        <v>26</v>
      </c>
      <c r="F1624" s="1">
        <v>46.0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1">
        <v>70.6</v>
      </c>
      <c r="T1624" s="1">
        <v>3231.05</v>
      </c>
      <c r="U1624" s="1">
        <v>0.0</v>
      </c>
      <c r="V1624" s="1">
        <v>0.0</v>
      </c>
      <c r="W1624" s="1" t="s">
        <v>26</v>
      </c>
    </row>
    <row r="1625" ht="15.75" customHeight="1">
      <c r="A1625" s="1" t="s">
        <v>1662</v>
      </c>
      <c r="B1625" s="1" t="s">
        <v>24</v>
      </c>
      <c r="C1625" s="1">
        <v>0.0</v>
      </c>
      <c r="D1625" s="1" t="s">
        <v>26</v>
      </c>
      <c r="E1625" s="1" t="s">
        <v>26</v>
      </c>
      <c r="F1625" s="1">
        <v>54.0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1">
        <v>97.2</v>
      </c>
      <c r="T1625" s="1">
        <v>5129.45</v>
      </c>
      <c r="U1625" s="1">
        <v>5.0</v>
      </c>
      <c r="V1625" s="1">
        <v>3.0</v>
      </c>
      <c r="W1625" s="1" t="s">
        <v>26</v>
      </c>
    </row>
    <row r="1626" ht="15.75" customHeight="1">
      <c r="A1626" s="1" t="s">
        <v>1663</v>
      </c>
      <c r="B1626" s="1" t="s">
        <v>24</v>
      </c>
      <c r="C1626" s="1">
        <v>0.0</v>
      </c>
      <c r="D1626" s="1" t="s">
        <v>25</v>
      </c>
      <c r="E1626" s="1" t="s">
        <v>26</v>
      </c>
      <c r="F1626" s="1">
        <v>56.0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1">
        <v>98.25</v>
      </c>
      <c r="T1626" s="1">
        <v>5508.35</v>
      </c>
      <c r="U1626" s="1">
        <v>0.0</v>
      </c>
      <c r="V1626" s="1">
        <v>5.0</v>
      </c>
      <c r="W1626" s="1" t="s">
        <v>25</v>
      </c>
    </row>
    <row r="1627" ht="15.75" customHeight="1">
      <c r="A1627" s="1" t="s">
        <v>1664</v>
      </c>
      <c r="B1627" s="1" t="s">
        <v>24</v>
      </c>
      <c r="C1627" s="1">
        <v>0.0</v>
      </c>
      <c r="D1627" s="1" t="s">
        <v>25</v>
      </c>
      <c r="E1627" s="1" t="s">
        <v>26</v>
      </c>
      <c r="F1627" s="1">
        <v>9.0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1">
        <v>75.75</v>
      </c>
      <c r="T1627" s="1">
        <v>655.9</v>
      </c>
      <c r="U1627" s="1">
        <v>0.0</v>
      </c>
      <c r="V1627" s="1">
        <v>0.0</v>
      </c>
      <c r="W1627" s="1" t="s">
        <v>25</v>
      </c>
    </row>
    <row r="1628" ht="15.75" customHeight="1">
      <c r="A1628" s="1" t="s">
        <v>1665</v>
      </c>
      <c r="B1628" s="1" t="s">
        <v>32</v>
      </c>
      <c r="C1628" s="1">
        <v>0.0</v>
      </c>
      <c r="D1628" s="1" t="s">
        <v>26</v>
      </c>
      <c r="E1628" s="1" t="s">
        <v>26</v>
      </c>
      <c r="F1628" s="1">
        <v>20.0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1">
        <v>59.2</v>
      </c>
      <c r="T1628" s="1">
        <v>1191.2</v>
      </c>
      <c r="U1628" s="1">
        <v>3.0</v>
      </c>
      <c r="V1628" s="1">
        <v>0.0</v>
      </c>
      <c r="W1628" s="1" t="s">
        <v>26</v>
      </c>
    </row>
    <row r="1629" ht="15.75" customHeight="1">
      <c r="A1629" s="1" t="s">
        <v>1666</v>
      </c>
      <c r="B1629" s="1" t="s">
        <v>32</v>
      </c>
      <c r="C1629" s="1">
        <v>0.0</v>
      </c>
      <c r="D1629" s="1" t="s">
        <v>26</v>
      </c>
      <c r="E1629" s="1" t="s">
        <v>26</v>
      </c>
      <c r="F1629" s="1">
        <v>11.0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1">
        <v>75.9</v>
      </c>
      <c r="T1629" s="1">
        <v>866.4</v>
      </c>
      <c r="U1629" s="1">
        <v>2.0</v>
      </c>
      <c r="V1629" s="1">
        <v>0.0</v>
      </c>
      <c r="W1629" s="1" t="s">
        <v>26</v>
      </c>
    </row>
    <row r="1630" ht="15.75" customHeight="1">
      <c r="A1630" s="1" t="s">
        <v>1667</v>
      </c>
      <c r="B1630" s="1" t="s">
        <v>24</v>
      </c>
      <c r="C1630" s="1">
        <v>1.0</v>
      </c>
      <c r="D1630" s="1" t="s">
        <v>25</v>
      </c>
      <c r="E1630" s="1" t="s">
        <v>26</v>
      </c>
      <c r="F1630" s="1">
        <v>30.0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1">
        <v>90.05</v>
      </c>
      <c r="T1630" s="1">
        <v>2627.2</v>
      </c>
      <c r="U1630" s="1">
        <v>0.0</v>
      </c>
      <c r="V1630" s="1">
        <v>0.0</v>
      </c>
      <c r="W1630" s="1" t="s">
        <v>26</v>
      </c>
    </row>
    <row r="1631" ht="15.75" customHeight="1">
      <c r="A1631" s="1" t="s">
        <v>1668</v>
      </c>
      <c r="B1631" s="1" t="s">
        <v>32</v>
      </c>
      <c r="C1631" s="1">
        <v>0.0</v>
      </c>
      <c r="D1631" s="1" t="s">
        <v>25</v>
      </c>
      <c r="E1631" s="1" t="s">
        <v>26</v>
      </c>
      <c r="F1631" s="1">
        <v>68.0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1">
        <v>70.95</v>
      </c>
      <c r="T1631" s="1">
        <v>4741.45</v>
      </c>
      <c r="U1631" s="1">
        <v>0.0</v>
      </c>
      <c r="V1631" s="1">
        <v>6.0</v>
      </c>
      <c r="W1631" s="1" t="s">
        <v>26</v>
      </c>
    </row>
    <row r="1632" ht="15.75" customHeight="1">
      <c r="A1632" s="1" t="s">
        <v>1669</v>
      </c>
      <c r="B1632" s="1" t="s">
        <v>32</v>
      </c>
      <c r="C1632" s="1">
        <v>1.0</v>
      </c>
      <c r="D1632" s="1" t="s">
        <v>25</v>
      </c>
      <c r="E1632" s="1" t="s">
        <v>26</v>
      </c>
      <c r="F1632" s="1">
        <v>38.0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1">
        <v>102.6</v>
      </c>
      <c r="T1632" s="1">
        <v>4009.2</v>
      </c>
      <c r="U1632" s="1">
        <v>0.0</v>
      </c>
      <c r="V1632" s="1">
        <v>0.0</v>
      </c>
      <c r="W1632" s="1" t="s">
        <v>26</v>
      </c>
    </row>
    <row r="1633" ht="15.75" customHeight="1">
      <c r="A1633" s="1" t="s">
        <v>1670</v>
      </c>
      <c r="B1633" s="1" t="s">
        <v>24</v>
      </c>
      <c r="C1633" s="1">
        <v>1.0</v>
      </c>
      <c r="D1633" s="1" t="s">
        <v>25</v>
      </c>
      <c r="E1633" s="1" t="s">
        <v>26</v>
      </c>
      <c r="F1633" s="1">
        <v>17.0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1">
        <v>85.35</v>
      </c>
      <c r="T1633" s="1">
        <v>1463.45</v>
      </c>
      <c r="U1633" s="1">
        <v>5.0</v>
      </c>
      <c r="V1633" s="1">
        <v>1.0</v>
      </c>
      <c r="W1633" s="1" t="s">
        <v>25</v>
      </c>
    </row>
    <row r="1634" ht="15.75" customHeight="1">
      <c r="A1634" s="1" t="s">
        <v>1671</v>
      </c>
      <c r="B1634" s="1" t="s">
        <v>32</v>
      </c>
      <c r="C1634" s="1">
        <v>0.0</v>
      </c>
      <c r="D1634" s="1" t="s">
        <v>26</v>
      </c>
      <c r="E1634" s="1" t="s">
        <v>26</v>
      </c>
      <c r="F1634" s="1">
        <v>48.0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1">
        <v>106.1</v>
      </c>
      <c r="T1634" s="1">
        <v>5082.8</v>
      </c>
      <c r="U1634" s="1">
        <v>0.0</v>
      </c>
      <c r="V1634" s="1">
        <v>4.0</v>
      </c>
      <c r="W1634" s="1" t="s">
        <v>25</v>
      </c>
    </row>
    <row r="1635" ht="15.75" customHeight="1">
      <c r="A1635" s="1" t="s">
        <v>1672</v>
      </c>
      <c r="B1635" s="1" t="s">
        <v>24</v>
      </c>
      <c r="C1635" s="1">
        <v>0.0</v>
      </c>
      <c r="D1635" s="1" t="s">
        <v>26</v>
      </c>
      <c r="E1635" s="1" t="s">
        <v>26</v>
      </c>
      <c r="F1635" s="1">
        <v>1.0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1">
        <v>43.8</v>
      </c>
      <c r="T1635" s="1">
        <v>43.8</v>
      </c>
      <c r="U1635" s="1">
        <v>0.0</v>
      </c>
      <c r="V1635" s="1">
        <v>0.0</v>
      </c>
      <c r="W1635" s="1" t="s">
        <v>26</v>
      </c>
    </row>
    <row r="1636" ht="15.75" customHeight="1">
      <c r="A1636" s="1" t="s">
        <v>1673</v>
      </c>
      <c r="B1636" s="1" t="s">
        <v>32</v>
      </c>
      <c r="C1636" s="1">
        <v>0.0</v>
      </c>
      <c r="D1636" s="1" t="s">
        <v>25</v>
      </c>
      <c r="E1636" s="1" t="s">
        <v>25</v>
      </c>
      <c r="F1636" s="1">
        <v>63.0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1">
        <v>59.0</v>
      </c>
      <c r="T1636" s="1">
        <v>3707.6</v>
      </c>
      <c r="U1636" s="1">
        <v>0.0</v>
      </c>
      <c r="V1636" s="1">
        <v>0.0</v>
      </c>
      <c r="W1636" s="1" t="s">
        <v>26</v>
      </c>
    </row>
    <row r="1637" ht="15.75" customHeight="1">
      <c r="A1637" s="1" t="s">
        <v>1674</v>
      </c>
      <c r="B1637" s="1" t="s">
        <v>24</v>
      </c>
      <c r="C1637" s="1">
        <v>0.0</v>
      </c>
      <c r="D1637" s="1" t="s">
        <v>26</v>
      </c>
      <c r="E1637" s="1" t="s">
        <v>26</v>
      </c>
      <c r="F1637" s="1">
        <v>3.0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1">
        <v>69.95</v>
      </c>
      <c r="T1637" s="1">
        <v>220.45</v>
      </c>
      <c r="U1637" s="1">
        <v>0.0</v>
      </c>
      <c r="V1637" s="1">
        <v>0.0</v>
      </c>
      <c r="W1637" s="1" t="s">
        <v>26</v>
      </c>
    </row>
    <row r="1638" ht="15.75" customHeight="1">
      <c r="A1638" s="1" t="s">
        <v>1675</v>
      </c>
      <c r="B1638" s="1" t="s">
        <v>24</v>
      </c>
      <c r="C1638" s="1">
        <v>0.0</v>
      </c>
      <c r="D1638" s="1" t="s">
        <v>26</v>
      </c>
      <c r="E1638" s="1" t="s">
        <v>26</v>
      </c>
      <c r="F1638" s="1">
        <v>48.0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1">
        <v>24.35</v>
      </c>
      <c r="T1638" s="1">
        <v>1133.7</v>
      </c>
      <c r="U1638" s="1">
        <v>0.0</v>
      </c>
      <c r="V1638" s="1">
        <v>0.0</v>
      </c>
      <c r="W1638" s="1" t="s">
        <v>26</v>
      </c>
    </row>
    <row r="1639" ht="15.75" customHeight="1">
      <c r="A1639" s="1" t="s">
        <v>1676</v>
      </c>
      <c r="B1639" s="1" t="s">
        <v>32</v>
      </c>
      <c r="C1639" s="1">
        <v>0.0</v>
      </c>
      <c r="D1639" s="1" t="s">
        <v>26</v>
      </c>
      <c r="E1639" s="1" t="s">
        <v>26</v>
      </c>
      <c r="F1639" s="1">
        <v>66.0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1">
        <v>29.45</v>
      </c>
      <c r="T1639" s="1">
        <v>1983.15</v>
      </c>
      <c r="U1639" s="1">
        <v>4.0</v>
      </c>
      <c r="V1639" s="1">
        <v>0.0</v>
      </c>
      <c r="W1639" s="1" t="s">
        <v>26</v>
      </c>
    </row>
    <row r="1640" ht="15.75" customHeight="1">
      <c r="A1640" s="1" t="s">
        <v>1677</v>
      </c>
      <c r="B1640" s="1" t="s">
        <v>24</v>
      </c>
      <c r="C1640" s="1">
        <v>0.0</v>
      </c>
      <c r="D1640" s="1" t="s">
        <v>25</v>
      </c>
      <c r="E1640" s="1" t="s">
        <v>25</v>
      </c>
      <c r="F1640" s="1">
        <v>68.0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1">
        <v>84.4</v>
      </c>
      <c r="T1640" s="1">
        <v>5746.75</v>
      </c>
      <c r="U1640" s="1">
        <v>0.0</v>
      </c>
      <c r="V1640" s="1">
        <v>0.0</v>
      </c>
      <c r="W1640" s="1" t="s">
        <v>26</v>
      </c>
    </row>
    <row r="1641" ht="15.75" customHeight="1">
      <c r="A1641" s="1" t="s">
        <v>1678</v>
      </c>
      <c r="B1641" s="1" t="s">
        <v>32</v>
      </c>
      <c r="C1641" s="1">
        <v>1.0</v>
      </c>
      <c r="D1641" s="1" t="s">
        <v>26</v>
      </c>
      <c r="E1641" s="1" t="s">
        <v>26</v>
      </c>
      <c r="F1641" s="1">
        <v>17.0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1">
        <v>45.05</v>
      </c>
      <c r="T1641" s="1">
        <v>770.6</v>
      </c>
      <c r="U1641" s="1">
        <v>0.0</v>
      </c>
      <c r="V1641" s="1">
        <v>0.0</v>
      </c>
      <c r="W1641" s="1" t="s">
        <v>25</v>
      </c>
    </row>
    <row r="1642" ht="15.75" customHeight="1">
      <c r="A1642" s="1" t="s">
        <v>1679</v>
      </c>
      <c r="B1642" s="1" t="s">
        <v>24</v>
      </c>
      <c r="C1642" s="1">
        <v>0.0</v>
      </c>
      <c r="D1642" s="1" t="s">
        <v>25</v>
      </c>
      <c r="E1642" s="1" t="s">
        <v>25</v>
      </c>
      <c r="F1642" s="1">
        <v>7.0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1">
        <v>20.65</v>
      </c>
      <c r="T1642" s="1">
        <v>134.05</v>
      </c>
      <c r="U1642" s="1">
        <v>0.0</v>
      </c>
      <c r="V1642" s="1">
        <v>0.0</v>
      </c>
      <c r="W1642" s="1" t="s">
        <v>26</v>
      </c>
    </row>
    <row r="1643" ht="15.75" customHeight="1">
      <c r="A1643" s="1" t="s">
        <v>1680</v>
      </c>
      <c r="B1643" s="1" t="s">
        <v>32</v>
      </c>
      <c r="C1643" s="1">
        <v>0.0</v>
      </c>
      <c r="D1643" s="1" t="s">
        <v>25</v>
      </c>
      <c r="E1643" s="1" t="s">
        <v>26</v>
      </c>
      <c r="F1643" s="1">
        <v>72.0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1">
        <v>87.1</v>
      </c>
      <c r="T1643" s="1">
        <v>6230.1</v>
      </c>
      <c r="U1643" s="1">
        <v>0.0</v>
      </c>
      <c r="V1643" s="1">
        <v>0.0</v>
      </c>
      <c r="W1643" s="1" t="s">
        <v>26</v>
      </c>
    </row>
    <row r="1644" ht="15.75" customHeight="1">
      <c r="A1644" s="1" t="s">
        <v>1681</v>
      </c>
      <c r="B1644" s="1" t="s">
        <v>24</v>
      </c>
      <c r="C1644" s="1">
        <v>0.0</v>
      </c>
      <c r="D1644" s="1" t="s">
        <v>25</v>
      </c>
      <c r="E1644" s="1" t="s">
        <v>26</v>
      </c>
      <c r="F1644" s="1">
        <v>29.0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1">
        <v>19.85</v>
      </c>
      <c r="T1644" s="1">
        <v>573.05</v>
      </c>
      <c r="U1644" s="1">
        <v>0.0</v>
      </c>
      <c r="V1644" s="1">
        <v>2.0</v>
      </c>
      <c r="W1644" s="1" t="s">
        <v>26</v>
      </c>
    </row>
    <row r="1645" ht="15.75" customHeight="1">
      <c r="A1645" s="1" t="s">
        <v>1682</v>
      </c>
      <c r="B1645" s="1" t="s">
        <v>32</v>
      </c>
      <c r="C1645" s="1">
        <v>0.0</v>
      </c>
      <c r="D1645" s="1" t="s">
        <v>25</v>
      </c>
      <c r="E1645" s="1" t="s">
        <v>26</v>
      </c>
      <c r="F1645" s="1">
        <v>37.0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1">
        <v>90.35</v>
      </c>
      <c r="T1645" s="1">
        <v>3419.3</v>
      </c>
      <c r="U1645" s="1">
        <v>0.0</v>
      </c>
      <c r="V1645" s="1">
        <v>0.0</v>
      </c>
      <c r="W1645" s="1" t="s">
        <v>26</v>
      </c>
    </row>
    <row r="1646" ht="15.75" customHeight="1">
      <c r="A1646" s="1" t="s">
        <v>1683</v>
      </c>
      <c r="B1646" s="1" t="s">
        <v>24</v>
      </c>
      <c r="C1646" s="1">
        <v>0.0</v>
      </c>
      <c r="D1646" s="1" t="s">
        <v>26</v>
      </c>
      <c r="E1646" s="1" t="s">
        <v>26</v>
      </c>
      <c r="F1646" s="1">
        <v>34.0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1">
        <v>109.8</v>
      </c>
      <c r="T1646" s="1">
        <v>3587.25</v>
      </c>
      <c r="U1646" s="1">
        <v>0.0</v>
      </c>
      <c r="V1646" s="1">
        <v>3.0</v>
      </c>
      <c r="W1646" s="1" t="s">
        <v>25</v>
      </c>
    </row>
    <row r="1647" ht="15.75" customHeight="1">
      <c r="A1647" s="1" t="s">
        <v>1684</v>
      </c>
      <c r="B1647" s="1" t="s">
        <v>24</v>
      </c>
      <c r="C1647" s="1">
        <v>1.0</v>
      </c>
      <c r="D1647" s="1" t="s">
        <v>26</v>
      </c>
      <c r="E1647" s="1" t="s">
        <v>26</v>
      </c>
      <c r="F1647" s="1">
        <v>42.0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1">
        <v>84.65</v>
      </c>
      <c r="T1647" s="1">
        <v>3541.35</v>
      </c>
      <c r="U1647" s="1">
        <v>0.0</v>
      </c>
      <c r="V1647" s="1">
        <v>0.0</v>
      </c>
      <c r="W1647" s="1" t="s">
        <v>25</v>
      </c>
    </row>
    <row r="1648" ht="15.75" customHeight="1">
      <c r="A1648" s="1" t="s">
        <v>1685</v>
      </c>
      <c r="B1648" s="1" t="s">
        <v>24</v>
      </c>
      <c r="C1648" s="1">
        <v>0.0</v>
      </c>
      <c r="D1648" s="1" t="s">
        <v>25</v>
      </c>
      <c r="E1648" s="1" t="s">
        <v>25</v>
      </c>
      <c r="F1648" s="1">
        <v>59.0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1">
        <v>65.5</v>
      </c>
      <c r="T1648" s="1">
        <v>3801.3</v>
      </c>
      <c r="U1648" s="1">
        <v>4.0</v>
      </c>
      <c r="V1648" s="1">
        <v>0.0</v>
      </c>
      <c r="W1648" s="1" t="s">
        <v>26</v>
      </c>
    </row>
    <row r="1649" ht="15.75" customHeight="1">
      <c r="A1649" s="1" t="s">
        <v>1686</v>
      </c>
      <c r="B1649" s="1" t="s">
        <v>32</v>
      </c>
      <c r="C1649" s="1">
        <v>0.0</v>
      </c>
      <c r="D1649" s="1" t="s">
        <v>25</v>
      </c>
      <c r="E1649" s="1" t="s">
        <v>25</v>
      </c>
      <c r="F1649" s="1">
        <v>11.0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1">
        <v>79.5</v>
      </c>
      <c r="T1649" s="1">
        <v>868.5</v>
      </c>
      <c r="U1649" s="1">
        <v>0.0</v>
      </c>
      <c r="V1649" s="1">
        <v>0.0</v>
      </c>
      <c r="W1649" s="1" t="s">
        <v>25</v>
      </c>
    </row>
    <row r="1650" ht="15.75" customHeight="1">
      <c r="A1650" s="1" t="s">
        <v>1687</v>
      </c>
      <c r="B1650" s="1" t="s">
        <v>32</v>
      </c>
      <c r="C1650" s="1">
        <v>1.0</v>
      </c>
      <c r="D1650" s="1" t="s">
        <v>25</v>
      </c>
      <c r="E1650" s="1" t="s">
        <v>25</v>
      </c>
      <c r="F1650" s="1">
        <v>60.0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1">
        <v>80.95</v>
      </c>
      <c r="T1650" s="1">
        <v>4859.1</v>
      </c>
      <c r="U1650" s="1">
        <v>0.0</v>
      </c>
      <c r="V1650" s="1">
        <v>0.0</v>
      </c>
      <c r="W1650" s="1" t="s">
        <v>26</v>
      </c>
    </row>
    <row r="1651" ht="15.75" customHeight="1">
      <c r="A1651" s="1" t="s">
        <v>1688</v>
      </c>
      <c r="B1651" s="1" t="s">
        <v>24</v>
      </c>
      <c r="C1651" s="1">
        <v>0.0</v>
      </c>
      <c r="D1651" s="1" t="s">
        <v>26</v>
      </c>
      <c r="E1651" s="1" t="s">
        <v>26</v>
      </c>
      <c r="F1651" s="1">
        <v>27.0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1">
        <v>56.15</v>
      </c>
      <c r="T1651" s="1">
        <v>1439.35</v>
      </c>
      <c r="U1651" s="1">
        <v>4.0</v>
      </c>
      <c r="V1651" s="1">
        <v>0.0</v>
      </c>
      <c r="W1651" s="1" t="s">
        <v>26</v>
      </c>
    </row>
    <row r="1652" ht="15.75" customHeight="1">
      <c r="A1652" s="1" t="s">
        <v>1689</v>
      </c>
      <c r="B1652" s="1" t="s">
        <v>24</v>
      </c>
      <c r="C1652" s="1">
        <v>0.0</v>
      </c>
      <c r="D1652" s="1" t="s">
        <v>26</v>
      </c>
      <c r="E1652" s="1" t="s">
        <v>26</v>
      </c>
      <c r="F1652" s="1">
        <v>1.0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1">
        <v>85.8</v>
      </c>
      <c r="T1652" s="1">
        <v>85.8</v>
      </c>
      <c r="U1652" s="1">
        <v>0.0</v>
      </c>
      <c r="V1652" s="1">
        <v>0.0</v>
      </c>
      <c r="W1652" s="1" t="s">
        <v>25</v>
      </c>
    </row>
    <row r="1653" ht="15.75" customHeight="1">
      <c r="A1653" s="1" t="s">
        <v>1690</v>
      </c>
      <c r="B1653" s="1" t="s">
        <v>32</v>
      </c>
      <c r="C1653" s="1">
        <v>1.0</v>
      </c>
      <c r="D1653" s="1" t="s">
        <v>26</v>
      </c>
      <c r="E1653" s="1" t="s">
        <v>26</v>
      </c>
      <c r="F1653" s="1">
        <v>1.0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1">
        <v>79.1</v>
      </c>
      <c r="T1653" s="1">
        <v>79.1</v>
      </c>
      <c r="U1653" s="1">
        <v>3.0</v>
      </c>
      <c r="V1653" s="1">
        <v>0.0</v>
      </c>
      <c r="W1653" s="1" t="s">
        <v>25</v>
      </c>
    </row>
    <row r="1654" ht="15.75" customHeight="1">
      <c r="A1654" s="1" t="s">
        <v>1691</v>
      </c>
      <c r="B1654" s="1" t="s">
        <v>32</v>
      </c>
      <c r="C1654" s="1">
        <v>0.0</v>
      </c>
      <c r="D1654" s="1" t="s">
        <v>25</v>
      </c>
      <c r="E1654" s="1" t="s">
        <v>26</v>
      </c>
      <c r="F1654" s="1">
        <v>17.0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1">
        <v>34.4</v>
      </c>
      <c r="T1654" s="1">
        <v>592.75</v>
      </c>
      <c r="U1654" s="1">
        <v>0.0</v>
      </c>
      <c r="V1654" s="1">
        <v>0.0</v>
      </c>
      <c r="W1654" s="1" t="s">
        <v>26</v>
      </c>
    </row>
    <row r="1655" ht="15.75" customHeight="1">
      <c r="A1655" s="1" t="s">
        <v>1692</v>
      </c>
      <c r="B1655" s="1" t="s">
        <v>32</v>
      </c>
      <c r="C1655" s="1">
        <v>0.0</v>
      </c>
      <c r="D1655" s="1" t="s">
        <v>25</v>
      </c>
      <c r="E1655" s="1" t="s">
        <v>26</v>
      </c>
      <c r="F1655" s="1">
        <v>58.0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1">
        <v>20.75</v>
      </c>
      <c r="T1655" s="1">
        <v>1185.95</v>
      </c>
      <c r="U1655" s="1">
        <v>1.0</v>
      </c>
      <c r="V1655" s="1">
        <v>0.0</v>
      </c>
      <c r="W1655" s="1" t="s">
        <v>26</v>
      </c>
    </row>
    <row r="1656" ht="15.75" customHeight="1">
      <c r="A1656" s="1" t="s">
        <v>1693</v>
      </c>
      <c r="B1656" s="1" t="s">
        <v>32</v>
      </c>
      <c r="C1656" s="1">
        <v>0.0</v>
      </c>
      <c r="D1656" s="1" t="s">
        <v>25</v>
      </c>
      <c r="E1656" s="1" t="s">
        <v>25</v>
      </c>
      <c r="F1656" s="1">
        <v>1.0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1">
        <v>18.8</v>
      </c>
      <c r="T1656" s="1">
        <v>18.8</v>
      </c>
      <c r="U1656" s="1">
        <v>0.0</v>
      </c>
      <c r="V1656" s="1">
        <v>0.0</v>
      </c>
      <c r="W1656" s="1" t="s">
        <v>26</v>
      </c>
    </row>
    <row r="1657" ht="15.75" customHeight="1">
      <c r="A1657" s="1" t="s">
        <v>1694</v>
      </c>
      <c r="B1657" s="1" t="s">
        <v>24</v>
      </c>
      <c r="C1657" s="1">
        <v>0.0</v>
      </c>
      <c r="D1657" s="1" t="s">
        <v>25</v>
      </c>
      <c r="E1657" s="1" t="s">
        <v>25</v>
      </c>
      <c r="F1657" s="1">
        <v>3.0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1">
        <v>44.3</v>
      </c>
      <c r="T1657" s="1">
        <v>134.5</v>
      </c>
      <c r="U1657" s="1">
        <v>0.0</v>
      </c>
      <c r="V1657" s="1">
        <v>0.0</v>
      </c>
      <c r="W1657" s="1" t="s">
        <v>25</v>
      </c>
    </row>
    <row r="1658" ht="15.75" customHeight="1">
      <c r="A1658" s="1" t="s">
        <v>1695</v>
      </c>
      <c r="B1658" s="1" t="s">
        <v>24</v>
      </c>
      <c r="C1658" s="1">
        <v>0.0</v>
      </c>
      <c r="D1658" s="1" t="s">
        <v>26</v>
      </c>
      <c r="E1658" s="1" t="s">
        <v>26</v>
      </c>
      <c r="F1658" s="1">
        <v>53.0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1">
        <v>90.8</v>
      </c>
      <c r="T1658" s="1">
        <v>4921.2</v>
      </c>
      <c r="U1658" s="1">
        <v>0.0</v>
      </c>
      <c r="V1658" s="1">
        <v>0.0</v>
      </c>
      <c r="W1658" s="1" t="s">
        <v>26</v>
      </c>
    </row>
    <row r="1659" ht="15.75" customHeight="1">
      <c r="A1659" s="1" t="s">
        <v>1696</v>
      </c>
      <c r="B1659" s="1" t="s">
        <v>32</v>
      </c>
      <c r="C1659" s="1">
        <v>0.0</v>
      </c>
      <c r="D1659" s="1" t="s">
        <v>26</v>
      </c>
      <c r="E1659" s="1" t="s">
        <v>26</v>
      </c>
      <c r="F1659" s="1">
        <v>35.0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1">
        <v>25.6</v>
      </c>
      <c r="T1659" s="1">
        <v>901.25</v>
      </c>
      <c r="U1659" s="1">
        <v>0.0</v>
      </c>
      <c r="V1659" s="1">
        <v>0.0</v>
      </c>
      <c r="W1659" s="1" t="s">
        <v>26</v>
      </c>
    </row>
    <row r="1660" ht="15.75" customHeight="1">
      <c r="A1660" s="1" t="s">
        <v>1697</v>
      </c>
      <c r="B1660" s="1" t="s">
        <v>32</v>
      </c>
      <c r="C1660" s="1">
        <v>0.0</v>
      </c>
      <c r="D1660" s="1" t="s">
        <v>25</v>
      </c>
      <c r="E1660" s="1" t="s">
        <v>25</v>
      </c>
      <c r="F1660" s="1">
        <v>50.0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1">
        <v>105.95</v>
      </c>
      <c r="T1660" s="1">
        <v>5341.8</v>
      </c>
      <c r="U1660" s="1">
        <v>0.0</v>
      </c>
      <c r="V1660" s="1">
        <v>5.0</v>
      </c>
      <c r="W1660" s="1" t="s">
        <v>25</v>
      </c>
    </row>
    <row r="1661" ht="15.75" customHeight="1">
      <c r="A1661" s="1" t="s">
        <v>1698</v>
      </c>
      <c r="B1661" s="1" t="s">
        <v>32</v>
      </c>
      <c r="C1661" s="1">
        <v>0.0</v>
      </c>
      <c r="D1661" s="1" t="s">
        <v>25</v>
      </c>
      <c r="E1661" s="1" t="s">
        <v>25</v>
      </c>
      <c r="F1661" s="1">
        <v>68.0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1">
        <v>70.8</v>
      </c>
      <c r="T1661" s="1">
        <v>4859.95</v>
      </c>
      <c r="U1661" s="1">
        <v>0.0</v>
      </c>
      <c r="V1661" s="1">
        <v>0.0</v>
      </c>
      <c r="W1661" s="1" t="s">
        <v>26</v>
      </c>
    </row>
    <row r="1662" ht="15.75" customHeight="1">
      <c r="A1662" s="1" t="s">
        <v>1699</v>
      </c>
      <c r="B1662" s="1" t="s">
        <v>32</v>
      </c>
      <c r="C1662" s="1">
        <v>0.0</v>
      </c>
      <c r="D1662" s="1" t="s">
        <v>25</v>
      </c>
      <c r="E1662" s="1" t="s">
        <v>26</v>
      </c>
      <c r="F1662" s="1">
        <v>47.0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1">
        <v>25.4</v>
      </c>
      <c r="T1662" s="1">
        <v>1139.2</v>
      </c>
      <c r="U1662" s="1">
        <v>0.0</v>
      </c>
      <c r="V1662" s="1">
        <v>0.0</v>
      </c>
      <c r="W1662" s="1" t="s">
        <v>26</v>
      </c>
    </row>
    <row r="1663" ht="15.75" customHeight="1">
      <c r="A1663" s="1" t="s">
        <v>1700</v>
      </c>
      <c r="B1663" s="1" t="s">
        <v>24</v>
      </c>
      <c r="C1663" s="1">
        <v>1.0</v>
      </c>
      <c r="D1663" s="1" t="s">
        <v>25</v>
      </c>
      <c r="E1663" s="1" t="s">
        <v>26</v>
      </c>
      <c r="F1663" s="1">
        <v>65.0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1">
        <v>108.8</v>
      </c>
      <c r="T1663" s="1">
        <v>7082.45</v>
      </c>
      <c r="U1663" s="1">
        <v>0.0</v>
      </c>
      <c r="V1663" s="1">
        <v>0.0</v>
      </c>
      <c r="W1663" s="1" t="s">
        <v>26</v>
      </c>
    </row>
    <row r="1664" ht="15.75" customHeight="1">
      <c r="A1664" s="1" t="s">
        <v>1701</v>
      </c>
      <c r="B1664" s="1" t="s">
        <v>32</v>
      </c>
      <c r="C1664" s="1">
        <v>0.0</v>
      </c>
      <c r="D1664" s="1" t="s">
        <v>26</v>
      </c>
      <c r="E1664" s="1" t="s">
        <v>26</v>
      </c>
      <c r="F1664" s="1">
        <v>5.0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1">
        <v>69.75</v>
      </c>
      <c r="T1664" s="1">
        <v>324.6</v>
      </c>
      <c r="U1664" s="1">
        <v>0.0</v>
      </c>
      <c r="V1664" s="1">
        <v>0.0</v>
      </c>
      <c r="W1664" s="1" t="s">
        <v>25</v>
      </c>
    </row>
    <row r="1665" ht="15.75" customHeight="1">
      <c r="A1665" s="1" t="s">
        <v>1702</v>
      </c>
      <c r="B1665" s="1" t="s">
        <v>32</v>
      </c>
      <c r="C1665" s="1">
        <v>0.0</v>
      </c>
      <c r="D1665" s="1" t="s">
        <v>25</v>
      </c>
      <c r="E1665" s="1" t="s">
        <v>26</v>
      </c>
      <c r="F1665" s="1">
        <v>51.0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1">
        <v>94.65</v>
      </c>
      <c r="T1665" s="1">
        <v>4812.75</v>
      </c>
      <c r="U1665" s="1">
        <v>0.0</v>
      </c>
      <c r="V1665" s="1">
        <v>4.0</v>
      </c>
      <c r="W1665" s="1" t="s">
        <v>25</v>
      </c>
    </row>
    <row r="1666" ht="15.75" customHeight="1">
      <c r="A1666" s="1" t="s">
        <v>1703</v>
      </c>
      <c r="B1666" s="1" t="s">
        <v>24</v>
      </c>
      <c r="C1666" s="1">
        <v>0.0</v>
      </c>
      <c r="D1666" s="1" t="s">
        <v>26</v>
      </c>
      <c r="E1666" s="1" t="s">
        <v>26</v>
      </c>
      <c r="F1666" s="1">
        <v>46.0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1">
        <v>96.05</v>
      </c>
      <c r="T1666" s="1">
        <v>4399.5</v>
      </c>
      <c r="U1666" s="1">
        <v>0.0</v>
      </c>
      <c r="V1666" s="1">
        <v>4.0</v>
      </c>
      <c r="W1666" s="1" t="s">
        <v>25</v>
      </c>
    </row>
    <row r="1667" ht="15.75" customHeight="1">
      <c r="A1667" s="1" t="s">
        <v>1704</v>
      </c>
      <c r="B1667" s="1" t="s">
        <v>24</v>
      </c>
      <c r="C1667" s="1">
        <v>0.0</v>
      </c>
      <c r="D1667" s="1" t="s">
        <v>26</v>
      </c>
      <c r="E1667" s="1" t="s">
        <v>26</v>
      </c>
      <c r="F1667" s="1">
        <v>9.0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1">
        <v>76.85</v>
      </c>
      <c r="T1667" s="1">
        <v>663.55</v>
      </c>
      <c r="U1667" s="1">
        <v>0.0</v>
      </c>
      <c r="V1667" s="1">
        <v>0.0</v>
      </c>
      <c r="W1667" s="1" t="s">
        <v>26</v>
      </c>
    </row>
    <row r="1668" ht="15.75" customHeight="1">
      <c r="A1668" s="1" t="s">
        <v>1705</v>
      </c>
      <c r="B1668" s="1" t="s">
        <v>24</v>
      </c>
      <c r="C1668" s="1">
        <v>0.0</v>
      </c>
      <c r="D1668" s="1" t="s">
        <v>26</v>
      </c>
      <c r="E1668" s="1" t="s">
        <v>26</v>
      </c>
      <c r="F1668" s="1">
        <v>8.0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1">
        <v>20.25</v>
      </c>
      <c r="T1668" s="1">
        <v>174.65</v>
      </c>
      <c r="U1668" s="1">
        <v>0.0</v>
      </c>
      <c r="V1668" s="1">
        <v>0.0</v>
      </c>
      <c r="W1668" s="1" t="s">
        <v>26</v>
      </c>
    </row>
    <row r="1669" ht="15.75" customHeight="1">
      <c r="A1669" s="1" t="s">
        <v>1706</v>
      </c>
      <c r="B1669" s="1" t="s">
        <v>32</v>
      </c>
      <c r="C1669" s="1">
        <v>0.0</v>
      </c>
      <c r="D1669" s="1" t="s">
        <v>26</v>
      </c>
      <c r="E1669" s="1" t="s">
        <v>26</v>
      </c>
      <c r="F1669" s="1">
        <v>14.0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1">
        <v>24.8</v>
      </c>
      <c r="T1669" s="1">
        <v>321.7</v>
      </c>
      <c r="U1669" s="1">
        <v>2.0</v>
      </c>
      <c r="V1669" s="1">
        <v>0.0</v>
      </c>
      <c r="W1669" s="1" t="s">
        <v>26</v>
      </c>
    </row>
    <row r="1670" ht="15.75" customHeight="1">
      <c r="A1670" s="1" t="s">
        <v>1707</v>
      </c>
      <c r="B1670" s="1" t="s">
        <v>24</v>
      </c>
      <c r="C1670" s="1">
        <v>0.0</v>
      </c>
      <c r="D1670" s="1" t="s">
        <v>26</v>
      </c>
      <c r="E1670" s="1" t="s">
        <v>26</v>
      </c>
      <c r="F1670" s="1">
        <v>45.0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1">
        <v>115.65</v>
      </c>
      <c r="T1670" s="1">
        <v>5125.5</v>
      </c>
      <c r="U1670" s="1">
        <v>2.0</v>
      </c>
      <c r="V1670" s="1">
        <v>0.0</v>
      </c>
      <c r="W1670" s="1" t="s">
        <v>26</v>
      </c>
    </row>
    <row r="1671" ht="15.75" customHeight="1">
      <c r="A1671" s="1" t="s">
        <v>1708</v>
      </c>
      <c r="B1671" s="1" t="s">
        <v>24</v>
      </c>
      <c r="C1671" s="1">
        <v>0.0</v>
      </c>
      <c r="D1671" s="1" t="s">
        <v>26</v>
      </c>
      <c r="E1671" s="1" t="s">
        <v>26</v>
      </c>
      <c r="F1671" s="1">
        <v>8.0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1">
        <v>74.6</v>
      </c>
      <c r="T1671" s="1">
        <v>548.9</v>
      </c>
      <c r="U1671" s="1">
        <v>4.0</v>
      </c>
      <c r="V1671" s="1">
        <v>0.0</v>
      </c>
      <c r="W1671" s="1" t="s">
        <v>26</v>
      </c>
    </row>
    <row r="1672" ht="15.75" customHeight="1">
      <c r="A1672" s="1" t="s">
        <v>1709</v>
      </c>
      <c r="B1672" s="1" t="s">
        <v>32</v>
      </c>
      <c r="C1672" s="1">
        <v>1.0</v>
      </c>
      <c r="D1672" s="1" t="s">
        <v>26</v>
      </c>
      <c r="E1672" s="1" t="s">
        <v>25</v>
      </c>
      <c r="F1672" s="1">
        <v>1.0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1">
        <v>50.15</v>
      </c>
      <c r="T1672" s="1">
        <v>50.15</v>
      </c>
      <c r="U1672" s="1">
        <v>0.0</v>
      </c>
      <c r="V1672" s="1">
        <v>0.0</v>
      </c>
      <c r="W1672" s="1" t="s">
        <v>25</v>
      </c>
    </row>
    <row r="1673" ht="15.75" customHeight="1">
      <c r="A1673" s="1" t="s">
        <v>1710</v>
      </c>
      <c r="B1673" s="1" t="s">
        <v>32</v>
      </c>
      <c r="C1673" s="1">
        <v>0.0</v>
      </c>
      <c r="D1673" s="1" t="s">
        <v>25</v>
      </c>
      <c r="E1673" s="1" t="s">
        <v>25</v>
      </c>
      <c r="F1673" s="1">
        <v>66.0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1">
        <v>103.15</v>
      </c>
      <c r="T1673" s="1">
        <v>7031.3</v>
      </c>
      <c r="U1673" s="1">
        <v>4.0</v>
      </c>
      <c r="V1673" s="1">
        <v>0.0</v>
      </c>
      <c r="W1673" s="1" t="s">
        <v>26</v>
      </c>
    </row>
    <row r="1674" ht="15.75" customHeight="1">
      <c r="A1674" s="1" t="s">
        <v>1711</v>
      </c>
      <c r="B1674" s="1" t="s">
        <v>32</v>
      </c>
      <c r="C1674" s="1">
        <v>0.0</v>
      </c>
      <c r="D1674" s="1" t="s">
        <v>25</v>
      </c>
      <c r="E1674" s="1" t="s">
        <v>25</v>
      </c>
      <c r="F1674" s="1">
        <v>72.0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1">
        <v>72.1</v>
      </c>
      <c r="T1674" s="1">
        <v>5016.65</v>
      </c>
      <c r="U1674" s="1">
        <v>3.0</v>
      </c>
      <c r="V1674" s="1">
        <v>0.0</v>
      </c>
      <c r="W1674" s="1" t="s">
        <v>26</v>
      </c>
    </row>
    <row r="1675" ht="15.75" customHeight="1">
      <c r="A1675" s="1" t="s">
        <v>1712</v>
      </c>
      <c r="B1675" s="1" t="s">
        <v>24</v>
      </c>
      <c r="C1675" s="1">
        <v>0.0</v>
      </c>
      <c r="D1675" s="1" t="s">
        <v>25</v>
      </c>
      <c r="E1675" s="1" t="s">
        <v>26</v>
      </c>
      <c r="F1675" s="1">
        <v>41.0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1">
        <v>113.6</v>
      </c>
      <c r="T1675" s="1">
        <v>4594.95</v>
      </c>
      <c r="U1675" s="1">
        <v>0.0</v>
      </c>
      <c r="V1675" s="1">
        <v>6.0</v>
      </c>
      <c r="W1675" s="1" t="s">
        <v>25</v>
      </c>
    </row>
    <row r="1676" ht="15.75" customHeight="1">
      <c r="A1676" s="1" t="s">
        <v>1713</v>
      </c>
      <c r="B1676" s="1" t="s">
        <v>24</v>
      </c>
      <c r="C1676" s="1">
        <v>0.0</v>
      </c>
      <c r="D1676" s="1" t="s">
        <v>25</v>
      </c>
      <c r="E1676" s="1" t="s">
        <v>25</v>
      </c>
      <c r="F1676" s="1">
        <v>23.0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1">
        <v>25.1</v>
      </c>
      <c r="T1676" s="1">
        <v>611.45</v>
      </c>
      <c r="U1676" s="1">
        <v>0.0</v>
      </c>
      <c r="V1676" s="1">
        <v>1.0</v>
      </c>
      <c r="W1676" s="1" t="s">
        <v>26</v>
      </c>
    </row>
    <row r="1677" ht="15.75" customHeight="1">
      <c r="A1677" s="1" t="s">
        <v>1714</v>
      </c>
      <c r="B1677" s="1" t="s">
        <v>24</v>
      </c>
      <c r="C1677" s="1">
        <v>0.0</v>
      </c>
      <c r="D1677" s="1" t="s">
        <v>26</v>
      </c>
      <c r="E1677" s="1" t="s">
        <v>26</v>
      </c>
      <c r="F1677" s="1">
        <v>29.0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1">
        <v>78.9</v>
      </c>
      <c r="T1677" s="1">
        <v>2384.15</v>
      </c>
      <c r="U1677" s="1">
        <v>0.0</v>
      </c>
      <c r="V1677" s="1">
        <v>0.0</v>
      </c>
      <c r="W1677" s="1" t="s">
        <v>25</v>
      </c>
    </row>
    <row r="1678" ht="15.75" customHeight="1">
      <c r="A1678" s="1" t="s">
        <v>1715</v>
      </c>
      <c r="B1678" s="1" t="s">
        <v>24</v>
      </c>
      <c r="C1678" s="1">
        <v>0.0</v>
      </c>
      <c r="D1678" s="1" t="s">
        <v>26</v>
      </c>
      <c r="E1678" s="1" t="s">
        <v>26</v>
      </c>
      <c r="F1678" s="1">
        <v>4.0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1">
        <v>80.15</v>
      </c>
      <c r="T1678" s="1">
        <v>319.85</v>
      </c>
      <c r="U1678" s="1">
        <v>0.0</v>
      </c>
      <c r="V1678" s="1">
        <v>0.0</v>
      </c>
      <c r="W1678" s="1" t="s">
        <v>26</v>
      </c>
    </row>
    <row r="1679" ht="15.75" customHeight="1">
      <c r="A1679" s="1" t="s">
        <v>1716</v>
      </c>
      <c r="B1679" s="1" t="s">
        <v>32</v>
      </c>
      <c r="C1679" s="1">
        <v>0.0</v>
      </c>
      <c r="D1679" s="1" t="s">
        <v>25</v>
      </c>
      <c r="E1679" s="1" t="s">
        <v>25</v>
      </c>
      <c r="F1679" s="1">
        <v>6.0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1">
        <v>25.4</v>
      </c>
      <c r="T1679" s="1">
        <v>153.3</v>
      </c>
      <c r="U1679" s="1">
        <v>0.0</v>
      </c>
      <c r="V1679" s="1">
        <v>0.0</v>
      </c>
      <c r="W1679" s="1" t="s">
        <v>26</v>
      </c>
    </row>
    <row r="1680" ht="15.75" customHeight="1">
      <c r="A1680" s="1" t="s">
        <v>1717</v>
      </c>
      <c r="B1680" s="1" t="s">
        <v>24</v>
      </c>
      <c r="C1680" s="1">
        <v>1.0</v>
      </c>
      <c r="D1680" s="1" t="s">
        <v>25</v>
      </c>
      <c r="E1680" s="1" t="s">
        <v>26</v>
      </c>
      <c r="F1680" s="1">
        <v>67.0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1">
        <v>105.4</v>
      </c>
      <c r="T1680" s="1">
        <v>7035.6</v>
      </c>
      <c r="U1680" s="1">
        <v>4.0</v>
      </c>
      <c r="V1680" s="1">
        <v>0.0</v>
      </c>
      <c r="W1680" s="1" t="s">
        <v>26</v>
      </c>
    </row>
    <row r="1681" ht="15.75" customHeight="1">
      <c r="A1681" s="1" t="s">
        <v>1718</v>
      </c>
      <c r="B1681" s="1" t="s">
        <v>32</v>
      </c>
      <c r="C1681" s="1">
        <v>1.0</v>
      </c>
      <c r="D1681" s="1" t="s">
        <v>26</v>
      </c>
      <c r="E1681" s="1" t="s">
        <v>25</v>
      </c>
      <c r="F1681" s="1">
        <v>7.0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1">
        <v>45.75</v>
      </c>
      <c r="T1681" s="1">
        <v>344.2</v>
      </c>
      <c r="U1681" s="1">
        <v>5.0</v>
      </c>
      <c r="V1681" s="1">
        <v>0.0</v>
      </c>
      <c r="W1681" s="1" t="s">
        <v>26</v>
      </c>
    </row>
    <row r="1682" ht="15.75" customHeight="1">
      <c r="A1682" s="1" t="s">
        <v>1719</v>
      </c>
      <c r="B1682" s="1" t="s">
        <v>32</v>
      </c>
      <c r="C1682" s="1">
        <v>0.0</v>
      </c>
      <c r="D1682" s="1" t="s">
        <v>25</v>
      </c>
      <c r="E1682" s="1" t="s">
        <v>25</v>
      </c>
      <c r="F1682" s="1">
        <v>56.0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1">
        <v>24.45</v>
      </c>
      <c r="T1682" s="1">
        <v>1431.65</v>
      </c>
      <c r="U1682" s="1">
        <v>0.0</v>
      </c>
      <c r="V1682" s="1">
        <v>0.0</v>
      </c>
      <c r="W1682" s="1" t="s">
        <v>26</v>
      </c>
    </row>
    <row r="1683" ht="15.75" customHeight="1">
      <c r="A1683" s="1" t="s">
        <v>1720</v>
      </c>
      <c r="B1683" s="1" t="s">
        <v>24</v>
      </c>
      <c r="C1683" s="1">
        <v>0.0</v>
      </c>
      <c r="D1683" s="1" t="s">
        <v>25</v>
      </c>
      <c r="E1683" s="1" t="s">
        <v>26</v>
      </c>
      <c r="F1683" s="1">
        <v>72.0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1">
        <v>25.0</v>
      </c>
      <c r="T1683" s="1">
        <v>1849.2</v>
      </c>
      <c r="U1683" s="1">
        <v>0.0</v>
      </c>
      <c r="V1683" s="1">
        <v>0.0</v>
      </c>
      <c r="W1683" s="1" t="s">
        <v>26</v>
      </c>
    </row>
    <row r="1684" ht="15.75" customHeight="1">
      <c r="A1684" s="1" t="s">
        <v>1721</v>
      </c>
      <c r="B1684" s="1" t="s">
        <v>32</v>
      </c>
      <c r="C1684" s="1">
        <v>0.0</v>
      </c>
      <c r="D1684" s="1" t="s">
        <v>25</v>
      </c>
      <c r="E1684" s="1" t="s">
        <v>26</v>
      </c>
      <c r="F1684" s="1">
        <v>72.0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1">
        <v>85.25</v>
      </c>
      <c r="T1684" s="1">
        <v>6083.1</v>
      </c>
      <c r="U1684" s="1">
        <v>0.0</v>
      </c>
      <c r="V1684" s="1">
        <v>0.0</v>
      </c>
      <c r="W1684" s="1" t="s">
        <v>26</v>
      </c>
    </row>
    <row r="1685" ht="15.75" customHeight="1">
      <c r="A1685" s="1" t="s">
        <v>1722</v>
      </c>
      <c r="B1685" s="1" t="s">
        <v>32</v>
      </c>
      <c r="C1685" s="1">
        <v>0.0</v>
      </c>
      <c r="D1685" s="1" t="s">
        <v>25</v>
      </c>
      <c r="E1685" s="1" t="s">
        <v>25</v>
      </c>
      <c r="F1685" s="1">
        <v>23.0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1">
        <v>19.6</v>
      </c>
      <c r="T1685" s="1">
        <v>426.65</v>
      </c>
      <c r="U1685" s="1">
        <v>0.0</v>
      </c>
      <c r="V1685" s="1">
        <v>0.0</v>
      </c>
      <c r="W1685" s="1" t="s">
        <v>26</v>
      </c>
    </row>
    <row r="1686" ht="15.75" customHeight="1">
      <c r="A1686" s="1" t="s">
        <v>1723</v>
      </c>
      <c r="B1686" s="1" t="s">
        <v>24</v>
      </c>
      <c r="C1686" s="1">
        <v>0.0</v>
      </c>
      <c r="D1686" s="1" t="s">
        <v>26</v>
      </c>
      <c r="E1686" s="1" t="s">
        <v>25</v>
      </c>
      <c r="F1686" s="1">
        <v>35.0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1">
        <v>50.15</v>
      </c>
      <c r="T1686" s="1">
        <v>1655.35</v>
      </c>
      <c r="U1686" s="1">
        <v>2.0</v>
      </c>
      <c r="V1686" s="1">
        <v>0.0</v>
      </c>
      <c r="W1686" s="1" t="s">
        <v>26</v>
      </c>
    </row>
    <row r="1687" ht="15.75" customHeight="1">
      <c r="A1687" s="1" t="s">
        <v>1724</v>
      </c>
      <c r="B1687" s="1" t="s">
        <v>32</v>
      </c>
      <c r="C1687" s="1">
        <v>1.0</v>
      </c>
      <c r="D1687" s="1" t="s">
        <v>25</v>
      </c>
      <c r="E1687" s="1" t="s">
        <v>26</v>
      </c>
      <c r="F1687" s="1">
        <v>27.0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1">
        <v>70.55</v>
      </c>
      <c r="T1687" s="1">
        <v>1943.9</v>
      </c>
      <c r="U1687" s="1">
        <v>0.0</v>
      </c>
      <c r="V1687" s="1">
        <v>0.0</v>
      </c>
      <c r="W1687" s="1" t="s">
        <v>26</v>
      </c>
    </row>
    <row r="1688" ht="15.75" customHeight="1">
      <c r="A1688" s="1" t="s">
        <v>1725</v>
      </c>
      <c r="B1688" s="1" t="s">
        <v>24</v>
      </c>
      <c r="C1688" s="1">
        <v>0.0</v>
      </c>
      <c r="D1688" s="1" t="s">
        <v>25</v>
      </c>
      <c r="E1688" s="1" t="s">
        <v>25</v>
      </c>
      <c r="F1688" s="1">
        <v>26.0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1">
        <v>60.05</v>
      </c>
      <c r="T1688" s="1">
        <v>1616.15</v>
      </c>
      <c r="U1688" s="1">
        <v>0.0</v>
      </c>
      <c r="V1688" s="1">
        <v>0.0</v>
      </c>
      <c r="W1688" s="1" t="s">
        <v>25</v>
      </c>
    </row>
    <row r="1689" ht="15.75" customHeight="1">
      <c r="A1689" s="1" t="s">
        <v>1726</v>
      </c>
      <c r="B1689" s="1" t="s">
        <v>32</v>
      </c>
      <c r="C1689" s="1">
        <v>0.0</v>
      </c>
      <c r="D1689" s="1" t="s">
        <v>25</v>
      </c>
      <c r="E1689" s="1" t="s">
        <v>25</v>
      </c>
      <c r="F1689" s="1">
        <v>12.0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1">
        <v>26.4</v>
      </c>
      <c r="T1689" s="1">
        <v>314.95</v>
      </c>
      <c r="U1689" s="1">
        <v>0.0</v>
      </c>
      <c r="V1689" s="1">
        <v>0.0</v>
      </c>
      <c r="W1689" s="1" t="s">
        <v>26</v>
      </c>
    </row>
    <row r="1690" ht="15.75" customHeight="1">
      <c r="A1690" s="1" t="s">
        <v>1727</v>
      </c>
      <c r="B1690" s="1" t="s">
        <v>24</v>
      </c>
      <c r="C1690" s="1">
        <v>0.0</v>
      </c>
      <c r="D1690" s="1" t="s">
        <v>26</v>
      </c>
      <c r="E1690" s="1" t="s">
        <v>26</v>
      </c>
      <c r="F1690" s="1">
        <v>40.0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1">
        <v>20.15</v>
      </c>
      <c r="T1690" s="1">
        <v>804.85</v>
      </c>
      <c r="U1690" s="1">
        <v>0.0</v>
      </c>
      <c r="V1690" s="1">
        <v>0.0</v>
      </c>
      <c r="W1690" s="1" t="s">
        <v>26</v>
      </c>
    </row>
    <row r="1691" ht="15.75" customHeight="1">
      <c r="A1691" s="1" t="s">
        <v>1728</v>
      </c>
      <c r="B1691" s="1" t="s">
        <v>32</v>
      </c>
      <c r="C1691" s="1">
        <v>0.0</v>
      </c>
      <c r="D1691" s="1" t="s">
        <v>25</v>
      </c>
      <c r="E1691" s="1" t="s">
        <v>25</v>
      </c>
      <c r="F1691" s="1">
        <v>7.0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1">
        <v>58.85</v>
      </c>
      <c r="T1691" s="1">
        <v>465.7</v>
      </c>
      <c r="U1691" s="1">
        <v>0.0</v>
      </c>
      <c r="V1691" s="1">
        <v>0.0</v>
      </c>
      <c r="W1691" s="1" t="s">
        <v>26</v>
      </c>
    </row>
    <row r="1692" ht="15.75" customHeight="1">
      <c r="A1692" s="1" t="s">
        <v>1729</v>
      </c>
      <c r="B1692" s="1" t="s">
        <v>32</v>
      </c>
      <c r="C1692" s="1">
        <v>0.0</v>
      </c>
      <c r="D1692" s="1" t="s">
        <v>25</v>
      </c>
      <c r="E1692" s="1" t="s">
        <v>25</v>
      </c>
      <c r="F1692" s="1">
        <v>70.0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1">
        <v>97.55</v>
      </c>
      <c r="T1692" s="1">
        <v>6669.05</v>
      </c>
      <c r="U1692" s="1">
        <v>0.0</v>
      </c>
      <c r="V1692" s="1">
        <v>0.0</v>
      </c>
      <c r="W1692" s="1" t="s">
        <v>26</v>
      </c>
    </row>
    <row r="1693" ht="15.75" customHeight="1">
      <c r="A1693" s="1" t="s">
        <v>1730</v>
      </c>
      <c r="B1693" s="1" t="s">
        <v>32</v>
      </c>
      <c r="C1693" s="1">
        <v>0.0</v>
      </c>
      <c r="D1693" s="1" t="s">
        <v>25</v>
      </c>
      <c r="E1693" s="1" t="s">
        <v>25</v>
      </c>
      <c r="F1693" s="1">
        <v>60.0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1">
        <v>19.65</v>
      </c>
      <c r="T1693" s="1">
        <v>1161.75</v>
      </c>
      <c r="U1693" s="1">
        <v>0.0</v>
      </c>
      <c r="V1693" s="1">
        <v>3.0</v>
      </c>
      <c r="W1693" s="1" t="s">
        <v>26</v>
      </c>
    </row>
    <row r="1694" ht="15.75" customHeight="1">
      <c r="A1694" s="1" t="s">
        <v>1731</v>
      </c>
      <c r="B1694" s="1" t="s">
        <v>32</v>
      </c>
      <c r="C1694" s="1">
        <v>0.0</v>
      </c>
      <c r="D1694" s="1" t="s">
        <v>25</v>
      </c>
      <c r="E1694" s="1" t="s">
        <v>25</v>
      </c>
      <c r="F1694" s="1">
        <v>39.0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1">
        <v>25.25</v>
      </c>
      <c r="T1694" s="1">
        <v>947.75</v>
      </c>
      <c r="U1694" s="1">
        <v>0.0</v>
      </c>
      <c r="V1694" s="1">
        <v>0.0</v>
      </c>
      <c r="W1694" s="1" t="s">
        <v>26</v>
      </c>
    </row>
    <row r="1695" ht="15.75" customHeight="1">
      <c r="A1695" s="1" t="s">
        <v>1732</v>
      </c>
      <c r="B1695" s="1" t="s">
        <v>32</v>
      </c>
      <c r="C1695" s="1">
        <v>0.0</v>
      </c>
      <c r="D1695" s="1" t="s">
        <v>25</v>
      </c>
      <c r="E1695" s="1" t="s">
        <v>26</v>
      </c>
      <c r="F1695" s="1">
        <v>72.0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1">
        <v>114.45</v>
      </c>
      <c r="T1695" s="1">
        <v>8375.05</v>
      </c>
      <c r="U1695" s="1">
        <v>0.0</v>
      </c>
      <c r="V1695" s="1">
        <v>0.0</v>
      </c>
      <c r="W1695" s="1" t="s">
        <v>26</v>
      </c>
    </row>
    <row r="1696" ht="15.75" customHeight="1">
      <c r="A1696" s="1" t="s">
        <v>1733</v>
      </c>
      <c r="B1696" s="1" t="s">
        <v>24</v>
      </c>
      <c r="C1696" s="1">
        <v>0.0</v>
      </c>
      <c r="D1696" s="1" t="s">
        <v>26</v>
      </c>
      <c r="E1696" s="1" t="s">
        <v>26</v>
      </c>
      <c r="F1696" s="1">
        <v>1.0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1">
        <v>34.7</v>
      </c>
      <c r="T1696" s="1">
        <v>34.7</v>
      </c>
      <c r="U1696" s="1">
        <v>0.0</v>
      </c>
      <c r="V1696" s="1">
        <v>0.0</v>
      </c>
      <c r="W1696" s="1" t="s">
        <v>25</v>
      </c>
    </row>
    <row r="1697" ht="15.75" customHeight="1">
      <c r="A1697" s="1" t="s">
        <v>1734</v>
      </c>
      <c r="B1697" s="1" t="s">
        <v>32</v>
      </c>
      <c r="C1697" s="1">
        <v>0.0</v>
      </c>
      <c r="D1697" s="1" t="s">
        <v>25</v>
      </c>
      <c r="E1697" s="1" t="s">
        <v>25</v>
      </c>
      <c r="F1697" s="1">
        <v>54.0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1">
        <v>70.7</v>
      </c>
      <c r="T1697" s="1">
        <v>3770.0</v>
      </c>
      <c r="U1697" s="1">
        <v>0.0</v>
      </c>
      <c r="V1697" s="1">
        <v>0.0</v>
      </c>
      <c r="W1697" s="1" t="s">
        <v>26</v>
      </c>
    </row>
    <row r="1698" ht="15.75" customHeight="1">
      <c r="A1698" s="1" t="s">
        <v>1735</v>
      </c>
      <c r="B1698" s="1" t="s">
        <v>32</v>
      </c>
      <c r="C1698" s="1">
        <v>0.0</v>
      </c>
      <c r="D1698" s="1" t="s">
        <v>26</v>
      </c>
      <c r="E1698" s="1" t="s">
        <v>26</v>
      </c>
      <c r="F1698" s="1">
        <v>3.0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1">
        <v>85.3</v>
      </c>
      <c r="T1698" s="1">
        <v>264.8</v>
      </c>
      <c r="U1698" s="1">
        <v>0.0</v>
      </c>
      <c r="V1698" s="1">
        <v>0.0</v>
      </c>
      <c r="W1698" s="1" t="s">
        <v>25</v>
      </c>
    </row>
    <row r="1699" ht="15.75" customHeight="1">
      <c r="A1699" s="1" t="s">
        <v>1736</v>
      </c>
      <c r="B1699" s="1" t="s">
        <v>24</v>
      </c>
      <c r="C1699" s="1">
        <v>0.0</v>
      </c>
      <c r="D1699" s="1" t="s">
        <v>25</v>
      </c>
      <c r="E1699" s="1" t="s">
        <v>25</v>
      </c>
      <c r="F1699" s="1">
        <v>63.0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1">
        <v>75.55</v>
      </c>
      <c r="T1699" s="1">
        <v>4707.85</v>
      </c>
      <c r="U1699" s="1">
        <v>0.0</v>
      </c>
      <c r="V1699" s="1">
        <v>0.0</v>
      </c>
      <c r="W1699" s="1" t="s">
        <v>26</v>
      </c>
    </row>
    <row r="1700" ht="15.75" customHeight="1">
      <c r="A1700" s="1" t="s">
        <v>1737</v>
      </c>
      <c r="B1700" s="1" t="s">
        <v>32</v>
      </c>
      <c r="C1700" s="1">
        <v>0.0</v>
      </c>
      <c r="D1700" s="1" t="s">
        <v>25</v>
      </c>
      <c r="E1700" s="1" t="s">
        <v>25</v>
      </c>
      <c r="F1700" s="1">
        <v>71.0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1">
        <v>84.8</v>
      </c>
      <c r="T1700" s="1">
        <v>6152.4</v>
      </c>
      <c r="U1700" s="1">
        <v>0.0</v>
      </c>
      <c r="V1700" s="1">
        <v>0.0</v>
      </c>
      <c r="W1700" s="1" t="s">
        <v>26</v>
      </c>
    </row>
    <row r="1701" ht="15.75" customHeight="1">
      <c r="A1701" s="1" t="s">
        <v>1738</v>
      </c>
      <c r="B1701" s="1" t="s">
        <v>24</v>
      </c>
      <c r="C1701" s="1">
        <v>0.0</v>
      </c>
      <c r="D1701" s="1" t="s">
        <v>26</v>
      </c>
      <c r="E1701" s="1" t="s">
        <v>26</v>
      </c>
      <c r="F1701" s="1">
        <v>42.0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1">
        <v>20.65</v>
      </c>
      <c r="T1701" s="1">
        <v>958.1</v>
      </c>
      <c r="U1701" s="1">
        <v>0.0</v>
      </c>
      <c r="V1701" s="1">
        <v>0.0</v>
      </c>
      <c r="W1701" s="1" t="s">
        <v>26</v>
      </c>
    </row>
    <row r="1702" ht="15.75" customHeight="1">
      <c r="A1702" s="1" t="s">
        <v>1739</v>
      </c>
      <c r="B1702" s="1" t="s">
        <v>32</v>
      </c>
      <c r="C1702" s="1">
        <v>0.0</v>
      </c>
      <c r="D1702" s="1" t="s">
        <v>26</v>
      </c>
      <c r="E1702" s="1" t="s">
        <v>26</v>
      </c>
      <c r="F1702" s="1">
        <v>47.0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1">
        <v>20.45</v>
      </c>
      <c r="T1702" s="1">
        <v>943.0</v>
      </c>
      <c r="U1702" s="1">
        <v>0.0</v>
      </c>
      <c r="V1702" s="1">
        <v>0.0</v>
      </c>
      <c r="W1702" s="1" t="s">
        <v>26</v>
      </c>
    </row>
    <row r="1703" ht="15.75" customHeight="1">
      <c r="A1703" s="1" t="s">
        <v>1740</v>
      </c>
      <c r="B1703" s="1" t="s">
        <v>24</v>
      </c>
      <c r="C1703" s="1">
        <v>0.0</v>
      </c>
      <c r="D1703" s="1" t="s">
        <v>25</v>
      </c>
      <c r="E1703" s="1" t="s">
        <v>25</v>
      </c>
      <c r="F1703" s="1">
        <v>66.0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1">
        <v>102.45</v>
      </c>
      <c r="T1703" s="1">
        <v>6615.15</v>
      </c>
      <c r="U1703" s="1">
        <v>0.0</v>
      </c>
      <c r="V1703" s="1">
        <v>6.0</v>
      </c>
      <c r="W1703" s="1" t="s">
        <v>25</v>
      </c>
    </row>
    <row r="1704" ht="15.75" customHeight="1">
      <c r="A1704" s="1" t="s">
        <v>1741</v>
      </c>
      <c r="B1704" s="1" t="s">
        <v>24</v>
      </c>
      <c r="C1704" s="1">
        <v>0.0</v>
      </c>
      <c r="D1704" s="1" t="s">
        <v>25</v>
      </c>
      <c r="E1704" s="1" t="s">
        <v>26</v>
      </c>
      <c r="F1704" s="1">
        <v>21.0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1">
        <v>104.4</v>
      </c>
      <c r="T1704" s="1">
        <v>2200.25</v>
      </c>
      <c r="U1704" s="1">
        <v>0.0</v>
      </c>
      <c r="V1704" s="1">
        <v>2.0</v>
      </c>
      <c r="W1704" s="1" t="s">
        <v>25</v>
      </c>
    </row>
    <row r="1705" ht="15.75" customHeight="1">
      <c r="A1705" s="1" t="s">
        <v>1742</v>
      </c>
      <c r="B1705" s="1" t="s">
        <v>32</v>
      </c>
      <c r="C1705" s="1">
        <v>0.0</v>
      </c>
      <c r="D1705" s="1" t="s">
        <v>26</v>
      </c>
      <c r="E1705" s="1" t="s">
        <v>26</v>
      </c>
      <c r="F1705" s="1">
        <v>11.0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1">
        <v>35.65</v>
      </c>
      <c r="T1705" s="1">
        <v>425.1</v>
      </c>
      <c r="U1705" s="1">
        <v>0.0</v>
      </c>
      <c r="V1705" s="1">
        <v>0.0</v>
      </c>
      <c r="W1705" s="1" t="s">
        <v>26</v>
      </c>
    </row>
    <row r="1706" ht="15.75" customHeight="1">
      <c r="A1706" s="1" t="s">
        <v>1743</v>
      </c>
      <c r="B1706" s="1" t="s">
        <v>32</v>
      </c>
      <c r="C1706" s="1">
        <v>0.0</v>
      </c>
      <c r="D1706" s="1" t="s">
        <v>26</v>
      </c>
      <c r="E1706" s="1" t="s">
        <v>25</v>
      </c>
      <c r="F1706" s="1">
        <v>1.0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1">
        <v>99.75</v>
      </c>
      <c r="T1706" s="1">
        <v>99.75</v>
      </c>
      <c r="U1706" s="1">
        <v>0.0</v>
      </c>
      <c r="V1706" s="1">
        <v>1.0</v>
      </c>
      <c r="W1706" s="1" t="s">
        <v>25</v>
      </c>
    </row>
    <row r="1707" ht="15.75" customHeight="1">
      <c r="A1707" s="1" t="s">
        <v>1744</v>
      </c>
      <c r="B1707" s="1" t="s">
        <v>24</v>
      </c>
      <c r="C1707" s="1">
        <v>1.0</v>
      </c>
      <c r="D1707" s="1" t="s">
        <v>25</v>
      </c>
      <c r="E1707" s="1" t="s">
        <v>26</v>
      </c>
      <c r="F1707" s="1">
        <v>55.0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1">
        <v>90.45</v>
      </c>
      <c r="T1707" s="1">
        <v>5044.8</v>
      </c>
      <c r="U1707" s="1">
        <v>0.0</v>
      </c>
      <c r="V1707" s="1">
        <v>0.0</v>
      </c>
      <c r="W1707" s="1" t="s">
        <v>26</v>
      </c>
    </row>
    <row r="1708" ht="15.75" customHeight="1">
      <c r="A1708" s="1" t="s">
        <v>1745</v>
      </c>
      <c r="B1708" s="1" t="s">
        <v>32</v>
      </c>
      <c r="C1708" s="1">
        <v>0.0</v>
      </c>
      <c r="D1708" s="1" t="s">
        <v>26</v>
      </c>
      <c r="E1708" s="1" t="s">
        <v>26</v>
      </c>
      <c r="F1708" s="1">
        <v>69.0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1">
        <v>97.65</v>
      </c>
      <c r="T1708" s="1">
        <v>6743.55</v>
      </c>
      <c r="U1708" s="1">
        <v>0.0</v>
      </c>
      <c r="V1708" s="1">
        <v>0.0</v>
      </c>
      <c r="W1708" s="1" t="s">
        <v>26</v>
      </c>
    </row>
    <row r="1709" ht="15.75" customHeight="1">
      <c r="A1709" s="1" t="s">
        <v>1746</v>
      </c>
      <c r="B1709" s="1" t="s">
        <v>24</v>
      </c>
      <c r="C1709" s="1">
        <v>1.0</v>
      </c>
      <c r="D1709" s="1" t="s">
        <v>26</v>
      </c>
      <c r="E1709" s="1" t="s">
        <v>26</v>
      </c>
      <c r="F1709" s="1">
        <v>3.0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1">
        <v>73.85</v>
      </c>
      <c r="T1709" s="1">
        <v>196.4</v>
      </c>
      <c r="U1709" s="1">
        <v>0.0</v>
      </c>
      <c r="V1709" s="1">
        <v>0.0</v>
      </c>
      <c r="W1709" s="1" t="s">
        <v>26</v>
      </c>
    </row>
    <row r="1710" ht="15.75" customHeight="1">
      <c r="A1710" s="1" t="s">
        <v>1747</v>
      </c>
      <c r="B1710" s="1" t="s">
        <v>32</v>
      </c>
      <c r="C1710" s="1">
        <v>0.0</v>
      </c>
      <c r="D1710" s="1" t="s">
        <v>26</v>
      </c>
      <c r="E1710" s="1" t="s">
        <v>26</v>
      </c>
      <c r="F1710" s="1">
        <v>4.0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1">
        <v>74.4</v>
      </c>
      <c r="T1710" s="1">
        <v>299.7</v>
      </c>
      <c r="U1710" s="1">
        <v>5.0</v>
      </c>
      <c r="V1710" s="1">
        <v>0.0</v>
      </c>
      <c r="W1710" s="1" t="s">
        <v>25</v>
      </c>
    </row>
    <row r="1711" ht="15.75" customHeight="1">
      <c r="A1711" s="1" t="s">
        <v>1748</v>
      </c>
      <c r="B1711" s="1" t="s">
        <v>32</v>
      </c>
      <c r="C1711" s="1">
        <v>1.0</v>
      </c>
      <c r="D1711" s="1" t="s">
        <v>26</v>
      </c>
      <c r="E1711" s="1" t="s">
        <v>26</v>
      </c>
      <c r="F1711" s="1">
        <v>30.0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1">
        <v>69.1</v>
      </c>
      <c r="T1711" s="1">
        <v>2093.9</v>
      </c>
      <c r="U1711" s="1">
        <v>0.0</v>
      </c>
      <c r="V1711" s="1">
        <v>0.0</v>
      </c>
      <c r="W1711" s="1" t="s">
        <v>26</v>
      </c>
    </row>
    <row r="1712" ht="15.75" customHeight="1">
      <c r="A1712" s="1" t="s">
        <v>1749</v>
      </c>
      <c r="B1712" s="1" t="s">
        <v>24</v>
      </c>
      <c r="C1712" s="1">
        <v>0.0</v>
      </c>
      <c r="D1712" s="1" t="s">
        <v>26</v>
      </c>
      <c r="E1712" s="1" t="s">
        <v>26</v>
      </c>
      <c r="F1712" s="1">
        <v>5.0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1">
        <v>82.75</v>
      </c>
      <c r="T1712" s="1">
        <v>417.75</v>
      </c>
      <c r="U1712" s="1">
        <v>0.0</v>
      </c>
      <c r="V1712" s="1">
        <v>0.0</v>
      </c>
      <c r="W1712" s="1" t="s">
        <v>26</v>
      </c>
    </row>
    <row r="1713" ht="15.75" customHeight="1">
      <c r="A1713" s="1" t="s">
        <v>1750</v>
      </c>
      <c r="B1713" s="1" t="s">
        <v>24</v>
      </c>
      <c r="C1713" s="1">
        <v>0.0</v>
      </c>
      <c r="D1713" s="1" t="s">
        <v>25</v>
      </c>
      <c r="E1713" s="1" t="s">
        <v>26</v>
      </c>
      <c r="F1713" s="1">
        <v>71.0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1">
        <v>24.4</v>
      </c>
      <c r="T1713" s="1">
        <v>1725.4</v>
      </c>
      <c r="U1713" s="1">
        <v>0.0</v>
      </c>
      <c r="V1713" s="1">
        <v>0.0</v>
      </c>
      <c r="W1713" s="1" t="s">
        <v>26</v>
      </c>
    </row>
    <row r="1714" ht="15.75" customHeight="1">
      <c r="A1714" s="1" t="s">
        <v>1751</v>
      </c>
      <c r="B1714" s="1" t="s">
        <v>24</v>
      </c>
      <c r="C1714" s="1">
        <v>0.0</v>
      </c>
      <c r="D1714" s="1" t="s">
        <v>26</v>
      </c>
      <c r="E1714" s="1" t="s">
        <v>26</v>
      </c>
      <c r="F1714" s="1">
        <v>29.0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1">
        <v>55.25</v>
      </c>
      <c r="T1714" s="1">
        <v>1620.2</v>
      </c>
      <c r="U1714" s="1">
        <v>0.0</v>
      </c>
      <c r="V1714" s="1">
        <v>0.0</v>
      </c>
      <c r="W1714" s="1" t="s">
        <v>26</v>
      </c>
    </row>
    <row r="1715" ht="15.75" customHeight="1">
      <c r="A1715" s="1" t="s">
        <v>1752</v>
      </c>
      <c r="B1715" s="1" t="s">
        <v>32</v>
      </c>
      <c r="C1715" s="1">
        <v>0.0</v>
      </c>
      <c r="D1715" s="1" t="s">
        <v>25</v>
      </c>
      <c r="E1715" s="1" t="s">
        <v>26</v>
      </c>
      <c r="F1715" s="1">
        <v>52.0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1">
        <v>61.35</v>
      </c>
      <c r="T1715" s="1">
        <v>3169.55</v>
      </c>
      <c r="U1715" s="1">
        <v>0.0</v>
      </c>
      <c r="V1715" s="1">
        <v>0.0</v>
      </c>
      <c r="W1715" s="1" t="s">
        <v>26</v>
      </c>
    </row>
    <row r="1716" ht="15.75" customHeight="1">
      <c r="A1716" s="1" t="s">
        <v>1753</v>
      </c>
      <c r="B1716" s="1" t="s">
        <v>32</v>
      </c>
      <c r="C1716" s="1">
        <v>0.0</v>
      </c>
      <c r="D1716" s="1" t="s">
        <v>26</v>
      </c>
      <c r="E1716" s="1" t="s">
        <v>26</v>
      </c>
      <c r="F1716" s="1">
        <v>68.0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1">
        <v>76.75</v>
      </c>
      <c r="T1716" s="1">
        <v>5233.25</v>
      </c>
      <c r="U1716" s="1">
        <v>0.0</v>
      </c>
      <c r="V1716" s="1">
        <v>0.0</v>
      </c>
      <c r="W1716" s="1" t="s">
        <v>26</v>
      </c>
    </row>
    <row r="1717" ht="15.75" customHeight="1">
      <c r="A1717" s="1" t="s">
        <v>1754</v>
      </c>
      <c r="B1717" s="1" t="s">
        <v>24</v>
      </c>
      <c r="C1717" s="1">
        <v>0.0</v>
      </c>
      <c r="D1717" s="1" t="s">
        <v>25</v>
      </c>
      <c r="E1717" s="1" t="s">
        <v>25</v>
      </c>
      <c r="F1717" s="1">
        <v>46.0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1">
        <v>19.4</v>
      </c>
      <c r="T1717" s="1">
        <v>967.85</v>
      </c>
      <c r="U1717" s="1">
        <v>0.0</v>
      </c>
      <c r="V1717" s="1">
        <v>0.0</v>
      </c>
      <c r="W1717" s="1" t="s">
        <v>26</v>
      </c>
    </row>
    <row r="1718" ht="15.75" customHeight="1">
      <c r="A1718" s="1" t="s">
        <v>1755</v>
      </c>
      <c r="B1718" s="1" t="s">
        <v>32</v>
      </c>
      <c r="C1718" s="1">
        <v>0.0</v>
      </c>
      <c r="D1718" s="1" t="s">
        <v>26</v>
      </c>
      <c r="E1718" s="1" t="s">
        <v>26</v>
      </c>
      <c r="F1718" s="1">
        <v>8.0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1">
        <v>54.75</v>
      </c>
      <c r="T1718" s="1">
        <v>438.05</v>
      </c>
      <c r="U1718" s="1">
        <v>0.0</v>
      </c>
      <c r="V1718" s="1">
        <v>0.0</v>
      </c>
      <c r="W1718" s="1" t="s">
        <v>26</v>
      </c>
    </row>
    <row r="1719" ht="15.75" customHeight="1">
      <c r="A1719" s="1" t="s">
        <v>1756</v>
      </c>
      <c r="B1719" s="1" t="s">
        <v>32</v>
      </c>
      <c r="C1719" s="1">
        <v>0.0</v>
      </c>
      <c r="D1719" s="1" t="s">
        <v>25</v>
      </c>
      <c r="E1719" s="1" t="s">
        <v>26</v>
      </c>
      <c r="F1719" s="1">
        <v>72.0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1">
        <v>19.7</v>
      </c>
      <c r="T1719" s="1">
        <v>1421.9</v>
      </c>
      <c r="U1719" s="1">
        <v>0.0</v>
      </c>
      <c r="V1719" s="1">
        <v>0.0</v>
      </c>
      <c r="W1719" s="1" t="s">
        <v>26</v>
      </c>
    </row>
    <row r="1720" ht="15.75" customHeight="1">
      <c r="A1720" s="1" t="s">
        <v>1757</v>
      </c>
      <c r="B1720" s="1" t="s">
        <v>24</v>
      </c>
      <c r="C1720" s="1">
        <v>0.0</v>
      </c>
      <c r="D1720" s="1" t="s">
        <v>26</v>
      </c>
      <c r="E1720" s="1" t="s">
        <v>26</v>
      </c>
      <c r="F1720" s="1">
        <v>17.0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1">
        <v>19.9</v>
      </c>
      <c r="T1720" s="1">
        <v>323.15</v>
      </c>
      <c r="U1720" s="1">
        <v>0.0</v>
      </c>
      <c r="V1720" s="1">
        <v>0.0</v>
      </c>
      <c r="W1720" s="1" t="s">
        <v>26</v>
      </c>
    </row>
    <row r="1721" ht="15.75" customHeight="1">
      <c r="A1721" s="1" t="s">
        <v>1758</v>
      </c>
      <c r="B1721" s="1" t="s">
        <v>32</v>
      </c>
      <c r="C1721" s="1">
        <v>0.0</v>
      </c>
      <c r="D1721" s="1" t="s">
        <v>26</v>
      </c>
      <c r="E1721" s="1" t="s">
        <v>26</v>
      </c>
      <c r="F1721" s="1">
        <v>3.0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1">
        <v>107.95</v>
      </c>
      <c r="T1721" s="1">
        <v>318.6</v>
      </c>
      <c r="U1721" s="1">
        <v>4.0</v>
      </c>
      <c r="V1721" s="1">
        <v>0.0</v>
      </c>
      <c r="W1721" s="1" t="s">
        <v>26</v>
      </c>
    </row>
    <row r="1722" ht="15.75" customHeight="1">
      <c r="A1722" s="1" t="s">
        <v>1759</v>
      </c>
      <c r="B1722" s="1" t="s">
        <v>24</v>
      </c>
      <c r="C1722" s="1">
        <v>1.0</v>
      </c>
      <c r="D1722" s="1" t="s">
        <v>26</v>
      </c>
      <c r="E1722" s="1" t="s">
        <v>26</v>
      </c>
      <c r="F1722" s="1">
        <v>2.0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1">
        <v>83.8</v>
      </c>
      <c r="T1722" s="1">
        <v>163.7</v>
      </c>
      <c r="U1722" s="1">
        <v>0.0</v>
      </c>
      <c r="V1722" s="1">
        <v>0.0</v>
      </c>
      <c r="W1722" s="1" t="s">
        <v>26</v>
      </c>
    </row>
    <row r="1723" ht="15.75" customHeight="1">
      <c r="A1723" s="1" t="s">
        <v>1760</v>
      </c>
      <c r="B1723" s="1" t="s">
        <v>24</v>
      </c>
      <c r="C1723" s="1">
        <v>0.0</v>
      </c>
      <c r="D1723" s="1" t="s">
        <v>26</v>
      </c>
      <c r="E1723" s="1" t="s">
        <v>26</v>
      </c>
      <c r="F1723" s="1">
        <v>9.0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1">
        <v>74.25</v>
      </c>
      <c r="T1723" s="1">
        <v>639.65</v>
      </c>
      <c r="U1723" s="1">
        <v>0.0</v>
      </c>
      <c r="V1723" s="1">
        <v>0.0</v>
      </c>
      <c r="W1723" s="1" t="s">
        <v>25</v>
      </c>
    </row>
    <row r="1724" ht="15.75" customHeight="1">
      <c r="A1724" s="1" t="s">
        <v>1761</v>
      </c>
      <c r="B1724" s="1" t="s">
        <v>24</v>
      </c>
      <c r="C1724" s="1">
        <v>0.0</v>
      </c>
      <c r="D1724" s="1" t="s">
        <v>26</v>
      </c>
      <c r="E1724" s="1" t="s">
        <v>26</v>
      </c>
      <c r="F1724" s="1">
        <v>51.0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1">
        <v>56.4</v>
      </c>
      <c r="T1724" s="1">
        <v>2928.5</v>
      </c>
      <c r="U1724" s="1">
        <v>0.0</v>
      </c>
      <c r="V1724" s="1">
        <v>0.0</v>
      </c>
      <c r="W1724" s="1" t="s">
        <v>26</v>
      </c>
    </row>
    <row r="1725" ht="15.75" customHeight="1">
      <c r="A1725" s="1" t="s">
        <v>1762</v>
      </c>
      <c r="B1725" s="1" t="s">
        <v>24</v>
      </c>
      <c r="C1725" s="1">
        <v>0.0</v>
      </c>
      <c r="D1725" s="1" t="s">
        <v>25</v>
      </c>
      <c r="E1725" s="1" t="s">
        <v>25</v>
      </c>
      <c r="F1725" s="1">
        <v>6.0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1">
        <v>20.1</v>
      </c>
      <c r="T1725" s="1">
        <v>100.35</v>
      </c>
      <c r="U1725" s="1">
        <v>0.0</v>
      </c>
      <c r="V1725" s="1">
        <v>0.0</v>
      </c>
      <c r="W1725" s="1" t="s">
        <v>26</v>
      </c>
    </row>
    <row r="1726" ht="15.75" customHeight="1">
      <c r="A1726" s="1" t="s">
        <v>1763</v>
      </c>
      <c r="B1726" s="1" t="s">
        <v>24</v>
      </c>
      <c r="C1726" s="1">
        <v>0.0</v>
      </c>
      <c r="D1726" s="1" t="s">
        <v>25</v>
      </c>
      <c r="E1726" s="1" t="s">
        <v>26</v>
      </c>
      <c r="F1726" s="1">
        <v>3.0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1">
        <v>94.9</v>
      </c>
      <c r="T1726" s="1">
        <v>273.2</v>
      </c>
      <c r="U1726" s="1">
        <v>0.0</v>
      </c>
      <c r="V1726" s="1">
        <v>0.0</v>
      </c>
      <c r="W1726" s="1" t="s">
        <v>26</v>
      </c>
    </row>
    <row r="1727" ht="15.75" customHeight="1">
      <c r="A1727" s="1" t="s">
        <v>1764</v>
      </c>
      <c r="B1727" s="1" t="s">
        <v>24</v>
      </c>
      <c r="C1727" s="1">
        <v>1.0</v>
      </c>
      <c r="D1727" s="1" t="s">
        <v>26</v>
      </c>
      <c r="E1727" s="1" t="s">
        <v>26</v>
      </c>
      <c r="F1727" s="1">
        <v>17.0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1">
        <v>94.2</v>
      </c>
      <c r="T1727" s="1">
        <v>1608.15</v>
      </c>
      <c r="U1727" s="1">
        <v>0.0</v>
      </c>
      <c r="V1727" s="1">
        <v>0.0</v>
      </c>
      <c r="W1727" s="1" t="s">
        <v>26</v>
      </c>
    </row>
    <row r="1728" ht="15.75" customHeight="1">
      <c r="A1728" s="1" t="s">
        <v>1765</v>
      </c>
      <c r="B1728" s="1" t="s">
        <v>32</v>
      </c>
      <c r="C1728" s="1">
        <v>0.0</v>
      </c>
      <c r="D1728" s="1" t="s">
        <v>25</v>
      </c>
      <c r="E1728" s="1" t="s">
        <v>26</v>
      </c>
      <c r="F1728" s="1">
        <v>30.0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1">
        <v>49.9</v>
      </c>
      <c r="T1728" s="1">
        <v>1441.95</v>
      </c>
      <c r="U1728" s="1">
        <v>0.0</v>
      </c>
      <c r="V1728" s="1">
        <v>0.0</v>
      </c>
      <c r="W1728" s="1" t="s">
        <v>26</v>
      </c>
    </row>
    <row r="1729" ht="15.75" customHeight="1">
      <c r="A1729" s="1" t="s">
        <v>1766</v>
      </c>
      <c r="B1729" s="1" t="s">
        <v>32</v>
      </c>
      <c r="C1729" s="1">
        <v>0.0</v>
      </c>
      <c r="D1729" s="1" t="s">
        <v>26</v>
      </c>
      <c r="E1729" s="1" t="s">
        <v>26</v>
      </c>
      <c r="F1729" s="1">
        <v>31.0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1">
        <v>71.05</v>
      </c>
      <c r="T1729" s="1">
        <v>2168.15</v>
      </c>
      <c r="U1729" s="1">
        <v>0.0</v>
      </c>
      <c r="V1729" s="1">
        <v>0.0</v>
      </c>
      <c r="W1729" s="1" t="s">
        <v>26</v>
      </c>
    </row>
    <row r="1730" ht="15.75" customHeight="1">
      <c r="A1730" s="1" t="s">
        <v>1767</v>
      </c>
      <c r="B1730" s="1" t="s">
        <v>24</v>
      </c>
      <c r="C1730" s="1">
        <v>0.0</v>
      </c>
      <c r="D1730" s="1" t="s">
        <v>26</v>
      </c>
      <c r="E1730" s="1" t="s">
        <v>26</v>
      </c>
      <c r="F1730" s="1">
        <v>45.0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1">
        <v>81.65</v>
      </c>
      <c r="T1730" s="1">
        <v>3618.7</v>
      </c>
      <c r="U1730" s="1">
        <v>5.0</v>
      </c>
      <c r="V1730" s="1">
        <v>0.0</v>
      </c>
      <c r="W1730" s="1" t="s">
        <v>26</v>
      </c>
    </row>
    <row r="1731" ht="15.75" customHeight="1">
      <c r="A1731" s="1" t="s">
        <v>1768</v>
      </c>
      <c r="B1731" s="1" t="s">
        <v>32</v>
      </c>
      <c r="C1731" s="1">
        <v>0.0</v>
      </c>
      <c r="D1731" s="1" t="s">
        <v>25</v>
      </c>
      <c r="E1731" s="1" t="s">
        <v>26</v>
      </c>
      <c r="F1731" s="1">
        <v>64.0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1">
        <v>89.45</v>
      </c>
      <c r="T1731" s="1">
        <v>5692.65</v>
      </c>
      <c r="U1731" s="1">
        <v>0.0</v>
      </c>
      <c r="V1731" s="1">
        <v>0.0</v>
      </c>
      <c r="W1731" s="1" t="s">
        <v>26</v>
      </c>
    </row>
    <row r="1732" ht="15.75" customHeight="1">
      <c r="A1732" s="1" t="s">
        <v>1769</v>
      </c>
      <c r="B1732" s="1" t="s">
        <v>32</v>
      </c>
      <c r="C1732" s="1">
        <v>0.0</v>
      </c>
      <c r="D1732" s="1" t="s">
        <v>26</v>
      </c>
      <c r="E1732" s="1" t="s">
        <v>26</v>
      </c>
      <c r="F1732" s="1">
        <v>1.0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1">
        <v>59.85</v>
      </c>
      <c r="T1732" s="1">
        <v>59.85</v>
      </c>
      <c r="U1732" s="1">
        <v>0.0</v>
      </c>
      <c r="V1732" s="1">
        <v>0.0</v>
      </c>
      <c r="W1732" s="1" t="s">
        <v>25</v>
      </c>
    </row>
    <row r="1733" ht="15.75" customHeight="1">
      <c r="A1733" s="1" t="s">
        <v>1770</v>
      </c>
      <c r="B1733" s="1" t="s">
        <v>24</v>
      </c>
      <c r="C1733" s="1">
        <v>1.0</v>
      </c>
      <c r="D1733" s="1" t="s">
        <v>26</v>
      </c>
      <c r="E1733" s="1" t="s">
        <v>26</v>
      </c>
      <c r="F1733" s="1">
        <v>1.0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1">
        <v>69.6</v>
      </c>
      <c r="T1733" s="1">
        <v>69.6</v>
      </c>
      <c r="U1733" s="1">
        <v>0.0</v>
      </c>
      <c r="V1733" s="1">
        <v>0.0</v>
      </c>
      <c r="W1733" s="1" t="s">
        <v>25</v>
      </c>
    </row>
    <row r="1734" ht="15.75" customHeight="1">
      <c r="A1734" s="1" t="s">
        <v>1771</v>
      </c>
      <c r="B1734" s="1" t="s">
        <v>32</v>
      </c>
      <c r="C1734" s="1">
        <v>1.0</v>
      </c>
      <c r="D1734" s="1" t="s">
        <v>25</v>
      </c>
      <c r="E1734" s="1" t="s">
        <v>25</v>
      </c>
      <c r="F1734" s="1">
        <v>61.0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1">
        <v>99.0</v>
      </c>
      <c r="T1734" s="1">
        <v>5969.3</v>
      </c>
      <c r="U1734" s="1">
        <v>0.0</v>
      </c>
      <c r="V1734" s="1">
        <v>5.0</v>
      </c>
      <c r="W1734" s="1" t="s">
        <v>26</v>
      </c>
    </row>
    <row r="1735" ht="15.75" customHeight="1">
      <c r="A1735" s="1" t="s">
        <v>1772</v>
      </c>
      <c r="B1735" s="1" t="s">
        <v>32</v>
      </c>
      <c r="C1735" s="1">
        <v>0.0</v>
      </c>
      <c r="D1735" s="1" t="s">
        <v>26</v>
      </c>
      <c r="E1735" s="1" t="s">
        <v>26</v>
      </c>
      <c r="F1735" s="1">
        <v>1.0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1">
        <v>19.05</v>
      </c>
      <c r="T1735" s="1">
        <v>19.05</v>
      </c>
      <c r="U1735" s="1">
        <v>0.0</v>
      </c>
      <c r="V1735" s="1">
        <v>0.0</v>
      </c>
      <c r="W1735" s="1" t="s">
        <v>26</v>
      </c>
    </row>
    <row r="1736" ht="15.75" customHeight="1">
      <c r="A1736" s="1" t="s">
        <v>1773</v>
      </c>
      <c r="B1736" s="1" t="s">
        <v>32</v>
      </c>
      <c r="C1736" s="1">
        <v>0.0</v>
      </c>
      <c r="D1736" s="1" t="s">
        <v>26</v>
      </c>
      <c r="E1736" s="1" t="s">
        <v>26</v>
      </c>
      <c r="F1736" s="1">
        <v>9.0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1">
        <v>45.4</v>
      </c>
      <c r="T1736" s="1">
        <v>418.8</v>
      </c>
      <c r="U1736" s="1">
        <v>0.0</v>
      </c>
      <c r="V1736" s="1">
        <v>0.0</v>
      </c>
      <c r="W1736" s="1" t="s">
        <v>25</v>
      </c>
    </row>
    <row r="1737" ht="15.75" customHeight="1">
      <c r="A1737" s="1" t="s">
        <v>1774</v>
      </c>
      <c r="B1737" s="1" t="s">
        <v>32</v>
      </c>
      <c r="C1737" s="1">
        <v>0.0</v>
      </c>
      <c r="D1737" s="1" t="s">
        <v>25</v>
      </c>
      <c r="E1737" s="1" t="s">
        <v>25</v>
      </c>
      <c r="F1737" s="1">
        <v>72.0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1">
        <v>114.45</v>
      </c>
      <c r="T1737" s="1">
        <v>8100.55</v>
      </c>
      <c r="U1737" s="1">
        <v>0.0</v>
      </c>
      <c r="V1737" s="1">
        <v>0.0</v>
      </c>
      <c r="W1737" s="1" t="s">
        <v>26</v>
      </c>
    </row>
    <row r="1738" ht="15.75" customHeight="1">
      <c r="A1738" s="1" t="s">
        <v>1775</v>
      </c>
      <c r="B1738" s="1" t="s">
        <v>24</v>
      </c>
      <c r="C1738" s="1">
        <v>0.0</v>
      </c>
      <c r="D1738" s="1" t="s">
        <v>26</v>
      </c>
      <c r="E1738" s="1" t="s">
        <v>26</v>
      </c>
      <c r="F1738" s="1">
        <v>1.0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1">
        <v>19.5</v>
      </c>
      <c r="T1738" s="1">
        <v>19.5</v>
      </c>
      <c r="U1738" s="1">
        <v>5.0</v>
      </c>
      <c r="V1738" s="1">
        <v>0.0</v>
      </c>
      <c r="W1738" s="1" t="s">
        <v>25</v>
      </c>
    </row>
    <row r="1739" ht="15.75" customHeight="1">
      <c r="A1739" s="1" t="s">
        <v>1776</v>
      </c>
      <c r="B1739" s="1" t="s">
        <v>24</v>
      </c>
      <c r="C1739" s="1">
        <v>0.0</v>
      </c>
      <c r="D1739" s="1" t="s">
        <v>25</v>
      </c>
      <c r="E1739" s="1" t="s">
        <v>26</v>
      </c>
      <c r="F1739" s="1">
        <v>7.0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1">
        <v>44.25</v>
      </c>
      <c r="T1739" s="1">
        <v>313.45</v>
      </c>
      <c r="U1739" s="1">
        <v>0.0</v>
      </c>
      <c r="V1739" s="1">
        <v>0.0</v>
      </c>
      <c r="W1739" s="1" t="s">
        <v>26</v>
      </c>
    </row>
    <row r="1740" ht="15.75" customHeight="1">
      <c r="A1740" s="1" t="s">
        <v>1777</v>
      </c>
      <c r="B1740" s="1" t="s">
        <v>24</v>
      </c>
      <c r="C1740" s="1">
        <v>0.0</v>
      </c>
      <c r="D1740" s="1" t="s">
        <v>25</v>
      </c>
      <c r="E1740" s="1" t="s">
        <v>26</v>
      </c>
      <c r="F1740" s="1">
        <v>66.0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1">
        <v>90.55</v>
      </c>
      <c r="T1740" s="1">
        <v>6130.95</v>
      </c>
      <c r="U1740" s="1">
        <v>0.0</v>
      </c>
      <c r="V1740" s="1">
        <v>0.0</v>
      </c>
      <c r="W1740" s="1" t="s">
        <v>26</v>
      </c>
    </row>
    <row r="1741" ht="15.75" customHeight="1">
      <c r="A1741" s="1" t="s">
        <v>1778</v>
      </c>
      <c r="B1741" s="1" t="s">
        <v>32</v>
      </c>
      <c r="C1741" s="1">
        <v>0.0</v>
      </c>
      <c r="D1741" s="1" t="s">
        <v>26</v>
      </c>
      <c r="E1741" s="1" t="s">
        <v>26</v>
      </c>
      <c r="F1741" s="1">
        <v>1.0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1">
        <v>69.9</v>
      </c>
      <c r="T1741" s="1">
        <v>69.9</v>
      </c>
      <c r="U1741" s="1">
        <v>0.0</v>
      </c>
      <c r="V1741" s="1">
        <v>0.0</v>
      </c>
      <c r="W1741" s="1" t="s">
        <v>25</v>
      </c>
    </row>
    <row r="1742" ht="15.75" customHeight="1">
      <c r="A1742" s="1" t="s">
        <v>1779</v>
      </c>
      <c r="B1742" s="1" t="s">
        <v>32</v>
      </c>
      <c r="C1742" s="1">
        <v>0.0</v>
      </c>
      <c r="D1742" s="1" t="s">
        <v>25</v>
      </c>
      <c r="E1742" s="1" t="s">
        <v>25</v>
      </c>
      <c r="F1742" s="1">
        <v>40.0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1">
        <v>20.4</v>
      </c>
      <c r="T1742" s="1">
        <v>745.3</v>
      </c>
      <c r="U1742" s="1">
        <v>0.0</v>
      </c>
      <c r="V1742" s="1">
        <v>0.0</v>
      </c>
      <c r="W1742" s="1" t="s">
        <v>26</v>
      </c>
    </row>
    <row r="1743" ht="15.75" customHeight="1">
      <c r="A1743" s="1" t="s">
        <v>1780</v>
      </c>
      <c r="B1743" s="1" t="s">
        <v>32</v>
      </c>
      <c r="C1743" s="1">
        <v>0.0</v>
      </c>
      <c r="D1743" s="1" t="s">
        <v>26</v>
      </c>
      <c r="E1743" s="1" t="s">
        <v>26</v>
      </c>
      <c r="F1743" s="1">
        <v>16.0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1">
        <v>71.4</v>
      </c>
      <c r="T1743" s="1">
        <v>1212.1</v>
      </c>
      <c r="U1743" s="1">
        <v>2.0</v>
      </c>
      <c r="V1743" s="1">
        <v>0.0</v>
      </c>
      <c r="W1743" s="1" t="s">
        <v>26</v>
      </c>
    </row>
    <row r="1744" ht="15.75" customHeight="1">
      <c r="A1744" s="1" t="s">
        <v>1781</v>
      </c>
      <c r="B1744" s="1" t="s">
        <v>24</v>
      </c>
      <c r="C1744" s="1">
        <v>0.0</v>
      </c>
      <c r="D1744" s="1" t="s">
        <v>26</v>
      </c>
      <c r="E1744" s="1" t="s">
        <v>26</v>
      </c>
      <c r="F1744" s="1">
        <v>2.0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1">
        <v>87.15</v>
      </c>
      <c r="T1744" s="1">
        <v>183.75</v>
      </c>
      <c r="U1744" s="1">
        <v>0.0</v>
      </c>
      <c r="V1744" s="1">
        <v>0.0</v>
      </c>
      <c r="W1744" s="1" t="s">
        <v>25</v>
      </c>
    </row>
    <row r="1745" ht="15.75" customHeight="1">
      <c r="A1745" s="1" t="s">
        <v>1782</v>
      </c>
      <c r="B1745" s="1" t="s">
        <v>32</v>
      </c>
      <c r="C1745" s="1">
        <v>0.0</v>
      </c>
      <c r="D1745" s="1" t="s">
        <v>25</v>
      </c>
      <c r="E1745" s="1" t="s">
        <v>26</v>
      </c>
      <c r="F1745" s="1">
        <v>67.0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1">
        <v>24.85</v>
      </c>
      <c r="T1745" s="1">
        <v>1583.5</v>
      </c>
      <c r="U1745" s="1">
        <v>4.0</v>
      </c>
      <c r="V1745" s="1">
        <v>0.0</v>
      </c>
      <c r="W1745" s="1" t="s">
        <v>26</v>
      </c>
    </row>
    <row r="1746" ht="15.75" customHeight="1">
      <c r="A1746" s="1" t="s">
        <v>1783</v>
      </c>
      <c r="B1746" s="1" t="s">
        <v>24</v>
      </c>
      <c r="C1746" s="1">
        <v>0.0</v>
      </c>
      <c r="D1746" s="1" t="s">
        <v>25</v>
      </c>
      <c r="E1746" s="1" t="s">
        <v>26</v>
      </c>
      <c r="F1746" s="1">
        <v>41.0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1">
        <v>104.45</v>
      </c>
      <c r="T1746" s="1">
        <v>4162.05</v>
      </c>
      <c r="U1746" s="1">
        <v>0.0</v>
      </c>
      <c r="V1746" s="1">
        <v>0.0</v>
      </c>
      <c r="W1746" s="1" t="s">
        <v>26</v>
      </c>
    </row>
    <row r="1747" ht="15.75" customHeight="1">
      <c r="A1747" s="1" t="s">
        <v>1784</v>
      </c>
      <c r="B1747" s="1" t="s">
        <v>24</v>
      </c>
      <c r="C1747" s="1">
        <v>0.0</v>
      </c>
      <c r="D1747" s="1" t="s">
        <v>25</v>
      </c>
      <c r="E1747" s="1" t="s">
        <v>25</v>
      </c>
      <c r="F1747" s="1">
        <v>56.0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1">
        <v>19.8</v>
      </c>
      <c r="T1747" s="1">
        <v>1119.9</v>
      </c>
      <c r="U1747" s="1">
        <v>0.0</v>
      </c>
      <c r="V1747" s="1">
        <v>0.0</v>
      </c>
      <c r="W1747" s="1" t="s">
        <v>26</v>
      </c>
    </row>
    <row r="1748" ht="15.75" customHeight="1">
      <c r="A1748" s="1" t="s">
        <v>1785</v>
      </c>
      <c r="B1748" s="1" t="s">
        <v>24</v>
      </c>
      <c r="C1748" s="1">
        <v>0.0</v>
      </c>
      <c r="D1748" s="1" t="s">
        <v>26</v>
      </c>
      <c r="E1748" s="1" t="s">
        <v>26</v>
      </c>
      <c r="F1748" s="1">
        <v>72.0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1">
        <v>116.45</v>
      </c>
      <c r="T1748" s="1">
        <v>8013.55</v>
      </c>
      <c r="U1748" s="1">
        <v>0.0</v>
      </c>
      <c r="V1748" s="1">
        <v>0.0</v>
      </c>
      <c r="W1748" s="1" t="s">
        <v>26</v>
      </c>
    </row>
    <row r="1749" ht="15.75" customHeight="1">
      <c r="A1749" s="1" t="s">
        <v>1786</v>
      </c>
      <c r="B1749" s="1" t="s">
        <v>24</v>
      </c>
      <c r="C1749" s="1">
        <v>0.0</v>
      </c>
      <c r="D1749" s="1" t="s">
        <v>25</v>
      </c>
      <c r="E1749" s="1" t="s">
        <v>25</v>
      </c>
      <c r="F1749" s="1">
        <v>3.0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1">
        <v>84.75</v>
      </c>
      <c r="T1749" s="1">
        <v>264.85</v>
      </c>
      <c r="U1749" s="1">
        <v>0.0</v>
      </c>
      <c r="V1749" s="1">
        <v>0.0</v>
      </c>
      <c r="W1749" s="1" t="s">
        <v>25</v>
      </c>
    </row>
    <row r="1750" ht="15.75" customHeight="1">
      <c r="A1750" s="1" t="s">
        <v>1787</v>
      </c>
      <c r="B1750" s="1" t="s">
        <v>24</v>
      </c>
      <c r="C1750" s="1">
        <v>0.0</v>
      </c>
      <c r="D1750" s="1" t="s">
        <v>25</v>
      </c>
      <c r="E1750" s="1" t="s">
        <v>26</v>
      </c>
      <c r="F1750" s="1">
        <v>54.0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1">
        <v>20.05</v>
      </c>
      <c r="T1750" s="1">
        <v>1102.4</v>
      </c>
      <c r="U1750" s="1">
        <v>0.0</v>
      </c>
      <c r="V1750" s="1">
        <v>0.0</v>
      </c>
      <c r="W1750" s="1" t="s">
        <v>26</v>
      </c>
    </row>
    <row r="1751" ht="15.75" customHeight="1">
      <c r="A1751" s="1" t="s">
        <v>1788</v>
      </c>
      <c r="B1751" s="1" t="s">
        <v>32</v>
      </c>
      <c r="C1751" s="1">
        <v>1.0</v>
      </c>
      <c r="D1751" s="1" t="s">
        <v>26</v>
      </c>
      <c r="E1751" s="1" t="s">
        <v>26</v>
      </c>
      <c r="F1751" s="1">
        <v>52.0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1">
        <v>110.75</v>
      </c>
      <c r="T1751" s="1">
        <v>5832.0</v>
      </c>
      <c r="U1751" s="1">
        <v>0.0</v>
      </c>
      <c r="V1751" s="1">
        <v>0.0</v>
      </c>
      <c r="W1751" s="1" t="s">
        <v>26</v>
      </c>
    </row>
    <row r="1752" ht="15.75" customHeight="1">
      <c r="A1752" s="1" t="s">
        <v>1789</v>
      </c>
      <c r="B1752" s="1" t="s">
        <v>24</v>
      </c>
      <c r="C1752" s="1">
        <v>0.0</v>
      </c>
      <c r="D1752" s="1" t="s">
        <v>26</v>
      </c>
      <c r="E1752" s="1" t="s">
        <v>26</v>
      </c>
      <c r="F1752" s="1">
        <v>50.0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1">
        <v>89.7</v>
      </c>
      <c r="T1752" s="1">
        <v>4304.5</v>
      </c>
      <c r="U1752" s="1">
        <v>0.0</v>
      </c>
      <c r="V1752" s="1">
        <v>0.0</v>
      </c>
      <c r="W1752" s="1" t="s">
        <v>26</v>
      </c>
    </row>
    <row r="1753" ht="15.75" customHeight="1">
      <c r="A1753" s="1" t="s">
        <v>1790</v>
      </c>
      <c r="B1753" s="1" t="s">
        <v>32</v>
      </c>
      <c r="C1753" s="1">
        <v>0.0</v>
      </c>
      <c r="D1753" s="1" t="s">
        <v>26</v>
      </c>
      <c r="E1753" s="1" t="s">
        <v>26</v>
      </c>
      <c r="F1753" s="1">
        <v>14.0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1">
        <v>89.95</v>
      </c>
      <c r="T1753" s="1">
        <v>1178.4</v>
      </c>
      <c r="U1753" s="1">
        <v>0.0</v>
      </c>
      <c r="V1753" s="1">
        <v>0.0</v>
      </c>
      <c r="W1753" s="1" t="s">
        <v>25</v>
      </c>
    </row>
    <row r="1754" ht="15.75" customHeight="1">
      <c r="A1754" s="1" t="s">
        <v>1791</v>
      </c>
      <c r="B1754" s="1" t="s">
        <v>32</v>
      </c>
      <c r="C1754" s="1">
        <v>0.0</v>
      </c>
      <c r="D1754" s="1" t="s">
        <v>25</v>
      </c>
      <c r="E1754" s="1" t="s">
        <v>26</v>
      </c>
      <c r="F1754" s="1">
        <v>27.0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1">
        <v>48.7</v>
      </c>
      <c r="T1754" s="1">
        <v>1421.75</v>
      </c>
      <c r="U1754" s="1">
        <v>0.0</v>
      </c>
      <c r="V1754" s="1">
        <v>0.0</v>
      </c>
      <c r="W1754" s="1" t="s">
        <v>26</v>
      </c>
    </row>
    <row r="1755" ht="15.75" customHeight="1">
      <c r="A1755" s="1" t="s">
        <v>1792</v>
      </c>
      <c r="B1755" s="1" t="s">
        <v>24</v>
      </c>
      <c r="C1755" s="1">
        <v>1.0</v>
      </c>
      <c r="D1755" s="1" t="s">
        <v>25</v>
      </c>
      <c r="E1755" s="1" t="s">
        <v>26</v>
      </c>
      <c r="F1755" s="1">
        <v>72.0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1">
        <v>96.6</v>
      </c>
      <c r="T1755" s="1">
        <v>6827.5</v>
      </c>
      <c r="U1755" s="1">
        <v>0.0</v>
      </c>
      <c r="V1755" s="1">
        <v>0.0</v>
      </c>
      <c r="W1755" s="1" t="s">
        <v>26</v>
      </c>
    </row>
    <row r="1756" ht="15.75" customHeight="1">
      <c r="A1756" s="1" t="s">
        <v>1793</v>
      </c>
      <c r="B1756" s="1" t="s">
        <v>32</v>
      </c>
      <c r="C1756" s="1">
        <v>0.0</v>
      </c>
      <c r="D1756" s="1" t="s">
        <v>26</v>
      </c>
      <c r="E1756" s="1" t="s">
        <v>26</v>
      </c>
      <c r="F1756" s="1">
        <v>62.0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1">
        <v>74.3</v>
      </c>
      <c r="T1756" s="1">
        <v>4698.05</v>
      </c>
      <c r="U1756" s="1">
        <v>0.0</v>
      </c>
      <c r="V1756" s="1">
        <v>0.0</v>
      </c>
      <c r="W1756" s="1" t="s">
        <v>26</v>
      </c>
    </row>
    <row r="1757" ht="15.75" customHeight="1">
      <c r="A1757" s="1" t="s">
        <v>1794</v>
      </c>
      <c r="B1757" s="1" t="s">
        <v>24</v>
      </c>
      <c r="C1757" s="1">
        <v>0.0</v>
      </c>
      <c r="D1757" s="1" t="s">
        <v>26</v>
      </c>
      <c r="E1757" s="1" t="s">
        <v>26</v>
      </c>
      <c r="F1757" s="1">
        <v>12.0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1">
        <v>54.3</v>
      </c>
      <c r="T1757" s="1">
        <v>654.5</v>
      </c>
      <c r="U1757" s="1">
        <v>0.0</v>
      </c>
      <c r="V1757" s="1">
        <v>1.0</v>
      </c>
      <c r="W1757" s="1" t="s">
        <v>26</v>
      </c>
    </row>
    <row r="1758" ht="15.75" customHeight="1">
      <c r="A1758" s="1" t="s">
        <v>1795</v>
      </c>
      <c r="B1758" s="1" t="s">
        <v>24</v>
      </c>
      <c r="C1758" s="1">
        <v>1.0</v>
      </c>
      <c r="D1758" s="1" t="s">
        <v>26</v>
      </c>
      <c r="E1758" s="1" t="s">
        <v>26</v>
      </c>
      <c r="F1758" s="1">
        <v>44.0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1">
        <v>74.85</v>
      </c>
      <c r="T1758" s="1">
        <v>3268.05</v>
      </c>
      <c r="U1758" s="1">
        <v>0.0</v>
      </c>
      <c r="V1758" s="1">
        <v>0.0</v>
      </c>
      <c r="W1758" s="1" t="s">
        <v>26</v>
      </c>
    </row>
    <row r="1759" ht="15.75" customHeight="1">
      <c r="A1759" s="1" t="s">
        <v>1796</v>
      </c>
      <c r="B1759" s="1" t="s">
        <v>32</v>
      </c>
      <c r="C1759" s="1">
        <v>0.0</v>
      </c>
      <c r="D1759" s="1" t="s">
        <v>25</v>
      </c>
      <c r="E1759" s="1" t="s">
        <v>25</v>
      </c>
      <c r="F1759" s="1">
        <v>54.0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1">
        <v>79.95</v>
      </c>
      <c r="T1759" s="1">
        <v>4362.05</v>
      </c>
      <c r="U1759" s="1">
        <v>3.0</v>
      </c>
      <c r="V1759" s="1">
        <v>2.0</v>
      </c>
      <c r="W1759" s="1" t="s">
        <v>26</v>
      </c>
    </row>
    <row r="1760" ht="15.75" customHeight="1">
      <c r="A1760" s="1" t="s">
        <v>1797</v>
      </c>
      <c r="B1760" s="1" t="s">
        <v>24</v>
      </c>
      <c r="C1760" s="1">
        <v>0.0</v>
      </c>
      <c r="D1760" s="1" t="s">
        <v>26</v>
      </c>
      <c r="E1760" s="1" t="s">
        <v>26</v>
      </c>
      <c r="F1760" s="1">
        <v>68.0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1">
        <v>20.05</v>
      </c>
      <c r="T1760" s="1">
        <v>1386.9</v>
      </c>
      <c r="U1760" s="1">
        <v>0.0</v>
      </c>
      <c r="V1760" s="1">
        <v>0.0</v>
      </c>
      <c r="W1760" s="1" t="s">
        <v>26</v>
      </c>
    </row>
    <row r="1761" ht="15.75" customHeight="1">
      <c r="A1761" s="1" t="s">
        <v>1798</v>
      </c>
      <c r="B1761" s="1" t="s">
        <v>32</v>
      </c>
      <c r="C1761" s="1">
        <v>0.0</v>
      </c>
      <c r="D1761" s="1" t="s">
        <v>26</v>
      </c>
      <c r="E1761" s="1" t="s">
        <v>26</v>
      </c>
      <c r="F1761" s="1">
        <v>20.0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1">
        <v>19.4</v>
      </c>
      <c r="T1761" s="1">
        <v>415.4</v>
      </c>
      <c r="U1761" s="1">
        <v>0.0</v>
      </c>
      <c r="V1761" s="1">
        <v>0.0</v>
      </c>
      <c r="W1761" s="1" t="s">
        <v>26</v>
      </c>
    </row>
    <row r="1762" ht="15.75" customHeight="1">
      <c r="A1762" s="1" t="s">
        <v>1799</v>
      </c>
      <c r="B1762" s="1" t="s">
        <v>32</v>
      </c>
      <c r="C1762" s="1">
        <v>0.0</v>
      </c>
      <c r="D1762" s="1" t="s">
        <v>25</v>
      </c>
      <c r="E1762" s="1" t="s">
        <v>25</v>
      </c>
      <c r="F1762" s="1">
        <v>50.0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1">
        <v>54.9</v>
      </c>
      <c r="T1762" s="1">
        <v>2614.1</v>
      </c>
      <c r="U1762" s="1">
        <v>0.0</v>
      </c>
      <c r="V1762" s="1">
        <v>0.0</v>
      </c>
      <c r="W1762" s="1" t="s">
        <v>26</v>
      </c>
    </row>
    <row r="1763" ht="15.75" customHeight="1">
      <c r="A1763" s="1" t="s">
        <v>1800</v>
      </c>
      <c r="B1763" s="1" t="s">
        <v>32</v>
      </c>
      <c r="C1763" s="1">
        <v>0.0</v>
      </c>
      <c r="D1763" s="1" t="s">
        <v>26</v>
      </c>
      <c r="E1763" s="1" t="s">
        <v>26</v>
      </c>
      <c r="F1763" s="1">
        <v>58.0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1">
        <v>24.45</v>
      </c>
      <c r="T1763" s="1">
        <v>1513.6</v>
      </c>
      <c r="U1763" s="1">
        <v>0.0</v>
      </c>
      <c r="V1763" s="1">
        <v>3.0</v>
      </c>
      <c r="W1763" s="1" t="s">
        <v>26</v>
      </c>
    </row>
    <row r="1764" ht="15.75" customHeight="1">
      <c r="A1764" s="1" t="s">
        <v>1801</v>
      </c>
      <c r="B1764" s="1" t="s">
        <v>32</v>
      </c>
      <c r="C1764" s="1">
        <v>0.0</v>
      </c>
      <c r="D1764" s="1" t="s">
        <v>25</v>
      </c>
      <c r="E1764" s="1" t="s">
        <v>25</v>
      </c>
      <c r="F1764" s="1">
        <v>35.0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1">
        <v>89.65</v>
      </c>
      <c r="T1764" s="1">
        <v>3161.6</v>
      </c>
      <c r="U1764" s="1">
        <v>0.0</v>
      </c>
      <c r="V1764" s="1">
        <v>0.0</v>
      </c>
      <c r="W1764" s="1" t="s">
        <v>26</v>
      </c>
    </row>
    <row r="1765" ht="15.75" customHeight="1">
      <c r="A1765" s="1" t="s">
        <v>1802</v>
      </c>
      <c r="B1765" s="1" t="s">
        <v>24</v>
      </c>
      <c r="C1765" s="1">
        <v>0.0</v>
      </c>
      <c r="D1765" s="1" t="s">
        <v>26</v>
      </c>
      <c r="E1765" s="1" t="s">
        <v>26</v>
      </c>
      <c r="F1765" s="1">
        <v>2.0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1">
        <v>45.4</v>
      </c>
      <c r="T1765" s="1">
        <v>80.95</v>
      </c>
      <c r="U1765" s="1">
        <v>0.0</v>
      </c>
      <c r="V1765" s="1">
        <v>0.0</v>
      </c>
      <c r="W1765" s="1" t="s">
        <v>26</v>
      </c>
    </row>
    <row r="1766" ht="15.75" customHeight="1">
      <c r="A1766" s="1" t="s">
        <v>1803</v>
      </c>
      <c r="B1766" s="1" t="s">
        <v>32</v>
      </c>
      <c r="C1766" s="1">
        <v>0.0</v>
      </c>
      <c r="D1766" s="1" t="s">
        <v>25</v>
      </c>
      <c r="E1766" s="1" t="s">
        <v>25</v>
      </c>
      <c r="F1766" s="1">
        <v>63.0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1">
        <v>75.7</v>
      </c>
      <c r="T1766" s="1">
        <v>4676.7</v>
      </c>
      <c r="U1766" s="1">
        <v>0.0</v>
      </c>
      <c r="V1766" s="1">
        <v>0.0</v>
      </c>
      <c r="W1766" s="1" t="s">
        <v>26</v>
      </c>
    </row>
    <row r="1767" ht="15.75" customHeight="1">
      <c r="A1767" s="1" t="s">
        <v>1804</v>
      </c>
      <c r="B1767" s="1" t="s">
        <v>24</v>
      </c>
      <c r="C1767" s="1">
        <v>0.0</v>
      </c>
      <c r="D1767" s="1" t="s">
        <v>25</v>
      </c>
      <c r="E1767" s="1" t="s">
        <v>26</v>
      </c>
      <c r="F1767" s="1">
        <v>58.0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1">
        <v>110.65</v>
      </c>
      <c r="T1767" s="1">
        <v>6526.65</v>
      </c>
      <c r="U1767" s="1">
        <v>0.0</v>
      </c>
      <c r="V1767" s="1">
        <v>0.0</v>
      </c>
      <c r="W1767" s="1" t="s">
        <v>26</v>
      </c>
    </row>
    <row r="1768" ht="15.75" customHeight="1">
      <c r="A1768" s="1" t="s">
        <v>1805</v>
      </c>
      <c r="B1768" s="1" t="s">
        <v>24</v>
      </c>
      <c r="C1768" s="1">
        <v>0.0</v>
      </c>
      <c r="D1768" s="1" t="s">
        <v>25</v>
      </c>
      <c r="E1768" s="1" t="s">
        <v>25</v>
      </c>
      <c r="F1768" s="1">
        <v>27.0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1">
        <v>20.55</v>
      </c>
      <c r="T1768" s="1">
        <v>583.3</v>
      </c>
      <c r="U1768" s="1">
        <v>0.0</v>
      </c>
      <c r="V1768" s="1">
        <v>0.0</v>
      </c>
      <c r="W1768" s="1" t="s">
        <v>26</v>
      </c>
    </row>
    <row r="1769" ht="15.75" customHeight="1">
      <c r="A1769" s="1" t="s">
        <v>1806</v>
      </c>
      <c r="B1769" s="1" t="s">
        <v>24</v>
      </c>
      <c r="C1769" s="1">
        <v>0.0</v>
      </c>
      <c r="D1769" s="1" t="s">
        <v>25</v>
      </c>
      <c r="E1769" s="1" t="s">
        <v>26</v>
      </c>
      <c r="F1769" s="1">
        <v>71.0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1">
        <v>115.15</v>
      </c>
      <c r="T1769" s="1">
        <v>8078.1</v>
      </c>
      <c r="U1769" s="1">
        <v>0.0</v>
      </c>
      <c r="V1769" s="1">
        <v>0.0</v>
      </c>
      <c r="W1769" s="1" t="s">
        <v>26</v>
      </c>
    </row>
    <row r="1770" ht="15.75" customHeight="1">
      <c r="A1770" s="1" t="s">
        <v>1807</v>
      </c>
      <c r="B1770" s="1" t="s">
        <v>24</v>
      </c>
      <c r="C1770" s="1">
        <v>0.0</v>
      </c>
      <c r="D1770" s="1" t="s">
        <v>26</v>
      </c>
      <c r="E1770" s="1" t="s">
        <v>26</v>
      </c>
      <c r="F1770" s="1">
        <v>63.0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1">
        <v>58.55</v>
      </c>
      <c r="T1770" s="1">
        <v>3503.5</v>
      </c>
      <c r="U1770" s="1">
        <v>0.0</v>
      </c>
      <c r="V1770" s="1">
        <v>1.0</v>
      </c>
      <c r="W1770" s="1" t="s">
        <v>26</v>
      </c>
    </row>
    <row r="1771" ht="15.75" customHeight="1">
      <c r="A1771" s="1" t="s">
        <v>1808</v>
      </c>
      <c r="B1771" s="1" t="s">
        <v>32</v>
      </c>
      <c r="C1771" s="1">
        <v>0.0</v>
      </c>
      <c r="D1771" s="1" t="s">
        <v>25</v>
      </c>
      <c r="E1771" s="1" t="s">
        <v>26</v>
      </c>
      <c r="F1771" s="1">
        <v>71.0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1">
        <v>93.25</v>
      </c>
      <c r="T1771" s="1">
        <v>6669.45</v>
      </c>
      <c r="U1771" s="1">
        <v>0.0</v>
      </c>
      <c r="V1771" s="1">
        <v>5.0</v>
      </c>
      <c r="W1771" s="1" t="s">
        <v>26</v>
      </c>
    </row>
    <row r="1772" ht="15.75" customHeight="1">
      <c r="A1772" s="1" t="s">
        <v>1809</v>
      </c>
      <c r="B1772" s="1" t="s">
        <v>24</v>
      </c>
      <c r="C1772" s="1">
        <v>1.0</v>
      </c>
      <c r="D1772" s="1" t="s">
        <v>26</v>
      </c>
      <c r="E1772" s="1" t="s">
        <v>26</v>
      </c>
      <c r="F1772" s="1">
        <v>41.0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1">
        <v>113.2</v>
      </c>
      <c r="T1772" s="1">
        <v>4689.5</v>
      </c>
      <c r="U1772" s="1">
        <v>0.0</v>
      </c>
      <c r="V1772" s="1">
        <v>3.0</v>
      </c>
      <c r="W1772" s="1" t="s">
        <v>25</v>
      </c>
    </row>
    <row r="1773" ht="15.75" customHeight="1">
      <c r="A1773" s="1" t="s">
        <v>1810</v>
      </c>
      <c r="B1773" s="1" t="s">
        <v>32</v>
      </c>
      <c r="C1773" s="1">
        <v>1.0</v>
      </c>
      <c r="D1773" s="1" t="s">
        <v>26</v>
      </c>
      <c r="E1773" s="1" t="s">
        <v>26</v>
      </c>
      <c r="F1773" s="1">
        <v>13.0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1">
        <v>90.5</v>
      </c>
      <c r="T1773" s="1">
        <v>1201.15</v>
      </c>
      <c r="U1773" s="1">
        <v>0.0</v>
      </c>
      <c r="V1773" s="1">
        <v>0.0</v>
      </c>
      <c r="W1773" s="1" t="s">
        <v>25</v>
      </c>
    </row>
    <row r="1774" ht="15.75" customHeight="1">
      <c r="A1774" s="1" t="s">
        <v>1811</v>
      </c>
      <c r="B1774" s="1" t="s">
        <v>32</v>
      </c>
      <c r="C1774" s="1">
        <v>0.0</v>
      </c>
      <c r="D1774" s="1" t="s">
        <v>26</v>
      </c>
      <c r="E1774" s="1" t="s">
        <v>26</v>
      </c>
      <c r="F1774" s="1">
        <v>2.0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1">
        <v>79.0</v>
      </c>
      <c r="T1774" s="1">
        <v>143.65</v>
      </c>
      <c r="U1774" s="1">
        <v>0.0</v>
      </c>
      <c r="V1774" s="1">
        <v>0.0</v>
      </c>
      <c r="W1774" s="1" t="s">
        <v>25</v>
      </c>
    </row>
    <row r="1775" ht="15.75" customHeight="1">
      <c r="A1775" s="1" t="s">
        <v>1812</v>
      </c>
      <c r="B1775" s="1" t="s">
        <v>24</v>
      </c>
      <c r="C1775" s="1">
        <v>0.0</v>
      </c>
      <c r="D1775" s="1" t="s">
        <v>25</v>
      </c>
      <c r="E1775" s="1" t="s">
        <v>25</v>
      </c>
      <c r="F1775" s="1">
        <v>68.0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1">
        <v>19.35</v>
      </c>
      <c r="T1775" s="1">
        <v>1292.65</v>
      </c>
      <c r="U1775" s="1">
        <v>1.0</v>
      </c>
      <c r="V1775" s="1">
        <v>0.0</v>
      </c>
      <c r="W1775" s="1" t="s">
        <v>26</v>
      </c>
    </row>
    <row r="1776" ht="15.75" customHeight="1">
      <c r="A1776" s="1" t="s">
        <v>1813</v>
      </c>
      <c r="B1776" s="1" t="s">
        <v>32</v>
      </c>
      <c r="C1776" s="1">
        <v>0.0</v>
      </c>
      <c r="D1776" s="1" t="s">
        <v>25</v>
      </c>
      <c r="E1776" s="1" t="s">
        <v>25</v>
      </c>
      <c r="F1776" s="1">
        <v>1.0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1">
        <v>48.75</v>
      </c>
      <c r="T1776" s="1">
        <v>48.75</v>
      </c>
      <c r="U1776" s="1">
        <v>0.0</v>
      </c>
      <c r="V1776" s="1">
        <v>0.0</v>
      </c>
      <c r="W1776" s="1" t="s">
        <v>26</v>
      </c>
    </row>
    <row r="1777" ht="15.75" customHeight="1">
      <c r="A1777" s="1" t="s">
        <v>1814</v>
      </c>
      <c r="B1777" s="1" t="s">
        <v>32</v>
      </c>
      <c r="C1777" s="1">
        <v>1.0</v>
      </c>
      <c r="D1777" s="1" t="s">
        <v>26</v>
      </c>
      <c r="E1777" s="1" t="s">
        <v>26</v>
      </c>
      <c r="F1777" s="1">
        <v>65.0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1">
        <v>109.05</v>
      </c>
      <c r="T1777" s="1">
        <v>7108.2</v>
      </c>
      <c r="U1777" s="1">
        <v>0.0</v>
      </c>
      <c r="V1777" s="1">
        <v>0.0</v>
      </c>
      <c r="W1777" s="1" t="s">
        <v>26</v>
      </c>
    </row>
    <row r="1778" ht="15.75" customHeight="1">
      <c r="A1778" s="1" t="s">
        <v>1815</v>
      </c>
      <c r="B1778" s="1" t="s">
        <v>32</v>
      </c>
      <c r="C1778" s="1">
        <v>1.0</v>
      </c>
      <c r="D1778" s="1" t="s">
        <v>25</v>
      </c>
      <c r="E1778" s="1" t="s">
        <v>26</v>
      </c>
      <c r="F1778" s="1">
        <v>72.0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1">
        <v>25.0</v>
      </c>
      <c r="T1778" s="1">
        <v>1802.55</v>
      </c>
      <c r="U1778" s="1">
        <v>0.0</v>
      </c>
      <c r="V1778" s="1">
        <v>0.0</v>
      </c>
      <c r="W1778" s="1" t="s">
        <v>26</v>
      </c>
    </row>
    <row r="1779" ht="15.75" customHeight="1">
      <c r="A1779" s="1" t="s">
        <v>1816</v>
      </c>
      <c r="B1779" s="1" t="s">
        <v>24</v>
      </c>
      <c r="C1779" s="1">
        <v>0.0</v>
      </c>
      <c r="D1779" s="1" t="s">
        <v>26</v>
      </c>
      <c r="E1779" s="1" t="s">
        <v>26</v>
      </c>
      <c r="F1779" s="1">
        <v>28.0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1">
        <v>54.9</v>
      </c>
      <c r="T1779" s="1">
        <v>1505.15</v>
      </c>
      <c r="U1779" s="1">
        <v>0.0</v>
      </c>
      <c r="V1779" s="1">
        <v>0.0</v>
      </c>
      <c r="W1779" s="1" t="s">
        <v>26</v>
      </c>
    </row>
    <row r="1780" ht="15.75" customHeight="1">
      <c r="A1780" s="1" t="s">
        <v>1817</v>
      </c>
      <c r="B1780" s="1" t="s">
        <v>32</v>
      </c>
      <c r="C1780" s="1">
        <v>0.0</v>
      </c>
      <c r="D1780" s="1" t="s">
        <v>25</v>
      </c>
      <c r="E1780" s="1" t="s">
        <v>25</v>
      </c>
      <c r="F1780" s="1">
        <v>72.0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1">
        <v>24.75</v>
      </c>
      <c r="T1780" s="1">
        <v>1859.1</v>
      </c>
      <c r="U1780" s="1">
        <v>0.0</v>
      </c>
      <c r="V1780" s="1">
        <v>0.0</v>
      </c>
      <c r="W1780" s="1" t="s">
        <v>26</v>
      </c>
    </row>
    <row r="1781" ht="15.75" customHeight="1">
      <c r="A1781" s="1" t="s">
        <v>1818</v>
      </c>
      <c r="B1781" s="1" t="s">
        <v>24</v>
      </c>
      <c r="C1781" s="1">
        <v>0.0</v>
      </c>
      <c r="D1781" s="1" t="s">
        <v>26</v>
      </c>
      <c r="E1781" s="1" t="s">
        <v>26</v>
      </c>
      <c r="F1781" s="1">
        <v>2.0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1">
        <v>91.15</v>
      </c>
      <c r="T1781" s="1">
        <v>168.5</v>
      </c>
      <c r="U1781" s="1">
        <v>0.0</v>
      </c>
      <c r="V1781" s="1">
        <v>0.0</v>
      </c>
      <c r="W1781" s="1" t="s">
        <v>26</v>
      </c>
    </row>
    <row r="1782" ht="15.75" customHeight="1">
      <c r="A1782" s="1" t="s">
        <v>1819</v>
      </c>
      <c r="B1782" s="1" t="s">
        <v>24</v>
      </c>
      <c r="C1782" s="1">
        <v>0.0</v>
      </c>
      <c r="D1782" s="1" t="s">
        <v>26</v>
      </c>
      <c r="E1782" s="1" t="s">
        <v>25</v>
      </c>
      <c r="F1782" s="1">
        <v>18.0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1">
        <v>20.15</v>
      </c>
      <c r="T1782" s="1">
        <v>390.85</v>
      </c>
      <c r="U1782" s="1">
        <v>0.0</v>
      </c>
      <c r="V1782" s="1">
        <v>0.0</v>
      </c>
      <c r="W1782" s="1" t="s">
        <v>25</v>
      </c>
    </row>
    <row r="1783" ht="15.75" customHeight="1">
      <c r="A1783" s="1" t="s">
        <v>1820</v>
      </c>
      <c r="B1783" s="1" t="s">
        <v>32</v>
      </c>
      <c r="C1783" s="1">
        <v>1.0</v>
      </c>
      <c r="D1783" s="1" t="s">
        <v>25</v>
      </c>
      <c r="E1783" s="1" t="s">
        <v>26</v>
      </c>
      <c r="F1783" s="1">
        <v>60.0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1">
        <v>104.35</v>
      </c>
      <c r="T1783" s="1">
        <v>6339.45</v>
      </c>
      <c r="U1783" s="1">
        <v>0.0</v>
      </c>
      <c r="V1783" s="1">
        <v>0.0</v>
      </c>
      <c r="W1783" s="1" t="s">
        <v>26</v>
      </c>
    </row>
    <row r="1784" ht="15.75" customHeight="1">
      <c r="A1784" s="1" t="s">
        <v>1821</v>
      </c>
      <c r="B1784" s="1" t="s">
        <v>24</v>
      </c>
      <c r="C1784" s="1">
        <v>1.0</v>
      </c>
      <c r="D1784" s="1" t="s">
        <v>26</v>
      </c>
      <c r="E1784" s="1" t="s">
        <v>26</v>
      </c>
      <c r="F1784" s="1">
        <v>26.0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1">
        <v>66.05</v>
      </c>
      <c r="T1784" s="1">
        <v>1652.4</v>
      </c>
      <c r="U1784" s="1">
        <v>0.0</v>
      </c>
      <c r="V1784" s="1">
        <v>0.0</v>
      </c>
      <c r="W1784" s="1" t="s">
        <v>26</v>
      </c>
    </row>
    <row r="1785" ht="15.75" customHeight="1">
      <c r="A1785" s="1" t="s">
        <v>1822</v>
      </c>
      <c r="B1785" s="1" t="s">
        <v>32</v>
      </c>
      <c r="C1785" s="1">
        <v>0.0</v>
      </c>
      <c r="D1785" s="1" t="s">
        <v>26</v>
      </c>
      <c r="E1785" s="1" t="s">
        <v>25</v>
      </c>
      <c r="F1785" s="1">
        <v>1.0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1">
        <v>71.65</v>
      </c>
      <c r="T1785" s="1">
        <v>71.65</v>
      </c>
      <c r="U1785" s="1">
        <v>0.0</v>
      </c>
      <c r="V1785" s="1">
        <v>0.0</v>
      </c>
      <c r="W1785" s="1" t="s">
        <v>25</v>
      </c>
    </row>
    <row r="1786" ht="15.75" customHeight="1">
      <c r="A1786" s="1" t="s">
        <v>1823</v>
      </c>
      <c r="B1786" s="1" t="s">
        <v>24</v>
      </c>
      <c r="C1786" s="1">
        <v>0.0</v>
      </c>
      <c r="D1786" s="1" t="s">
        <v>26</v>
      </c>
      <c r="E1786" s="1" t="s">
        <v>26</v>
      </c>
      <c r="F1786" s="1">
        <v>4.0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1">
        <v>20.35</v>
      </c>
      <c r="T1786" s="1">
        <v>77.5</v>
      </c>
      <c r="U1786" s="1">
        <v>0.0</v>
      </c>
      <c r="V1786" s="1">
        <v>0.0</v>
      </c>
      <c r="W1786" s="1" t="s">
        <v>25</v>
      </c>
    </row>
    <row r="1787" ht="15.75" customHeight="1">
      <c r="A1787" s="1" t="s">
        <v>1824</v>
      </c>
      <c r="B1787" s="1" t="s">
        <v>32</v>
      </c>
      <c r="C1787" s="1">
        <v>0.0</v>
      </c>
      <c r="D1787" s="1" t="s">
        <v>25</v>
      </c>
      <c r="E1787" s="1" t="s">
        <v>25</v>
      </c>
      <c r="F1787" s="1">
        <v>68.0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1">
        <v>92.2</v>
      </c>
      <c r="T1787" s="1">
        <v>6392.85</v>
      </c>
      <c r="U1787" s="1">
        <v>0.0</v>
      </c>
      <c r="V1787" s="1">
        <v>0.0</v>
      </c>
      <c r="W1787" s="1" t="s">
        <v>26</v>
      </c>
    </row>
    <row r="1788" ht="15.75" customHeight="1">
      <c r="A1788" s="1" t="s">
        <v>1825</v>
      </c>
      <c r="B1788" s="1" t="s">
        <v>24</v>
      </c>
      <c r="C1788" s="1">
        <v>0.0</v>
      </c>
      <c r="D1788" s="1" t="s">
        <v>26</v>
      </c>
      <c r="E1788" s="1" t="s">
        <v>26</v>
      </c>
      <c r="F1788" s="1">
        <v>38.0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1">
        <v>84.25</v>
      </c>
      <c r="T1788" s="1">
        <v>3264.5</v>
      </c>
      <c r="U1788" s="1">
        <v>0.0</v>
      </c>
      <c r="V1788" s="1">
        <v>3.0</v>
      </c>
      <c r="W1788" s="1" t="s">
        <v>25</v>
      </c>
    </row>
    <row r="1789" ht="15.75" customHeight="1">
      <c r="A1789" s="1" t="s">
        <v>1826</v>
      </c>
      <c r="B1789" s="1" t="s">
        <v>24</v>
      </c>
      <c r="C1789" s="1">
        <v>1.0</v>
      </c>
      <c r="D1789" s="1" t="s">
        <v>25</v>
      </c>
      <c r="E1789" s="1" t="s">
        <v>26</v>
      </c>
      <c r="F1789" s="1">
        <v>42.0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1">
        <v>105.2</v>
      </c>
      <c r="T1789" s="1">
        <v>4599.15</v>
      </c>
      <c r="U1789" s="1">
        <v>0.0</v>
      </c>
      <c r="V1789" s="1">
        <v>0.0</v>
      </c>
      <c r="W1789" s="1" t="s">
        <v>26</v>
      </c>
    </row>
    <row r="1790" ht="15.75" customHeight="1">
      <c r="A1790" s="1" t="s">
        <v>1827</v>
      </c>
      <c r="B1790" s="1" t="s">
        <v>24</v>
      </c>
      <c r="C1790" s="1">
        <v>0.0</v>
      </c>
      <c r="D1790" s="1" t="s">
        <v>25</v>
      </c>
      <c r="E1790" s="1" t="s">
        <v>26</v>
      </c>
      <c r="F1790" s="1">
        <v>57.0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1">
        <v>19.6</v>
      </c>
      <c r="T1790" s="1">
        <v>1134.25</v>
      </c>
      <c r="U1790" s="1">
        <v>0.0</v>
      </c>
      <c r="V1790" s="1">
        <v>0.0</v>
      </c>
      <c r="W1790" s="1" t="s">
        <v>26</v>
      </c>
    </row>
    <row r="1791" ht="15.75" customHeight="1">
      <c r="A1791" s="1" t="s">
        <v>1828</v>
      </c>
      <c r="B1791" s="1" t="s">
        <v>32</v>
      </c>
      <c r="C1791" s="1">
        <v>0.0</v>
      </c>
      <c r="D1791" s="1" t="s">
        <v>25</v>
      </c>
      <c r="E1791" s="1" t="s">
        <v>26</v>
      </c>
      <c r="F1791" s="1">
        <v>54.0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1">
        <v>30.4</v>
      </c>
      <c r="T1791" s="1">
        <v>1621.35</v>
      </c>
      <c r="U1791" s="1">
        <v>0.0</v>
      </c>
      <c r="V1791" s="1">
        <v>0.0</v>
      </c>
      <c r="W1791" s="1" t="s">
        <v>26</v>
      </c>
    </row>
    <row r="1792" ht="15.75" customHeight="1">
      <c r="A1792" s="1" t="s">
        <v>1829</v>
      </c>
      <c r="B1792" s="1" t="s">
        <v>24</v>
      </c>
      <c r="C1792" s="1">
        <v>0.0</v>
      </c>
      <c r="D1792" s="1" t="s">
        <v>26</v>
      </c>
      <c r="E1792" s="1" t="s">
        <v>26</v>
      </c>
      <c r="F1792" s="1">
        <v>12.0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1">
        <v>78.1</v>
      </c>
      <c r="T1792" s="1">
        <v>947.3</v>
      </c>
      <c r="U1792" s="1">
        <v>0.0</v>
      </c>
      <c r="V1792" s="1">
        <v>0.0</v>
      </c>
      <c r="W1792" s="1" t="s">
        <v>25</v>
      </c>
    </row>
    <row r="1793" ht="15.75" customHeight="1">
      <c r="A1793" s="1" t="s">
        <v>1830</v>
      </c>
      <c r="B1793" s="1" t="s">
        <v>24</v>
      </c>
      <c r="C1793" s="1">
        <v>0.0</v>
      </c>
      <c r="D1793" s="1" t="s">
        <v>25</v>
      </c>
      <c r="E1793" s="1" t="s">
        <v>26</v>
      </c>
      <c r="F1793" s="1">
        <v>44.0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1">
        <v>61.5</v>
      </c>
      <c r="T1793" s="1">
        <v>2722.2</v>
      </c>
      <c r="U1793" s="1">
        <v>0.0</v>
      </c>
      <c r="V1793" s="1">
        <v>0.0</v>
      </c>
      <c r="W1793" s="1" t="s">
        <v>26</v>
      </c>
    </row>
    <row r="1794" ht="15.75" customHeight="1">
      <c r="A1794" s="1" t="s">
        <v>1831</v>
      </c>
      <c r="B1794" s="1" t="s">
        <v>32</v>
      </c>
      <c r="C1794" s="1">
        <v>0.0</v>
      </c>
      <c r="D1794" s="1" t="s">
        <v>25</v>
      </c>
      <c r="E1794" s="1" t="s">
        <v>25</v>
      </c>
      <c r="F1794" s="1">
        <v>42.0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1">
        <v>69.4</v>
      </c>
      <c r="T1794" s="1">
        <v>3058.3</v>
      </c>
      <c r="U1794" s="1">
        <v>4.0</v>
      </c>
      <c r="V1794" s="1">
        <v>0.0</v>
      </c>
      <c r="W1794" s="1" t="s">
        <v>26</v>
      </c>
    </row>
    <row r="1795" ht="15.75" customHeight="1">
      <c r="A1795" s="1" t="s">
        <v>1832</v>
      </c>
      <c r="B1795" s="1" t="s">
        <v>32</v>
      </c>
      <c r="C1795" s="1">
        <v>0.0</v>
      </c>
      <c r="D1795" s="1" t="s">
        <v>25</v>
      </c>
      <c r="E1795" s="1" t="s">
        <v>25</v>
      </c>
      <c r="F1795" s="1">
        <v>72.0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1">
        <v>24.75</v>
      </c>
      <c r="T1795" s="1">
        <v>1769.6</v>
      </c>
      <c r="U1795" s="1">
        <v>0.0</v>
      </c>
      <c r="V1795" s="1">
        <v>0.0</v>
      </c>
      <c r="W1795" s="1" t="s">
        <v>26</v>
      </c>
    </row>
    <row r="1796" ht="15.75" customHeight="1">
      <c r="A1796" s="1" t="s">
        <v>1833</v>
      </c>
      <c r="B1796" s="1" t="s">
        <v>24</v>
      </c>
      <c r="C1796" s="1">
        <v>0.0</v>
      </c>
      <c r="D1796" s="1" t="s">
        <v>25</v>
      </c>
      <c r="E1796" s="1" t="s">
        <v>25</v>
      </c>
      <c r="F1796" s="1">
        <v>71.0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1">
        <v>91.05</v>
      </c>
      <c r="T1796" s="1">
        <v>6293.75</v>
      </c>
      <c r="U1796" s="1">
        <v>0.0</v>
      </c>
      <c r="V1796" s="1">
        <v>0.0</v>
      </c>
      <c r="W1796" s="1" t="s">
        <v>26</v>
      </c>
    </row>
    <row r="1797" ht="15.75" customHeight="1">
      <c r="A1797" s="1" t="s">
        <v>1834</v>
      </c>
      <c r="B1797" s="1" t="s">
        <v>24</v>
      </c>
      <c r="C1797" s="1">
        <v>0.0</v>
      </c>
      <c r="D1797" s="1" t="s">
        <v>25</v>
      </c>
      <c r="E1797" s="1" t="s">
        <v>26</v>
      </c>
      <c r="F1797" s="1">
        <v>19.0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1">
        <v>89.65</v>
      </c>
      <c r="T1797" s="1">
        <v>1761.05</v>
      </c>
      <c r="U1797" s="1">
        <v>3.0</v>
      </c>
      <c r="V1797" s="1">
        <v>1.0</v>
      </c>
      <c r="W1797" s="1" t="s">
        <v>25</v>
      </c>
    </row>
    <row r="1798" ht="15.75" customHeight="1">
      <c r="A1798" s="1" t="s">
        <v>1835</v>
      </c>
      <c r="B1798" s="1" t="s">
        <v>24</v>
      </c>
      <c r="C1798" s="1">
        <v>0.0</v>
      </c>
      <c r="D1798" s="1" t="s">
        <v>25</v>
      </c>
      <c r="E1798" s="1" t="s">
        <v>26</v>
      </c>
      <c r="F1798" s="1">
        <v>23.0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1">
        <v>73.65</v>
      </c>
      <c r="T1798" s="1">
        <v>1642.75</v>
      </c>
      <c r="U1798" s="1">
        <v>0.0</v>
      </c>
      <c r="V1798" s="1">
        <v>0.0</v>
      </c>
      <c r="W1798" s="1" t="s">
        <v>26</v>
      </c>
    </row>
    <row r="1799" ht="15.75" customHeight="1">
      <c r="A1799" s="1" t="s">
        <v>1836</v>
      </c>
      <c r="B1799" s="1" t="s">
        <v>24</v>
      </c>
      <c r="C1799" s="1">
        <v>0.0</v>
      </c>
      <c r="D1799" s="1" t="s">
        <v>26</v>
      </c>
      <c r="E1799" s="1" t="s">
        <v>26</v>
      </c>
      <c r="F1799" s="1">
        <v>30.0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1">
        <v>19.4</v>
      </c>
      <c r="T1799" s="1">
        <v>578.5</v>
      </c>
      <c r="U1799" s="1">
        <v>0.0</v>
      </c>
      <c r="V1799" s="1">
        <v>0.0</v>
      </c>
      <c r="W1799" s="1" t="s">
        <v>26</v>
      </c>
    </row>
    <row r="1800" ht="15.75" customHeight="1">
      <c r="A1800" s="1" t="s">
        <v>1837</v>
      </c>
      <c r="B1800" s="1" t="s">
        <v>32</v>
      </c>
      <c r="C1800" s="1">
        <v>0.0</v>
      </c>
      <c r="D1800" s="1" t="s">
        <v>26</v>
      </c>
      <c r="E1800" s="1" t="s">
        <v>26</v>
      </c>
      <c r="F1800" s="1">
        <v>35.0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1">
        <v>26.2</v>
      </c>
      <c r="T1800" s="1">
        <v>954.9</v>
      </c>
      <c r="U1800" s="1">
        <v>0.0</v>
      </c>
      <c r="V1800" s="1">
        <v>0.0</v>
      </c>
      <c r="W1800" s="1" t="s">
        <v>26</v>
      </c>
    </row>
    <row r="1801" ht="15.75" customHeight="1">
      <c r="A1801" s="1" t="s">
        <v>1838</v>
      </c>
      <c r="B1801" s="1" t="s">
        <v>24</v>
      </c>
      <c r="C1801" s="1">
        <v>0.0</v>
      </c>
      <c r="D1801" s="1" t="s">
        <v>26</v>
      </c>
      <c r="E1801" s="1" t="s">
        <v>26</v>
      </c>
      <c r="F1801" s="1">
        <v>10.0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1">
        <v>98.7</v>
      </c>
      <c r="T1801" s="1">
        <v>973.25</v>
      </c>
      <c r="U1801" s="1">
        <v>0.0</v>
      </c>
      <c r="V1801" s="1">
        <v>1.0</v>
      </c>
      <c r="W1801" s="1" t="s">
        <v>25</v>
      </c>
    </row>
    <row r="1802" ht="15.75" customHeight="1">
      <c r="A1802" s="1" t="s">
        <v>1839</v>
      </c>
      <c r="B1802" s="1" t="s">
        <v>32</v>
      </c>
      <c r="C1802" s="1">
        <v>0.0</v>
      </c>
      <c r="D1802" s="1" t="s">
        <v>26</v>
      </c>
      <c r="E1802" s="1" t="s">
        <v>26</v>
      </c>
      <c r="F1802" s="1">
        <v>1.0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1">
        <v>43.85</v>
      </c>
      <c r="T1802" s="1">
        <v>43.85</v>
      </c>
      <c r="U1802" s="1">
        <v>0.0</v>
      </c>
      <c r="V1802" s="1">
        <v>0.0</v>
      </c>
      <c r="W1802" s="1" t="s">
        <v>26</v>
      </c>
    </row>
    <row r="1803" ht="15.75" customHeight="1">
      <c r="A1803" s="1" t="s">
        <v>1840</v>
      </c>
      <c r="B1803" s="1" t="s">
        <v>32</v>
      </c>
      <c r="C1803" s="1">
        <v>0.0</v>
      </c>
      <c r="D1803" s="1" t="s">
        <v>26</v>
      </c>
      <c r="E1803" s="1" t="s">
        <v>26</v>
      </c>
      <c r="F1803" s="1">
        <v>22.0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1">
        <v>69.7</v>
      </c>
      <c r="T1803" s="1">
        <v>1490.4</v>
      </c>
      <c r="U1803" s="1">
        <v>0.0</v>
      </c>
      <c r="V1803" s="1">
        <v>0.0</v>
      </c>
      <c r="W1803" s="1" t="s">
        <v>26</v>
      </c>
    </row>
    <row r="1804" ht="15.75" customHeight="1">
      <c r="A1804" s="1" t="s">
        <v>1841</v>
      </c>
      <c r="B1804" s="1" t="s">
        <v>32</v>
      </c>
      <c r="C1804" s="1">
        <v>0.0</v>
      </c>
      <c r="D1804" s="1" t="s">
        <v>25</v>
      </c>
      <c r="E1804" s="1" t="s">
        <v>25</v>
      </c>
      <c r="F1804" s="1">
        <v>7.0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1">
        <v>38.55</v>
      </c>
      <c r="T1804" s="1">
        <v>280.0</v>
      </c>
      <c r="U1804" s="1">
        <v>0.0</v>
      </c>
      <c r="V1804" s="1">
        <v>0.0</v>
      </c>
      <c r="W1804" s="1" t="s">
        <v>26</v>
      </c>
    </row>
    <row r="1805" ht="15.75" customHeight="1">
      <c r="A1805" s="1" t="s">
        <v>1842</v>
      </c>
      <c r="B1805" s="1" t="s">
        <v>24</v>
      </c>
      <c r="C1805" s="1">
        <v>0.0</v>
      </c>
      <c r="D1805" s="1" t="s">
        <v>26</v>
      </c>
      <c r="E1805" s="1" t="s">
        <v>26</v>
      </c>
      <c r="F1805" s="1">
        <v>36.0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1">
        <v>53.1</v>
      </c>
      <c r="T1805" s="1">
        <v>1901.25</v>
      </c>
      <c r="U1805" s="1">
        <v>0.0</v>
      </c>
      <c r="V1805" s="1">
        <v>0.0</v>
      </c>
      <c r="W1805" s="1" t="s">
        <v>26</v>
      </c>
    </row>
    <row r="1806" ht="15.75" customHeight="1">
      <c r="A1806" s="1" t="s">
        <v>1843</v>
      </c>
      <c r="B1806" s="1" t="s">
        <v>24</v>
      </c>
      <c r="C1806" s="1">
        <v>0.0</v>
      </c>
      <c r="D1806" s="1" t="s">
        <v>25</v>
      </c>
      <c r="E1806" s="1" t="s">
        <v>25</v>
      </c>
      <c r="F1806" s="1">
        <v>34.0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1">
        <v>20.65</v>
      </c>
      <c r="T1806" s="1">
        <v>716.4</v>
      </c>
      <c r="U1806" s="1">
        <v>0.0</v>
      </c>
      <c r="V1806" s="1">
        <v>0.0</v>
      </c>
      <c r="W1806" s="1" t="s">
        <v>26</v>
      </c>
    </row>
    <row r="1807" ht="15.75" customHeight="1">
      <c r="A1807" s="1" t="s">
        <v>1844</v>
      </c>
      <c r="B1807" s="1" t="s">
        <v>32</v>
      </c>
      <c r="C1807" s="1">
        <v>0.0</v>
      </c>
      <c r="D1807" s="1" t="s">
        <v>25</v>
      </c>
      <c r="E1807" s="1" t="s">
        <v>25</v>
      </c>
      <c r="F1807" s="1">
        <v>72.0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1">
        <v>64.45</v>
      </c>
      <c r="T1807" s="1">
        <v>4720.0</v>
      </c>
      <c r="U1807" s="1">
        <v>0.0</v>
      </c>
      <c r="V1807" s="1">
        <v>0.0</v>
      </c>
      <c r="W1807" s="1" t="s">
        <v>26</v>
      </c>
    </row>
    <row r="1808" ht="15.75" customHeight="1">
      <c r="A1808" s="1" t="s">
        <v>1845</v>
      </c>
      <c r="B1808" s="1" t="s">
        <v>32</v>
      </c>
      <c r="C1808" s="1">
        <v>0.0</v>
      </c>
      <c r="D1808" s="1" t="s">
        <v>25</v>
      </c>
      <c r="E1808" s="1" t="s">
        <v>25</v>
      </c>
      <c r="F1808" s="1">
        <v>36.0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1">
        <v>25.1</v>
      </c>
      <c r="T1808" s="1">
        <v>930.95</v>
      </c>
      <c r="U1808" s="1">
        <v>3.0</v>
      </c>
      <c r="V1808" s="1">
        <v>0.0</v>
      </c>
      <c r="W1808" s="1" t="s">
        <v>26</v>
      </c>
    </row>
    <row r="1809" ht="15.75" customHeight="1">
      <c r="A1809" s="1" t="s">
        <v>1846</v>
      </c>
      <c r="B1809" s="1" t="s">
        <v>24</v>
      </c>
      <c r="C1809" s="1">
        <v>0.0</v>
      </c>
      <c r="D1809" s="1" t="s">
        <v>26</v>
      </c>
      <c r="E1809" s="1" t="s">
        <v>26</v>
      </c>
      <c r="F1809" s="1">
        <v>1.0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1">
        <v>76.35</v>
      </c>
      <c r="T1809" s="1">
        <v>76.35</v>
      </c>
      <c r="U1809" s="1">
        <v>0.0</v>
      </c>
      <c r="V1809" s="1">
        <v>0.0</v>
      </c>
      <c r="W1809" s="1" t="s">
        <v>25</v>
      </c>
    </row>
    <row r="1810" ht="15.75" customHeight="1">
      <c r="A1810" s="1" t="s">
        <v>1847</v>
      </c>
      <c r="B1810" s="1" t="s">
        <v>24</v>
      </c>
      <c r="C1810" s="1">
        <v>0.0</v>
      </c>
      <c r="D1810" s="1" t="s">
        <v>26</v>
      </c>
      <c r="E1810" s="1" t="s">
        <v>26</v>
      </c>
      <c r="F1810" s="1">
        <v>23.0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1">
        <v>79.15</v>
      </c>
      <c r="T1810" s="1">
        <v>1676.95</v>
      </c>
      <c r="U1810" s="1">
        <v>0.0</v>
      </c>
      <c r="V1810" s="1">
        <v>0.0</v>
      </c>
      <c r="W1810" s="1" t="s">
        <v>25</v>
      </c>
    </row>
    <row r="1811" ht="15.75" customHeight="1">
      <c r="A1811" s="1" t="s">
        <v>1848</v>
      </c>
      <c r="B1811" s="1" t="s">
        <v>32</v>
      </c>
      <c r="C1811" s="1">
        <v>1.0</v>
      </c>
      <c r="D1811" s="1" t="s">
        <v>25</v>
      </c>
      <c r="E1811" s="1" t="s">
        <v>26</v>
      </c>
      <c r="F1811" s="1">
        <v>32.0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1">
        <v>85.0</v>
      </c>
      <c r="T1811" s="1">
        <v>2642.05</v>
      </c>
      <c r="U1811" s="1">
        <v>0.0</v>
      </c>
      <c r="V1811" s="1">
        <v>0.0</v>
      </c>
      <c r="W1811" s="1" t="s">
        <v>25</v>
      </c>
    </row>
    <row r="1812" ht="15.75" customHeight="1">
      <c r="A1812" s="1" t="s">
        <v>1849</v>
      </c>
      <c r="B1812" s="1" t="s">
        <v>24</v>
      </c>
      <c r="C1812" s="1">
        <v>0.0</v>
      </c>
      <c r="D1812" s="1" t="s">
        <v>25</v>
      </c>
      <c r="E1812" s="1" t="s">
        <v>25</v>
      </c>
      <c r="F1812" s="1">
        <v>71.0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1">
        <v>95.15</v>
      </c>
      <c r="T1812" s="1">
        <v>6770.85</v>
      </c>
      <c r="U1812" s="1">
        <v>0.0</v>
      </c>
      <c r="V1812" s="1">
        <v>0.0</v>
      </c>
      <c r="W1812" s="1" t="s">
        <v>26</v>
      </c>
    </row>
    <row r="1813" ht="15.75" customHeight="1">
      <c r="A1813" s="1" t="s">
        <v>1850</v>
      </c>
      <c r="B1813" s="1" t="s">
        <v>24</v>
      </c>
      <c r="C1813" s="1">
        <v>1.0</v>
      </c>
      <c r="D1813" s="1" t="s">
        <v>26</v>
      </c>
      <c r="E1813" s="1" t="s">
        <v>26</v>
      </c>
      <c r="F1813" s="1">
        <v>23.0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1">
        <v>79.35</v>
      </c>
      <c r="T1813" s="1">
        <v>1835.3</v>
      </c>
      <c r="U1813" s="1">
        <v>0.0</v>
      </c>
      <c r="V1813" s="1">
        <v>0.0</v>
      </c>
      <c r="W1813" s="1" t="s">
        <v>26</v>
      </c>
    </row>
    <row r="1814" ht="15.75" customHeight="1">
      <c r="A1814" s="1" t="s">
        <v>1851</v>
      </c>
      <c r="B1814" s="1" t="s">
        <v>32</v>
      </c>
      <c r="C1814" s="1">
        <v>0.0</v>
      </c>
      <c r="D1814" s="1" t="s">
        <v>25</v>
      </c>
      <c r="E1814" s="1" t="s">
        <v>26</v>
      </c>
      <c r="F1814" s="1">
        <v>17.0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1">
        <v>96.65</v>
      </c>
      <c r="T1814" s="1">
        <v>1588.25</v>
      </c>
      <c r="U1814" s="1">
        <v>0.0</v>
      </c>
      <c r="V1814" s="1">
        <v>0.0</v>
      </c>
      <c r="W1814" s="1" t="s">
        <v>26</v>
      </c>
    </row>
    <row r="1815" ht="15.75" customHeight="1">
      <c r="A1815" s="1" t="s">
        <v>1852</v>
      </c>
      <c r="B1815" s="1" t="s">
        <v>32</v>
      </c>
      <c r="C1815" s="1">
        <v>0.0</v>
      </c>
      <c r="D1815" s="1" t="s">
        <v>26</v>
      </c>
      <c r="E1815" s="1" t="s">
        <v>26</v>
      </c>
      <c r="F1815" s="1">
        <v>1.0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1">
        <v>75.5</v>
      </c>
      <c r="T1815" s="1">
        <v>75.5</v>
      </c>
      <c r="U1815" s="1">
        <v>0.0</v>
      </c>
      <c r="V1815" s="1">
        <v>0.0</v>
      </c>
      <c r="W1815" s="1" t="s">
        <v>26</v>
      </c>
    </row>
    <row r="1816" ht="15.75" customHeight="1">
      <c r="A1816" s="1" t="s">
        <v>1853</v>
      </c>
      <c r="B1816" s="1" t="s">
        <v>32</v>
      </c>
      <c r="C1816" s="1">
        <v>0.0</v>
      </c>
      <c r="D1816" s="1" t="s">
        <v>25</v>
      </c>
      <c r="E1816" s="1" t="s">
        <v>25</v>
      </c>
      <c r="F1816" s="1">
        <v>12.0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1">
        <v>19.7</v>
      </c>
      <c r="T1816" s="1">
        <v>258.35</v>
      </c>
      <c r="U1816" s="1">
        <v>0.0</v>
      </c>
      <c r="V1816" s="1">
        <v>0.0</v>
      </c>
      <c r="W1816" s="1" t="s">
        <v>26</v>
      </c>
    </row>
    <row r="1817" ht="15.75" customHeight="1">
      <c r="A1817" s="1" t="s">
        <v>1854</v>
      </c>
      <c r="B1817" s="1" t="s">
        <v>24</v>
      </c>
      <c r="C1817" s="1">
        <v>0.0</v>
      </c>
      <c r="D1817" s="1" t="s">
        <v>25</v>
      </c>
      <c r="E1817" s="1" t="s">
        <v>26</v>
      </c>
      <c r="F1817" s="1">
        <v>72.0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1">
        <v>20.5</v>
      </c>
      <c r="T1817" s="1">
        <v>1502.25</v>
      </c>
      <c r="U1817" s="1">
        <v>2.0</v>
      </c>
      <c r="V1817" s="1">
        <v>0.0</v>
      </c>
      <c r="W1817" s="1" t="s">
        <v>26</v>
      </c>
    </row>
    <row r="1818" ht="15.75" customHeight="1">
      <c r="A1818" s="1" t="s">
        <v>1855</v>
      </c>
      <c r="B1818" s="1" t="s">
        <v>32</v>
      </c>
      <c r="C1818" s="1">
        <v>0.0</v>
      </c>
      <c r="D1818" s="1" t="s">
        <v>26</v>
      </c>
      <c r="E1818" s="1" t="s">
        <v>26</v>
      </c>
      <c r="F1818" s="1">
        <v>1.0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1">
        <v>19.2</v>
      </c>
      <c r="T1818" s="1">
        <v>19.2</v>
      </c>
      <c r="U1818" s="1">
        <v>5.0</v>
      </c>
      <c r="V1818" s="1">
        <v>0.0</v>
      </c>
      <c r="W1818" s="1" t="s">
        <v>26</v>
      </c>
    </row>
    <row r="1819" ht="15.75" customHeight="1">
      <c r="A1819" s="1" t="s">
        <v>1856</v>
      </c>
      <c r="B1819" s="1" t="s">
        <v>32</v>
      </c>
      <c r="C1819" s="1">
        <v>1.0</v>
      </c>
      <c r="D1819" s="1" t="s">
        <v>25</v>
      </c>
      <c r="E1819" s="1" t="s">
        <v>26</v>
      </c>
      <c r="F1819" s="1">
        <v>72.0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1">
        <v>98.35</v>
      </c>
      <c r="T1819" s="1">
        <v>6929.4</v>
      </c>
      <c r="U1819" s="1">
        <v>5.0</v>
      </c>
      <c r="V1819" s="1">
        <v>0.0</v>
      </c>
      <c r="W1819" s="1" t="s">
        <v>26</v>
      </c>
    </row>
    <row r="1820" ht="15.75" customHeight="1">
      <c r="A1820" s="1" t="s">
        <v>1857</v>
      </c>
      <c r="B1820" s="1" t="s">
        <v>32</v>
      </c>
      <c r="C1820" s="1">
        <v>0.0</v>
      </c>
      <c r="D1820" s="1" t="s">
        <v>25</v>
      </c>
      <c r="E1820" s="1" t="s">
        <v>25</v>
      </c>
      <c r="F1820" s="1">
        <v>60.0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1">
        <v>74.35</v>
      </c>
      <c r="T1820" s="1">
        <v>4453.3</v>
      </c>
      <c r="U1820" s="1">
        <v>0.0</v>
      </c>
      <c r="V1820" s="1">
        <v>1.0</v>
      </c>
      <c r="W1820" s="1" t="s">
        <v>26</v>
      </c>
    </row>
    <row r="1821" ht="15.75" customHeight="1">
      <c r="A1821" s="1" t="s">
        <v>1858</v>
      </c>
      <c r="B1821" s="1" t="s">
        <v>24</v>
      </c>
      <c r="C1821" s="1">
        <v>0.0</v>
      </c>
      <c r="D1821" s="1" t="s">
        <v>25</v>
      </c>
      <c r="E1821" s="1" t="s">
        <v>25</v>
      </c>
      <c r="F1821" s="1">
        <v>61.0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1">
        <v>51.35</v>
      </c>
      <c r="T1821" s="1">
        <v>3244.4</v>
      </c>
      <c r="U1821" s="1">
        <v>0.0</v>
      </c>
      <c r="V1821" s="1">
        <v>5.0</v>
      </c>
      <c r="W1821" s="1" t="s">
        <v>26</v>
      </c>
    </row>
    <row r="1822" ht="15.75" customHeight="1">
      <c r="A1822" s="1" t="s">
        <v>1859</v>
      </c>
      <c r="B1822" s="1" t="s">
        <v>24</v>
      </c>
      <c r="C1822" s="1">
        <v>0.0</v>
      </c>
      <c r="D1822" s="1" t="s">
        <v>25</v>
      </c>
      <c r="E1822" s="1" t="s">
        <v>26</v>
      </c>
      <c r="F1822" s="1">
        <v>6.0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1">
        <v>45.65</v>
      </c>
      <c r="T1822" s="1">
        <v>323.45</v>
      </c>
      <c r="U1822" s="1">
        <v>0.0</v>
      </c>
      <c r="V1822" s="1">
        <v>0.0</v>
      </c>
      <c r="W1822" s="1" t="s">
        <v>26</v>
      </c>
    </row>
    <row r="1823" ht="15.75" customHeight="1">
      <c r="A1823" s="1" t="s">
        <v>1860</v>
      </c>
      <c r="B1823" s="1" t="s">
        <v>32</v>
      </c>
      <c r="C1823" s="1">
        <v>1.0</v>
      </c>
      <c r="D1823" s="1" t="s">
        <v>25</v>
      </c>
      <c r="E1823" s="1" t="s">
        <v>26</v>
      </c>
      <c r="F1823" s="1">
        <v>32.0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1">
        <v>85.3</v>
      </c>
      <c r="T1823" s="1">
        <v>2661.1</v>
      </c>
      <c r="U1823" s="1">
        <v>0.0</v>
      </c>
      <c r="V1823" s="1">
        <v>0.0</v>
      </c>
      <c r="W1823" s="1" t="s">
        <v>25</v>
      </c>
    </row>
    <row r="1824" ht="15.75" customHeight="1">
      <c r="A1824" s="1" t="s">
        <v>1861</v>
      </c>
      <c r="B1824" s="1" t="s">
        <v>24</v>
      </c>
      <c r="C1824" s="1">
        <v>0.0</v>
      </c>
      <c r="D1824" s="1" t="s">
        <v>26</v>
      </c>
      <c r="E1824" s="1" t="s">
        <v>25</v>
      </c>
      <c r="F1824" s="1">
        <v>31.0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1">
        <v>86.55</v>
      </c>
      <c r="T1824" s="1">
        <v>2697.4</v>
      </c>
      <c r="U1824" s="1">
        <v>0.0</v>
      </c>
      <c r="V1824" s="1">
        <v>0.0</v>
      </c>
      <c r="W1824" s="1" t="s">
        <v>25</v>
      </c>
    </row>
    <row r="1825" ht="15.75" customHeight="1">
      <c r="A1825" s="1" t="s">
        <v>1862</v>
      </c>
      <c r="B1825" s="1" t="s">
        <v>32</v>
      </c>
      <c r="C1825" s="1">
        <v>0.0</v>
      </c>
      <c r="D1825" s="1" t="s">
        <v>26</v>
      </c>
      <c r="E1825" s="1" t="s">
        <v>26</v>
      </c>
      <c r="F1825" s="1">
        <v>19.0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1">
        <v>73.85</v>
      </c>
      <c r="T1825" s="1">
        <v>1424.5</v>
      </c>
      <c r="U1825" s="1">
        <v>0.0</v>
      </c>
      <c r="V1825" s="1">
        <v>0.0</v>
      </c>
      <c r="W1825" s="1" t="s">
        <v>25</v>
      </c>
    </row>
    <row r="1826" ht="15.75" customHeight="1">
      <c r="A1826" s="1" t="s">
        <v>1863</v>
      </c>
      <c r="B1826" s="1" t="s">
        <v>32</v>
      </c>
      <c r="C1826" s="1">
        <v>0.0</v>
      </c>
      <c r="D1826" s="1" t="s">
        <v>25</v>
      </c>
      <c r="E1826" s="1" t="s">
        <v>25</v>
      </c>
      <c r="F1826" s="1">
        <v>72.0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1">
        <v>20.3</v>
      </c>
      <c r="T1826" s="1">
        <v>1401.15</v>
      </c>
      <c r="U1826" s="1">
        <v>0.0</v>
      </c>
      <c r="V1826" s="1">
        <v>0.0</v>
      </c>
      <c r="W1826" s="1" t="s">
        <v>26</v>
      </c>
    </row>
    <row r="1827" ht="15.75" customHeight="1">
      <c r="A1827" s="1" t="s">
        <v>1864</v>
      </c>
      <c r="B1827" s="1" t="s">
        <v>24</v>
      </c>
      <c r="C1827" s="1">
        <v>0.0</v>
      </c>
      <c r="D1827" s="1" t="s">
        <v>26</v>
      </c>
      <c r="E1827" s="1" t="s">
        <v>26</v>
      </c>
      <c r="F1827" s="1">
        <v>32.0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1">
        <v>54.2</v>
      </c>
      <c r="T1827" s="1">
        <v>1739.6</v>
      </c>
      <c r="U1827" s="1">
        <v>0.0</v>
      </c>
      <c r="V1827" s="1">
        <v>0.0</v>
      </c>
      <c r="W1827" s="1" t="s">
        <v>26</v>
      </c>
    </row>
    <row r="1828" ht="15.75" customHeight="1">
      <c r="A1828" s="1" t="s">
        <v>1865</v>
      </c>
      <c r="B1828" s="1" t="s">
        <v>32</v>
      </c>
      <c r="C1828" s="1">
        <v>0.0</v>
      </c>
      <c r="D1828" s="1" t="s">
        <v>25</v>
      </c>
      <c r="E1828" s="1" t="s">
        <v>26</v>
      </c>
      <c r="F1828" s="1">
        <v>65.0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1">
        <v>90.65</v>
      </c>
      <c r="T1828" s="1">
        <v>5931.0</v>
      </c>
      <c r="U1828" s="1">
        <v>0.0</v>
      </c>
      <c r="V1828" s="1">
        <v>0.0</v>
      </c>
      <c r="W1828" s="1" t="s">
        <v>26</v>
      </c>
    </row>
    <row r="1829" ht="15.75" customHeight="1">
      <c r="A1829" s="1" t="s">
        <v>1866</v>
      </c>
      <c r="B1829" s="1" t="s">
        <v>24</v>
      </c>
      <c r="C1829" s="1">
        <v>0.0</v>
      </c>
      <c r="D1829" s="1" t="s">
        <v>25</v>
      </c>
      <c r="E1829" s="1" t="s">
        <v>25</v>
      </c>
      <c r="F1829" s="1">
        <v>45.0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1">
        <v>50.9</v>
      </c>
      <c r="T1829" s="1">
        <v>2333.85</v>
      </c>
      <c r="U1829" s="1">
        <v>0.0</v>
      </c>
      <c r="V1829" s="1">
        <v>0.0</v>
      </c>
      <c r="W1829" s="1" t="s">
        <v>26</v>
      </c>
    </row>
    <row r="1830" ht="15.75" customHeight="1">
      <c r="A1830" s="1" t="s">
        <v>1867</v>
      </c>
      <c r="B1830" s="1" t="s">
        <v>32</v>
      </c>
      <c r="C1830" s="1">
        <v>0.0</v>
      </c>
      <c r="D1830" s="1" t="s">
        <v>26</v>
      </c>
      <c r="E1830" s="1" t="s">
        <v>26</v>
      </c>
      <c r="F1830" s="1">
        <v>42.0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1">
        <v>25.05</v>
      </c>
      <c r="T1830" s="1">
        <v>949.85</v>
      </c>
      <c r="U1830" s="1">
        <v>4.0</v>
      </c>
      <c r="V1830" s="1">
        <v>0.0</v>
      </c>
      <c r="W1830" s="1" t="s">
        <v>26</v>
      </c>
    </row>
    <row r="1831" ht="15.75" customHeight="1">
      <c r="A1831" s="1" t="s">
        <v>1868</v>
      </c>
      <c r="B1831" s="1" t="s">
        <v>32</v>
      </c>
      <c r="C1831" s="1">
        <v>0.0</v>
      </c>
      <c r="D1831" s="1" t="s">
        <v>26</v>
      </c>
      <c r="E1831" s="1" t="s">
        <v>26</v>
      </c>
      <c r="F1831" s="1">
        <v>8.0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1">
        <v>74.85</v>
      </c>
      <c r="T1831" s="1">
        <v>572.45</v>
      </c>
      <c r="U1831" s="1">
        <v>0.0</v>
      </c>
      <c r="V1831" s="1">
        <v>0.0</v>
      </c>
      <c r="W1831" s="1" t="s">
        <v>26</v>
      </c>
    </row>
    <row r="1832" ht="15.75" customHeight="1">
      <c r="A1832" s="1" t="s">
        <v>1869</v>
      </c>
      <c r="B1832" s="1" t="s">
        <v>32</v>
      </c>
      <c r="C1832" s="1">
        <v>0.0</v>
      </c>
      <c r="D1832" s="1" t="s">
        <v>26</v>
      </c>
      <c r="E1832" s="1" t="s">
        <v>25</v>
      </c>
      <c r="F1832" s="1">
        <v>32.0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1">
        <v>20.5</v>
      </c>
      <c r="T1832" s="1">
        <v>696.8</v>
      </c>
      <c r="U1832" s="1">
        <v>0.0</v>
      </c>
      <c r="V1832" s="1">
        <v>0.0</v>
      </c>
      <c r="W1832" s="1" t="s">
        <v>26</v>
      </c>
    </row>
    <row r="1833" ht="15.75" customHeight="1">
      <c r="A1833" s="1" t="s">
        <v>1870</v>
      </c>
      <c r="B1833" s="1" t="s">
        <v>24</v>
      </c>
      <c r="C1833" s="1">
        <v>1.0</v>
      </c>
      <c r="D1833" s="1" t="s">
        <v>25</v>
      </c>
      <c r="E1833" s="1" t="s">
        <v>26</v>
      </c>
      <c r="F1833" s="1">
        <v>22.0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1">
        <v>63.55</v>
      </c>
      <c r="T1833" s="1">
        <v>1381.8</v>
      </c>
      <c r="U1833" s="1">
        <v>0.0</v>
      </c>
      <c r="V1833" s="1">
        <v>0.0</v>
      </c>
      <c r="W1833" s="1" t="s">
        <v>26</v>
      </c>
    </row>
    <row r="1834" ht="15.75" customHeight="1">
      <c r="A1834" s="1" t="s">
        <v>1871</v>
      </c>
      <c r="B1834" s="1" t="s">
        <v>32</v>
      </c>
      <c r="C1834" s="1">
        <v>1.0</v>
      </c>
      <c r="D1834" s="1" t="s">
        <v>25</v>
      </c>
      <c r="E1834" s="1" t="s">
        <v>26</v>
      </c>
      <c r="F1834" s="1">
        <v>57.0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1">
        <v>44.85</v>
      </c>
      <c r="T1834" s="1">
        <v>2572.95</v>
      </c>
      <c r="U1834" s="1">
        <v>0.0</v>
      </c>
      <c r="V1834" s="1">
        <v>4.0</v>
      </c>
      <c r="W1834" s="1" t="s">
        <v>25</v>
      </c>
    </row>
    <row r="1835" ht="15.75" customHeight="1">
      <c r="A1835" s="1" t="s">
        <v>1872</v>
      </c>
      <c r="B1835" s="1" t="s">
        <v>32</v>
      </c>
      <c r="C1835" s="1">
        <v>0.0</v>
      </c>
      <c r="D1835" s="1" t="s">
        <v>26</v>
      </c>
      <c r="E1835" s="1" t="s">
        <v>26</v>
      </c>
      <c r="F1835" s="1">
        <v>1.0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1">
        <v>47.95</v>
      </c>
      <c r="T1835" s="1">
        <v>47.95</v>
      </c>
      <c r="U1835" s="1">
        <v>0.0</v>
      </c>
      <c r="V1835" s="1">
        <v>0.0</v>
      </c>
      <c r="W1835" s="1" t="s">
        <v>26</v>
      </c>
    </row>
    <row r="1836" ht="15.75" customHeight="1">
      <c r="A1836" s="1" t="s">
        <v>1873</v>
      </c>
      <c r="B1836" s="1" t="s">
        <v>32</v>
      </c>
      <c r="C1836" s="1">
        <v>1.0</v>
      </c>
      <c r="D1836" s="1" t="s">
        <v>26</v>
      </c>
      <c r="E1836" s="1" t="s">
        <v>26</v>
      </c>
      <c r="F1836" s="1">
        <v>1.0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1">
        <v>45.1</v>
      </c>
      <c r="T1836" s="1">
        <v>45.1</v>
      </c>
      <c r="U1836" s="1">
        <v>0.0</v>
      </c>
      <c r="V1836" s="1">
        <v>0.0</v>
      </c>
      <c r="W1836" s="1" t="s">
        <v>25</v>
      </c>
    </row>
    <row r="1837" ht="15.75" customHeight="1">
      <c r="A1837" s="1" t="s">
        <v>1874</v>
      </c>
      <c r="B1837" s="1" t="s">
        <v>24</v>
      </c>
      <c r="C1837" s="1">
        <v>0.0</v>
      </c>
      <c r="D1837" s="1" t="s">
        <v>25</v>
      </c>
      <c r="E1837" s="1" t="s">
        <v>26</v>
      </c>
      <c r="F1837" s="1">
        <v>1.0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1">
        <v>45.0</v>
      </c>
      <c r="T1837" s="1">
        <v>45.0</v>
      </c>
      <c r="U1837" s="1">
        <v>0.0</v>
      </c>
      <c r="V1837" s="1">
        <v>0.0</v>
      </c>
      <c r="W1837" s="1" t="s">
        <v>26</v>
      </c>
    </row>
    <row r="1838" ht="15.75" customHeight="1">
      <c r="A1838" s="1" t="s">
        <v>1875</v>
      </c>
      <c r="B1838" s="1" t="s">
        <v>32</v>
      </c>
      <c r="C1838" s="1">
        <v>0.0</v>
      </c>
      <c r="D1838" s="1" t="s">
        <v>26</v>
      </c>
      <c r="E1838" s="1" t="s">
        <v>26</v>
      </c>
      <c r="F1838" s="1">
        <v>24.0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1">
        <v>96.0</v>
      </c>
      <c r="T1838" s="1">
        <v>2122.45</v>
      </c>
      <c r="U1838" s="1">
        <v>0.0</v>
      </c>
      <c r="V1838" s="1">
        <v>2.0</v>
      </c>
      <c r="W1838" s="1" t="s">
        <v>25</v>
      </c>
    </row>
    <row r="1839" ht="15.75" customHeight="1">
      <c r="A1839" s="1" t="s">
        <v>1876</v>
      </c>
      <c r="B1839" s="1" t="s">
        <v>32</v>
      </c>
      <c r="C1839" s="1">
        <v>0.0</v>
      </c>
      <c r="D1839" s="1" t="s">
        <v>26</v>
      </c>
      <c r="E1839" s="1" t="s">
        <v>26</v>
      </c>
      <c r="F1839" s="1">
        <v>1.0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1">
        <v>20.05</v>
      </c>
      <c r="T1839" s="1">
        <v>20.05</v>
      </c>
      <c r="U1839" s="1">
        <v>0.0</v>
      </c>
      <c r="V1839" s="1">
        <v>0.0</v>
      </c>
      <c r="W1839" s="1" t="s">
        <v>25</v>
      </c>
    </row>
    <row r="1840" ht="15.75" customHeight="1">
      <c r="A1840" s="1" t="s">
        <v>1877</v>
      </c>
      <c r="B1840" s="1" t="s">
        <v>32</v>
      </c>
      <c r="C1840" s="1">
        <v>1.0</v>
      </c>
      <c r="D1840" s="1" t="s">
        <v>26</v>
      </c>
      <c r="E1840" s="1" t="s">
        <v>26</v>
      </c>
      <c r="F1840" s="1">
        <v>54.0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1">
        <v>90.05</v>
      </c>
      <c r="T1840" s="1">
        <v>4931.8</v>
      </c>
      <c r="U1840" s="1">
        <v>0.0</v>
      </c>
      <c r="V1840" s="1">
        <v>0.0</v>
      </c>
      <c r="W1840" s="1" t="s">
        <v>26</v>
      </c>
    </row>
    <row r="1841" ht="15.75" customHeight="1">
      <c r="A1841" s="1" t="s">
        <v>1878</v>
      </c>
      <c r="B1841" s="1" t="s">
        <v>24</v>
      </c>
      <c r="C1841" s="1">
        <v>0.0</v>
      </c>
      <c r="D1841" s="1" t="s">
        <v>26</v>
      </c>
      <c r="E1841" s="1" t="s">
        <v>26</v>
      </c>
      <c r="F1841" s="1">
        <v>4.0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1">
        <v>25.3</v>
      </c>
      <c r="T1841" s="1">
        <v>116.95</v>
      </c>
      <c r="U1841" s="1">
        <v>2.0</v>
      </c>
      <c r="V1841" s="1">
        <v>0.0</v>
      </c>
      <c r="W1841" s="1" t="s">
        <v>26</v>
      </c>
    </row>
    <row r="1842" ht="15.75" customHeight="1">
      <c r="A1842" s="1" t="s">
        <v>1879</v>
      </c>
      <c r="B1842" s="1" t="s">
        <v>32</v>
      </c>
      <c r="C1842" s="1">
        <v>0.0</v>
      </c>
      <c r="D1842" s="1" t="s">
        <v>25</v>
      </c>
      <c r="E1842" s="1" t="s">
        <v>25</v>
      </c>
      <c r="F1842" s="1">
        <v>65.0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1">
        <v>108.65</v>
      </c>
      <c r="T1842" s="1">
        <v>6937.95</v>
      </c>
      <c r="U1842" s="1">
        <v>0.0</v>
      </c>
      <c r="V1842" s="1">
        <v>6.0</v>
      </c>
      <c r="W1842" s="1" t="s">
        <v>25</v>
      </c>
    </row>
    <row r="1843" ht="15.75" customHeight="1">
      <c r="A1843" s="1" t="s">
        <v>1880</v>
      </c>
      <c r="B1843" s="1" t="s">
        <v>24</v>
      </c>
      <c r="C1843" s="1">
        <v>0.0</v>
      </c>
      <c r="D1843" s="1" t="s">
        <v>25</v>
      </c>
      <c r="E1843" s="1" t="s">
        <v>26</v>
      </c>
      <c r="F1843" s="1">
        <v>56.0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1">
        <v>24.3</v>
      </c>
      <c r="T1843" s="1">
        <v>1261.7</v>
      </c>
      <c r="U1843" s="1">
        <v>0.0</v>
      </c>
      <c r="V1843" s="1">
        <v>0.0</v>
      </c>
      <c r="W1843" s="1" t="s">
        <v>26</v>
      </c>
    </row>
    <row r="1844" ht="15.75" customHeight="1">
      <c r="A1844" s="1" t="s">
        <v>1881</v>
      </c>
      <c r="B1844" s="1" t="s">
        <v>32</v>
      </c>
      <c r="C1844" s="1">
        <v>0.0</v>
      </c>
      <c r="D1844" s="1" t="s">
        <v>26</v>
      </c>
      <c r="E1844" s="1" t="s">
        <v>26</v>
      </c>
      <c r="F1844" s="1">
        <v>45.0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1">
        <v>75.95</v>
      </c>
      <c r="T1844" s="1">
        <v>3273.8</v>
      </c>
      <c r="U1844" s="1">
        <v>0.0</v>
      </c>
      <c r="V1844" s="1">
        <v>0.0</v>
      </c>
      <c r="W1844" s="1" t="s">
        <v>26</v>
      </c>
    </row>
    <row r="1845" ht="15.75" customHeight="1">
      <c r="A1845" s="1" t="s">
        <v>1882</v>
      </c>
      <c r="B1845" s="1" t="s">
        <v>24</v>
      </c>
      <c r="C1845" s="1">
        <v>0.0</v>
      </c>
      <c r="D1845" s="1" t="s">
        <v>25</v>
      </c>
      <c r="E1845" s="1" t="s">
        <v>25</v>
      </c>
      <c r="F1845" s="1">
        <v>71.0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1">
        <v>19.7</v>
      </c>
      <c r="T1845" s="1">
        <v>1415.85</v>
      </c>
      <c r="U1845" s="1">
        <v>0.0</v>
      </c>
      <c r="V1845" s="1">
        <v>0.0</v>
      </c>
      <c r="W1845" s="1" t="s">
        <v>26</v>
      </c>
    </row>
    <row r="1846" ht="15.75" customHeight="1">
      <c r="A1846" s="1" t="s">
        <v>1883</v>
      </c>
      <c r="B1846" s="1" t="s">
        <v>32</v>
      </c>
      <c r="C1846" s="1">
        <v>0.0</v>
      </c>
      <c r="D1846" s="1" t="s">
        <v>25</v>
      </c>
      <c r="E1846" s="1" t="s">
        <v>26</v>
      </c>
      <c r="F1846" s="1">
        <v>59.0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1">
        <v>66.4</v>
      </c>
      <c r="T1846" s="1">
        <v>3958.2</v>
      </c>
      <c r="U1846" s="1">
        <v>0.0</v>
      </c>
      <c r="V1846" s="1">
        <v>0.0</v>
      </c>
      <c r="W1846" s="1" t="s">
        <v>26</v>
      </c>
    </row>
    <row r="1847" ht="15.75" customHeight="1">
      <c r="A1847" s="1" t="s">
        <v>1884</v>
      </c>
      <c r="B1847" s="1" t="s">
        <v>32</v>
      </c>
      <c r="C1847" s="1">
        <v>0.0</v>
      </c>
      <c r="D1847" s="1" t="s">
        <v>26</v>
      </c>
      <c r="E1847" s="1" t="s">
        <v>26</v>
      </c>
      <c r="F1847" s="1">
        <v>69.0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1">
        <v>35.75</v>
      </c>
      <c r="T1847" s="1">
        <v>2492.25</v>
      </c>
      <c r="U1847" s="1">
        <v>1.0</v>
      </c>
      <c r="V1847" s="1">
        <v>0.0</v>
      </c>
      <c r="W1847" s="1" t="s">
        <v>26</v>
      </c>
    </row>
    <row r="1848" ht="15.75" customHeight="1">
      <c r="A1848" s="1" t="s">
        <v>1885</v>
      </c>
      <c r="B1848" s="1" t="s">
        <v>32</v>
      </c>
      <c r="C1848" s="1">
        <v>0.0</v>
      </c>
      <c r="D1848" s="1" t="s">
        <v>26</v>
      </c>
      <c r="E1848" s="1" t="s">
        <v>26</v>
      </c>
      <c r="F1848" s="1">
        <v>19.0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1">
        <v>18.8</v>
      </c>
      <c r="T1848" s="1">
        <v>279.2</v>
      </c>
      <c r="U1848" s="1">
        <v>0.0</v>
      </c>
      <c r="V1848" s="1">
        <v>0.0</v>
      </c>
      <c r="W1848" s="1" t="s">
        <v>26</v>
      </c>
    </row>
    <row r="1849" ht="15.75" customHeight="1">
      <c r="A1849" s="1" t="s">
        <v>1886</v>
      </c>
      <c r="B1849" s="1" t="s">
        <v>24</v>
      </c>
      <c r="C1849" s="1">
        <v>0.0</v>
      </c>
      <c r="D1849" s="1" t="s">
        <v>25</v>
      </c>
      <c r="E1849" s="1" t="s">
        <v>25</v>
      </c>
      <c r="F1849" s="1">
        <v>55.0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1">
        <v>19.4</v>
      </c>
      <c r="T1849" s="1">
        <v>1083.0</v>
      </c>
      <c r="U1849" s="1">
        <v>3.0</v>
      </c>
      <c r="V1849" s="1">
        <v>0.0</v>
      </c>
      <c r="W1849" s="1" t="s">
        <v>26</v>
      </c>
    </row>
    <row r="1850" ht="15.75" customHeight="1">
      <c r="A1850" s="1" t="s">
        <v>1887</v>
      </c>
      <c r="B1850" s="1" t="s">
        <v>24</v>
      </c>
      <c r="C1850" s="1">
        <v>0.0</v>
      </c>
      <c r="D1850" s="1" t="s">
        <v>26</v>
      </c>
      <c r="E1850" s="1" t="s">
        <v>26</v>
      </c>
      <c r="F1850" s="1">
        <v>38.0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1">
        <v>19.3</v>
      </c>
      <c r="T1850" s="1">
        <v>755.5</v>
      </c>
      <c r="U1850" s="1">
        <v>0.0</v>
      </c>
      <c r="V1850" s="1">
        <v>0.0</v>
      </c>
      <c r="W1850" s="1" t="s">
        <v>26</v>
      </c>
    </row>
    <row r="1851" ht="15.75" customHeight="1">
      <c r="A1851" s="1" t="s">
        <v>1888</v>
      </c>
      <c r="B1851" s="1" t="s">
        <v>32</v>
      </c>
      <c r="C1851" s="1">
        <v>0.0</v>
      </c>
      <c r="D1851" s="1" t="s">
        <v>26</v>
      </c>
      <c r="E1851" s="1" t="s">
        <v>26</v>
      </c>
      <c r="F1851" s="1">
        <v>10.0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1">
        <v>45.55</v>
      </c>
      <c r="T1851" s="1">
        <v>402.6</v>
      </c>
      <c r="U1851" s="1">
        <v>0.0</v>
      </c>
      <c r="V1851" s="1">
        <v>0.0</v>
      </c>
      <c r="W1851" s="1" t="s">
        <v>25</v>
      </c>
    </row>
    <row r="1852" ht="15.75" customHeight="1">
      <c r="A1852" s="1" t="s">
        <v>1889</v>
      </c>
      <c r="B1852" s="1" t="s">
        <v>24</v>
      </c>
      <c r="C1852" s="1">
        <v>1.0</v>
      </c>
      <c r="D1852" s="1" t="s">
        <v>25</v>
      </c>
      <c r="E1852" s="1" t="s">
        <v>26</v>
      </c>
      <c r="F1852" s="1">
        <v>47.0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1">
        <v>67.45</v>
      </c>
      <c r="T1852" s="1">
        <v>3252.0</v>
      </c>
      <c r="U1852" s="1">
        <v>0.0</v>
      </c>
      <c r="V1852" s="1">
        <v>0.0</v>
      </c>
      <c r="W1852" s="1" t="s">
        <v>26</v>
      </c>
    </row>
    <row r="1853" ht="15.75" customHeight="1">
      <c r="A1853" s="1" t="s">
        <v>1890</v>
      </c>
      <c r="B1853" s="1" t="s">
        <v>24</v>
      </c>
      <c r="C1853" s="1">
        <v>0.0</v>
      </c>
      <c r="D1853" s="1" t="s">
        <v>25</v>
      </c>
      <c r="E1853" s="1" t="s">
        <v>26</v>
      </c>
      <c r="F1853" s="1">
        <v>2.0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1">
        <v>35.1</v>
      </c>
      <c r="T1853" s="1">
        <v>68.75</v>
      </c>
      <c r="U1853" s="1">
        <v>0.0</v>
      </c>
      <c r="V1853" s="1">
        <v>0.0</v>
      </c>
      <c r="W1853" s="1" t="s">
        <v>25</v>
      </c>
    </row>
    <row r="1854" ht="15.75" customHeight="1">
      <c r="A1854" s="1" t="s">
        <v>1891</v>
      </c>
      <c r="B1854" s="1" t="s">
        <v>32</v>
      </c>
      <c r="C1854" s="1">
        <v>0.0</v>
      </c>
      <c r="D1854" s="1" t="s">
        <v>26</v>
      </c>
      <c r="E1854" s="1" t="s">
        <v>26</v>
      </c>
      <c r="F1854" s="1">
        <v>1.0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1">
        <v>46.2</v>
      </c>
      <c r="T1854" s="1">
        <v>46.2</v>
      </c>
      <c r="U1854" s="1">
        <v>0.0</v>
      </c>
      <c r="V1854" s="1">
        <v>0.0</v>
      </c>
      <c r="W1854" s="1" t="s">
        <v>25</v>
      </c>
    </row>
    <row r="1855" ht="15.75" customHeight="1">
      <c r="A1855" s="1" t="s">
        <v>1892</v>
      </c>
      <c r="B1855" s="1" t="s">
        <v>24</v>
      </c>
      <c r="C1855" s="1">
        <v>0.0</v>
      </c>
      <c r="D1855" s="1" t="s">
        <v>26</v>
      </c>
      <c r="E1855" s="1" t="s">
        <v>26</v>
      </c>
      <c r="F1855" s="1">
        <v>1.0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1">
        <v>45.15</v>
      </c>
      <c r="T1855" s="1">
        <v>45.15</v>
      </c>
      <c r="U1855" s="1">
        <v>0.0</v>
      </c>
      <c r="V1855" s="1">
        <v>0.0</v>
      </c>
      <c r="W1855" s="1" t="s">
        <v>25</v>
      </c>
    </row>
    <row r="1856" ht="15.75" customHeight="1">
      <c r="A1856" s="1" t="s">
        <v>1893</v>
      </c>
      <c r="B1856" s="1" t="s">
        <v>32</v>
      </c>
      <c r="C1856" s="1">
        <v>1.0</v>
      </c>
      <c r="D1856" s="1" t="s">
        <v>26</v>
      </c>
      <c r="E1856" s="1" t="s">
        <v>26</v>
      </c>
      <c r="F1856" s="1">
        <v>1.0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1">
        <v>43.3</v>
      </c>
      <c r="T1856" s="1">
        <v>43.3</v>
      </c>
      <c r="U1856" s="1">
        <v>0.0</v>
      </c>
      <c r="V1856" s="1">
        <v>0.0</v>
      </c>
      <c r="W1856" s="1" t="s">
        <v>25</v>
      </c>
    </row>
    <row r="1857" ht="15.75" customHeight="1">
      <c r="A1857" s="1" t="s">
        <v>1894</v>
      </c>
      <c r="B1857" s="1" t="s">
        <v>32</v>
      </c>
      <c r="C1857" s="1">
        <v>0.0</v>
      </c>
      <c r="D1857" s="1" t="s">
        <v>25</v>
      </c>
      <c r="E1857" s="1" t="s">
        <v>25</v>
      </c>
      <c r="F1857" s="1">
        <v>46.0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1">
        <v>20.1</v>
      </c>
      <c r="T1857" s="1">
        <v>936.85</v>
      </c>
      <c r="U1857" s="1">
        <v>2.0</v>
      </c>
      <c r="V1857" s="1">
        <v>0.0</v>
      </c>
      <c r="W1857" s="1" t="s">
        <v>26</v>
      </c>
    </row>
    <row r="1858" ht="15.75" customHeight="1">
      <c r="A1858" s="1" t="s">
        <v>1895</v>
      </c>
      <c r="B1858" s="1" t="s">
        <v>24</v>
      </c>
      <c r="C1858" s="1">
        <v>1.0</v>
      </c>
      <c r="D1858" s="1" t="s">
        <v>26</v>
      </c>
      <c r="E1858" s="1" t="s">
        <v>26</v>
      </c>
      <c r="F1858" s="1">
        <v>38.0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1">
        <v>57.15</v>
      </c>
      <c r="T1858" s="1">
        <v>2250.65</v>
      </c>
      <c r="U1858" s="1">
        <v>0.0</v>
      </c>
      <c r="V1858" s="1">
        <v>3.0</v>
      </c>
      <c r="W1858" s="1" t="s">
        <v>25</v>
      </c>
    </row>
    <row r="1859" ht="15.75" customHeight="1">
      <c r="A1859" s="1" t="s">
        <v>1896</v>
      </c>
      <c r="B1859" s="1" t="s">
        <v>24</v>
      </c>
      <c r="C1859" s="1">
        <v>0.0</v>
      </c>
      <c r="D1859" s="1" t="s">
        <v>25</v>
      </c>
      <c r="E1859" s="1" t="s">
        <v>26</v>
      </c>
      <c r="F1859" s="1">
        <v>65.0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1">
        <v>58.9</v>
      </c>
      <c r="T1859" s="1">
        <v>3857.1</v>
      </c>
      <c r="U1859" s="1">
        <v>0.0</v>
      </c>
      <c r="V1859" s="1">
        <v>0.0</v>
      </c>
      <c r="W1859" s="1" t="s">
        <v>26</v>
      </c>
    </row>
    <row r="1860" ht="15.75" customHeight="1">
      <c r="A1860" s="1" t="s">
        <v>1897</v>
      </c>
      <c r="B1860" s="1" t="s">
        <v>24</v>
      </c>
      <c r="C1860" s="1">
        <v>0.0</v>
      </c>
      <c r="D1860" s="1" t="s">
        <v>25</v>
      </c>
      <c r="E1860" s="1" t="s">
        <v>26</v>
      </c>
      <c r="F1860" s="1">
        <v>19.0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1">
        <v>73.2</v>
      </c>
      <c r="T1860" s="1">
        <v>1441.1</v>
      </c>
      <c r="U1860" s="1">
        <v>0.0</v>
      </c>
      <c r="V1860" s="1">
        <v>0.0</v>
      </c>
      <c r="W1860" s="1" t="s">
        <v>25</v>
      </c>
    </row>
    <row r="1861" ht="15.75" customHeight="1">
      <c r="A1861" s="1" t="s">
        <v>1898</v>
      </c>
      <c r="B1861" s="1" t="s">
        <v>32</v>
      </c>
      <c r="C1861" s="1">
        <v>0.0</v>
      </c>
      <c r="D1861" s="1" t="s">
        <v>26</v>
      </c>
      <c r="E1861" s="1" t="s">
        <v>26</v>
      </c>
      <c r="F1861" s="1">
        <v>52.0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1">
        <v>85.35</v>
      </c>
      <c r="T1861" s="1">
        <v>4338.6</v>
      </c>
      <c r="U1861" s="1">
        <v>0.0</v>
      </c>
      <c r="V1861" s="1">
        <v>5.0</v>
      </c>
      <c r="W1861" s="1" t="s">
        <v>25</v>
      </c>
    </row>
    <row r="1862" ht="15.75" customHeight="1">
      <c r="A1862" s="1" t="s">
        <v>1899</v>
      </c>
      <c r="B1862" s="1" t="s">
        <v>32</v>
      </c>
      <c r="C1862" s="1">
        <v>0.0</v>
      </c>
      <c r="D1862" s="1" t="s">
        <v>25</v>
      </c>
      <c r="E1862" s="1" t="s">
        <v>25</v>
      </c>
      <c r="F1862" s="1">
        <v>71.0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1">
        <v>19.45</v>
      </c>
      <c r="T1862" s="1">
        <v>1378.45</v>
      </c>
      <c r="U1862" s="1">
        <v>0.0</v>
      </c>
      <c r="V1862" s="1">
        <v>0.0</v>
      </c>
      <c r="W1862" s="1" t="s">
        <v>26</v>
      </c>
    </row>
    <row r="1863" ht="15.75" customHeight="1">
      <c r="A1863" s="1" t="s">
        <v>1900</v>
      </c>
      <c r="B1863" s="1" t="s">
        <v>24</v>
      </c>
      <c r="C1863" s="1">
        <v>0.0</v>
      </c>
      <c r="D1863" s="1" t="s">
        <v>26</v>
      </c>
      <c r="E1863" s="1" t="s">
        <v>26</v>
      </c>
      <c r="F1863" s="1">
        <v>1.0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1">
        <v>45.95</v>
      </c>
      <c r="T1863" s="1">
        <v>45.95</v>
      </c>
      <c r="U1863" s="1">
        <v>0.0</v>
      </c>
      <c r="V1863" s="1">
        <v>0.0</v>
      </c>
      <c r="W1863" s="1" t="s">
        <v>25</v>
      </c>
    </row>
    <row r="1864" ht="15.75" customHeight="1">
      <c r="A1864" s="1" t="s">
        <v>1901</v>
      </c>
      <c r="B1864" s="1" t="s">
        <v>24</v>
      </c>
      <c r="C1864" s="1">
        <v>1.0</v>
      </c>
      <c r="D1864" s="1" t="s">
        <v>26</v>
      </c>
      <c r="E1864" s="1" t="s">
        <v>26</v>
      </c>
      <c r="F1864" s="1">
        <v>52.0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1">
        <v>50.5</v>
      </c>
      <c r="T1864" s="1">
        <v>2566.3</v>
      </c>
      <c r="U1864" s="1">
        <v>3.0</v>
      </c>
      <c r="V1864" s="1">
        <v>0.0</v>
      </c>
      <c r="W1864" s="1" t="s">
        <v>26</v>
      </c>
    </row>
    <row r="1865" ht="15.75" customHeight="1">
      <c r="A1865" s="1" t="s">
        <v>1902</v>
      </c>
      <c r="B1865" s="1" t="s">
        <v>32</v>
      </c>
      <c r="C1865" s="1">
        <v>0.0</v>
      </c>
      <c r="D1865" s="1" t="s">
        <v>25</v>
      </c>
      <c r="E1865" s="1" t="s">
        <v>26</v>
      </c>
      <c r="F1865" s="1">
        <v>6.0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1">
        <v>25.1</v>
      </c>
      <c r="T1865" s="1">
        <v>171.0</v>
      </c>
      <c r="U1865" s="1">
        <v>0.0</v>
      </c>
      <c r="V1865" s="1">
        <v>0.0</v>
      </c>
      <c r="W1865" s="1" t="s">
        <v>26</v>
      </c>
    </row>
    <row r="1866" ht="15.75" customHeight="1">
      <c r="A1866" s="1" t="s">
        <v>1903</v>
      </c>
      <c r="B1866" s="1" t="s">
        <v>24</v>
      </c>
      <c r="C1866" s="1">
        <v>1.0</v>
      </c>
      <c r="D1866" s="1" t="s">
        <v>25</v>
      </c>
      <c r="E1866" s="1" t="s">
        <v>26</v>
      </c>
      <c r="F1866" s="1">
        <v>26.0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1">
        <v>60.7</v>
      </c>
      <c r="T1866" s="1">
        <v>1597.4</v>
      </c>
      <c r="U1866" s="1">
        <v>0.0</v>
      </c>
      <c r="V1866" s="1">
        <v>0.0</v>
      </c>
      <c r="W1866" s="1" t="s">
        <v>26</v>
      </c>
    </row>
    <row r="1867" ht="15.75" customHeight="1">
      <c r="A1867" s="1" t="s">
        <v>1904</v>
      </c>
      <c r="B1867" s="1" t="s">
        <v>32</v>
      </c>
      <c r="C1867" s="1">
        <v>1.0</v>
      </c>
      <c r="D1867" s="1" t="s">
        <v>26</v>
      </c>
      <c r="E1867" s="1" t="s">
        <v>26</v>
      </c>
      <c r="F1867" s="1">
        <v>48.0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1">
        <v>99.0</v>
      </c>
      <c r="T1867" s="1">
        <v>4744.35</v>
      </c>
      <c r="U1867" s="1">
        <v>0.0</v>
      </c>
      <c r="V1867" s="1">
        <v>0.0</v>
      </c>
      <c r="W1867" s="1" t="s">
        <v>26</v>
      </c>
    </row>
    <row r="1868" ht="15.75" customHeight="1">
      <c r="A1868" s="1" t="s">
        <v>1905</v>
      </c>
      <c r="B1868" s="1" t="s">
        <v>24</v>
      </c>
      <c r="C1868" s="1">
        <v>0.0</v>
      </c>
      <c r="D1868" s="1" t="s">
        <v>25</v>
      </c>
      <c r="E1868" s="1" t="s">
        <v>25</v>
      </c>
      <c r="F1868" s="1">
        <v>64.0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1">
        <v>104.4</v>
      </c>
      <c r="T1868" s="1">
        <v>6721.6</v>
      </c>
      <c r="U1868" s="1">
        <v>0.0</v>
      </c>
      <c r="V1868" s="1">
        <v>2.0</v>
      </c>
      <c r="W1868" s="1" t="s">
        <v>26</v>
      </c>
    </row>
    <row r="1869" ht="15.75" customHeight="1">
      <c r="A1869" s="1" t="s">
        <v>1906</v>
      </c>
      <c r="B1869" s="1" t="s">
        <v>24</v>
      </c>
      <c r="C1869" s="1">
        <v>0.0</v>
      </c>
      <c r="D1869" s="1" t="s">
        <v>26</v>
      </c>
      <c r="E1869" s="1" t="s">
        <v>26</v>
      </c>
      <c r="F1869" s="1">
        <v>3.0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1">
        <v>83.75</v>
      </c>
      <c r="T1869" s="1">
        <v>247.25</v>
      </c>
      <c r="U1869" s="1">
        <v>0.0</v>
      </c>
      <c r="V1869" s="1">
        <v>0.0</v>
      </c>
      <c r="W1869" s="1" t="s">
        <v>25</v>
      </c>
    </row>
    <row r="1870" ht="15.75" customHeight="1">
      <c r="A1870" s="1" t="s">
        <v>1907</v>
      </c>
      <c r="B1870" s="1" t="s">
        <v>32</v>
      </c>
      <c r="C1870" s="1">
        <v>0.0</v>
      </c>
      <c r="D1870" s="1" t="s">
        <v>26</v>
      </c>
      <c r="E1870" s="1" t="s">
        <v>26</v>
      </c>
      <c r="F1870" s="1">
        <v>1.0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1">
        <v>44.05</v>
      </c>
      <c r="T1870" s="1">
        <v>44.05</v>
      </c>
      <c r="U1870" s="1">
        <v>0.0</v>
      </c>
      <c r="V1870" s="1">
        <v>0.0</v>
      </c>
      <c r="W1870" s="1" t="s">
        <v>26</v>
      </c>
    </row>
    <row r="1871" ht="15.75" customHeight="1">
      <c r="A1871" s="1" t="s">
        <v>1908</v>
      </c>
      <c r="B1871" s="1" t="s">
        <v>32</v>
      </c>
      <c r="C1871" s="1">
        <v>0.0</v>
      </c>
      <c r="D1871" s="1" t="s">
        <v>25</v>
      </c>
      <c r="E1871" s="1" t="s">
        <v>25</v>
      </c>
      <c r="F1871" s="1">
        <v>72.0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1">
        <v>24.1</v>
      </c>
      <c r="T1871" s="1">
        <v>1734.65</v>
      </c>
      <c r="U1871" s="1">
        <v>1.0</v>
      </c>
      <c r="V1871" s="1">
        <v>6.0</v>
      </c>
      <c r="W1871" s="1" t="s">
        <v>26</v>
      </c>
    </row>
    <row r="1872" ht="15.75" customHeight="1">
      <c r="A1872" s="1" t="s">
        <v>1909</v>
      </c>
      <c r="B1872" s="1" t="s">
        <v>32</v>
      </c>
      <c r="C1872" s="1">
        <v>0.0</v>
      </c>
      <c r="D1872" s="1" t="s">
        <v>26</v>
      </c>
      <c r="E1872" s="1" t="s">
        <v>26</v>
      </c>
      <c r="F1872" s="1">
        <v>1.0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1">
        <v>45.55</v>
      </c>
      <c r="T1872" s="1">
        <v>45.55</v>
      </c>
      <c r="U1872" s="1">
        <v>0.0</v>
      </c>
      <c r="V1872" s="1">
        <v>0.0</v>
      </c>
      <c r="W1872" s="1" t="s">
        <v>26</v>
      </c>
    </row>
    <row r="1873" ht="15.75" customHeight="1">
      <c r="A1873" s="1" t="s">
        <v>1910</v>
      </c>
      <c r="B1873" s="1" t="s">
        <v>24</v>
      </c>
      <c r="C1873" s="1">
        <v>0.0</v>
      </c>
      <c r="D1873" s="1" t="s">
        <v>25</v>
      </c>
      <c r="E1873" s="1" t="s">
        <v>25</v>
      </c>
      <c r="F1873" s="1">
        <v>51.0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1">
        <v>93.8</v>
      </c>
      <c r="T1873" s="1">
        <v>4539.35</v>
      </c>
      <c r="U1873" s="1">
        <v>0.0</v>
      </c>
      <c r="V1873" s="1">
        <v>0.0</v>
      </c>
      <c r="W1873" s="1" t="s">
        <v>26</v>
      </c>
    </row>
    <row r="1874" ht="15.75" customHeight="1">
      <c r="A1874" s="1" t="s">
        <v>1911</v>
      </c>
      <c r="B1874" s="1" t="s">
        <v>24</v>
      </c>
      <c r="C1874" s="1">
        <v>0.0</v>
      </c>
      <c r="D1874" s="1" t="s">
        <v>25</v>
      </c>
      <c r="E1874" s="1" t="s">
        <v>25</v>
      </c>
      <c r="F1874" s="1">
        <v>41.0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1">
        <v>19.7</v>
      </c>
      <c r="T1874" s="1">
        <v>804.25</v>
      </c>
      <c r="U1874" s="1">
        <v>0.0</v>
      </c>
      <c r="V1874" s="1">
        <v>0.0</v>
      </c>
      <c r="W1874" s="1" t="s">
        <v>26</v>
      </c>
    </row>
    <row r="1875" ht="15.75" customHeight="1">
      <c r="A1875" s="1" t="s">
        <v>1912</v>
      </c>
      <c r="B1875" s="1" t="s">
        <v>24</v>
      </c>
      <c r="C1875" s="1">
        <v>0.0</v>
      </c>
      <c r="D1875" s="1" t="s">
        <v>25</v>
      </c>
      <c r="E1875" s="1" t="s">
        <v>25</v>
      </c>
      <c r="F1875" s="1">
        <v>72.0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1">
        <v>70.65</v>
      </c>
      <c r="T1875" s="1">
        <v>5011.15</v>
      </c>
      <c r="U1875" s="1">
        <v>0.0</v>
      </c>
      <c r="V1875" s="1">
        <v>0.0</v>
      </c>
      <c r="W1875" s="1" t="s">
        <v>26</v>
      </c>
    </row>
    <row r="1876" ht="15.75" customHeight="1">
      <c r="A1876" s="1" t="s">
        <v>1913</v>
      </c>
      <c r="B1876" s="1" t="s">
        <v>24</v>
      </c>
      <c r="C1876" s="1">
        <v>0.0</v>
      </c>
      <c r="D1876" s="1" t="s">
        <v>25</v>
      </c>
      <c r="E1876" s="1" t="s">
        <v>26</v>
      </c>
      <c r="F1876" s="1">
        <v>43.0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1">
        <v>86.45</v>
      </c>
      <c r="T1876" s="1">
        <v>3574.5</v>
      </c>
      <c r="U1876" s="1">
        <v>0.0</v>
      </c>
      <c r="V1876" s="1">
        <v>0.0</v>
      </c>
      <c r="W1876" s="1" t="s">
        <v>26</v>
      </c>
    </row>
    <row r="1877" ht="15.75" customHeight="1">
      <c r="A1877" s="1" t="s">
        <v>1914</v>
      </c>
      <c r="B1877" s="1" t="s">
        <v>32</v>
      </c>
      <c r="C1877" s="1">
        <v>0.0</v>
      </c>
      <c r="D1877" s="1" t="s">
        <v>25</v>
      </c>
      <c r="E1877" s="1" t="s">
        <v>26</v>
      </c>
      <c r="F1877" s="1">
        <v>72.0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1">
        <v>114.1</v>
      </c>
      <c r="T1877" s="1">
        <v>8086.4</v>
      </c>
      <c r="U1877" s="1">
        <v>0.0</v>
      </c>
      <c r="V1877" s="1">
        <v>0.0</v>
      </c>
      <c r="W1877" s="1" t="s">
        <v>26</v>
      </c>
    </row>
    <row r="1878" ht="15.75" customHeight="1">
      <c r="A1878" s="1" t="s">
        <v>1915</v>
      </c>
      <c r="B1878" s="1" t="s">
        <v>32</v>
      </c>
      <c r="C1878" s="1">
        <v>0.0</v>
      </c>
      <c r="D1878" s="1" t="s">
        <v>25</v>
      </c>
      <c r="E1878" s="1" t="s">
        <v>26</v>
      </c>
      <c r="F1878" s="1">
        <v>47.0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1">
        <v>95.2</v>
      </c>
      <c r="T1878" s="1">
        <v>4563.0</v>
      </c>
      <c r="U1878" s="1">
        <v>0.0</v>
      </c>
      <c r="V1878" s="1">
        <v>4.0</v>
      </c>
      <c r="W1878" s="1" t="s">
        <v>26</v>
      </c>
    </row>
    <row r="1879" ht="15.75" customHeight="1">
      <c r="A1879" s="1" t="s">
        <v>1916</v>
      </c>
      <c r="B1879" s="1" t="s">
        <v>32</v>
      </c>
      <c r="C1879" s="1">
        <v>0.0</v>
      </c>
      <c r="D1879" s="1" t="s">
        <v>26</v>
      </c>
      <c r="E1879" s="1" t="s">
        <v>26</v>
      </c>
      <c r="F1879" s="1">
        <v>72.0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1">
        <v>88.55</v>
      </c>
      <c r="T1879" s="1">
        <v>6362.35</v>
      </c>
      <c r="U1879" s="1">
        <v>0.0</v>
      </c>
      <c r="V1879" s="1">
        <v>0.0</v>
      </c>
      <c r="W1879" s="1" t="s">
        <v>26</v>
      </c>
    </row>
    <row r="1880" ht="15.75" customHeight="1">
      <c r="A1880" s="1" t="s">
        <v>1917</v>
      </c>
      <c r="B1880" s="1" t="s">
        <v>32</v>
      </c>
      <c r="C1880" s="1">
        <v>0.0</v>
      </c>
      <c r="D1880" s="1" t="s">
        <v>26</v>
      </c>
      <c r="E1880" s="1" t="s">
        <v>26</v>
      </c>
      <c r="F1880" s="1">
        <v>3.0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1">
        <v>20.75</v>
      </c>
      <c r="T1880" s="1">
        <v>67.1</v>
      </c>
      <c r="U1880" s="1">
        <v>0.0</v>
      </c>
      <c r="V1880" s="1">
        <v>0.0</v>
      </c>
      <c r="W1880" s="1" t="s">
        <v>26</v>
      </c>
    </row>
    <row r="1881" ht="15.75" customHeight="1">
      <c r="A1881" s="1" t="s">
        <v>1918</v>
      </c>
      <c r="B1881" s="1" t="s">
        <v>32</v>
      </c>
      <c r="C1881" s="1">
        <v>0.0</v>
      </c>
      <c r="D1881" s="1" t="s">
        <v>26</v>
      </c>
      <c r="E1881" s="1" t="s">
        <v>26</v>
      </c>
      <c r="F1881" s="1">
        <v>1.0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1">
        <v>70.05</v>
      </c>
      <c r="T1881" s="1">
        <v>70.05</v>
      </c>
      <c r="U1881" s="1">
        <v>5.0</v>
      </c>
      <c r="V1881" s="1">
        <v>0.0</v>
      </c>
      <c r="W1881" s="1" t="s">
        <v>25</v>
      </c>
    </row>
    <row r="1882" ht="15.75" customHeight="1">
      <c r="A1882" s="1" t="s">
        <v>1919</v>
      </c>
      <c r="B1882" s="1" t="s">
        <v>32</v>
      </c>
      <c r="C1882" s="1">
        <v>0.0</v>
      </c>
      <c r="D1882" s="1" t="s">
        <v>26</v>
      </c>
      <c r="E1882" s="1" t="s">
        <v>26</v>
      </c>
      <c r="F1882" s="1">
        <v>2.0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1">
        <v>86.0</v>
      </c>
      <c r="T1882" s="1">
        <v>165.45</v>
      </c>
      <c r="U1882" s="1">
        <v>0.0</v>
      </c>
      <c r="V1882" s="1">
        <v>0.0</v>
      </c>
      <c r="W1882" s="1" t="s">
        <v>25</v>
      </c>
    </row>
    <row r="1883" ht="15.75" customHeight="1">
      <c r="A1883" s="1" t="s">
        <v>1920</v>
      </c>
      <c r="B1883" s="1" t="s">
        <v>32</v>
      </c>
      <c r="C1883" s="1">
        <v>0.0</v>
      </c>
      <c r="D1883" s="1" t="s">
        <v>26</v>
      </c>
      <c r="E1883" s="1" t="s">
        <v>26</v>
      </c>
      <c r="F1883" s="1">
        <v>26.0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1">
        <v>44.65</v>
      </c>
      <c r="T1883" s="1">
        <v>1156.55</v>
      </c>
      <c r="U1883" s="1">
        <v>3.0</v>
      </c>
      <c r="V1883" s="1">
        <v>0.0</v>
      </c>
      <c r="W1883" s="1" t="s">
        <v>26</v>
      </c>
    </row>
    <row r="1884" ht="15.75" customHeight="1">
      <c r="A1884" s="1" t="s">
        <v>1921</v>
      </c>
      <c r="B1884" s="1" t="s">
        <v>32</v>
      </c>
      <c r="C1884" s="1">
        <v>0.0</v>
      </c>
      <c r="D1884" s="1" t="s">
        <v>25</v>
      </c>
      <c r="E1884" s="1" t="s">
        <v>25</v>
      </c>
      <c r="F1884" s="1">
        <v>29.0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1">
        <v>60.2</v>
      </c>
      <c r="T1884" s="1">
        <v>1834.15</v>
      </c>
      <c r="U1884" s="1">
        <v>0.0</v>
      </c>
      <c r="V1884" s="1">
        <v>0.0</v>
      </c>
      <c r="W1884" s="1" t="s">
        <v>26</v>
      </c>
    </row>
    <row r="1885" ht="15.75" customHeight="1">
      <c r="A1885" s="1" t="s">
        <v>1922</v>
      </c>
      <c r="B1885" s="1" t="s">
        <v>24</v>
      </c>
      <c r="C1885" s="1">
        <v>1.0</v>
      </c>
      <c r="D1885" s="1" t="s">
        <v>25</v>
      </c>
      <c r="E1885" s="1" t="s">
        <v>26</v>
      </c>
      <c r="F1885" s="1">
        <v>35.0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1">
        <v>100.5</v>
      </c>
      <c r="T1885" s="1">
        <v>3653.35</v>
      </c>
      <c r="U1885" s="1">
        <v>0.0</v>
      </c>
      <c r="V1885" s="1">
        <v>3.0</v>
      </c>
      <c r="W1885" s="1" t="s">
        <v>25</v>
      </c>
    </row>
    <row r="1886" ht="15.75" customHeight="1">
      <c r="A1886" s="1" t="s">
        <v>1923</v>
      </c>
      <c r="B1886" s="1" t="s">
        <v>32</v>
      </c>
      <c r="C1886" s="1">
        <v>0.0</v>
      </c>
      <c r="D1886" s="1" t="s">
        <v>26</v>
      </c>
      <c r="E1886" s="1" t="s">
        <v>26</v>
      </c>
      <c r="F1886" s="1">
        <v>27.0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1">
        <v>55.45</v>
      </c>
      <c r="T1886" s="1">
        <v>1477.65</v>
      </c>
      <c r="U1886" s="1">
        <v>0.0</v>
      </c>
      <c r="V1886" s="1">
        <v>0.0</v>
      </c>
      <c r="W1886" s="1" t="s">
        <v>26</v>
      </c>
    </row>
    <row r="1887" ht="15.75" customHeight="1">
      <c r="A1887" s="1" t="s">
        <v>1924</v>
      </c>
      <c r="B1887" s="1" t="s">
        <v>32</v>
      </c>
      <c r="C1887" s="1">
        <v>0.0</v>
      </c>
      <c r="D1887" s="1" t="s">
        <v>25</v>
      </c>
      <c r="E1887" s="1" t="s">
        <v>25</v>
      </c>
      <c r="F1887" s="1">
        <v>24.0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1">
        <v>70.3</v>
      </c>
      <c r="T1887" s="1">
        <v>1706.45</v>
      </c>
      <c r="U1887" s="1">
        <v>5.0</v>
      </c>
      <c r="V1887" s="1">
        <v>1.0</v>
      </c>
      <c r="W1887" s="1" t="s">
        <v>26</v>
      </c>
    </row>
    <row r="1888" ht="15.75" customHeight="1">
      <c r="A1888" s="1" t="s">
        <v>1925</v>
      </c>
      <c r="B1888" s="1" t="s">
        <v>32</v>
      </c>
      <c r="C1888" s="1">
        <v>0.0</v>
      </c>
      <c r="D1888" s="1" t="s">
        <v>25</v>
      </c>
      <c r="E1888" s="1" t="s">
        <v>25</v>
      </c>
      <c r="F1888" s="1">
        <v>67.0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1">
        <v>60.4</v>
      </c>
      <c r="T1888" s="1">
        <v>3953.7</v>
      </c>
      <c r="U1888" s="1">
        <v>0.0</v>
      </c>
      <c r="V1888" s="1">
        <v>0.0</v>
      </c>
      <c r="W1888" s="1" t="s">
        <v>26</v>
      </c>
    </row>
    <row r="1889" ht="15.75" customHeight="1">
      <c r="A1889" s="1" t="s">
        <v>1926</v>
      </c>
      <c r="B1889" s="1" t="s">
        <v>24</v>
      </c>
      <c r="C1889" s="1">
        <v>0.0</v>
      </c>
      <c r="D1889" s="1" t="s">
        <v>26</v>
      </c>
      <c r="E1889" s="1" t="s">
        <v>26</v>
      </c>
      <c r="F1889" s="1">
        <v>16.0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1">
        <v>72.65</v>
      </c>
      <c r="T1889" s="1">
        <v>1194.3</v>
      </c>
      <c r="U1889" s="1">
        <v>4.0</v>
      </c>
      <c r="V1889" s="1">
        <v>0.0</v>
      </c>
      <c r="W1889" s="1" t="s">
        <v>25</v>
      </c>
    </row>
    <row r="1890" ht="15.75" customHeight="1">
      <c r="A1890" s="1" t="s">
        <v>1927</v>
      </c>
      <c r="B1890" s="1" t="s">
        <v>24</v>
      </c>
      <c r="C1890" s="1">
        <v>0.0</v>
      </c>
      <c r="D1890" s="1" t="s">
        <v>26</v>
      </c>
      <c r="E1890" s="1" t="s">
        <v>26</v>
      </c>
      <c r="F1890" s="1">
        <v>23.0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1">
        <v>55.8</v>
      </c>
      <c r="T1890" s="1">
        <v>1327.85</v>
      </c>
      <c r="U1890" s="1">
        <v>0.0</v>
      </c>
      <c r="V1890" s="1">
        <v>0.0</v>
      </c>
      <c r="W1890" s="1" t="s">
        <v>26</v>
      </c>
    </row>
    <row r="1891" ht="15.75" customHeight="1">
      <c r="A1891" s="1" t="s">
        <v>1928</v>
      </c>
      <c r="B1891" s="1" t="s">
        <v>32</v>
      </c>
      <c r="C1891" s="1">
        <v>0.0</v>
      </c>
      <c r="D1891" s="1" t="s">
        <v>26</v>
      </c>
      <c r="E1891" s="1" t="s">
        <v>26</v>
      </c>
      <c r="F1891" s="1">
        <v>14.0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1">
        <v>31.1</v>
      </c>
      <c r="T1891" s="1">
        <v>419.7</v>
      </c>
      <c r="U1891" s="1">
        <v>0.0</v>
      </c>
      <c r="V1891" s="1">
        <v>0.0</v>
      </c>
      <c r="W1891" s="1" t="s">
        <v>26</v>
      </c>
    </row>
    <row r="1892" ht="15.75" customHeight="1">
      <c r="A1892" s="1" t="s">
        <v>1929</v>
      </c>
      <c r="B1892" s="1" t="s">
        <v>24</v>
      </c>
      <c r="C1892" s="1">
        <v>0.0</v>
      </c>
      <c r="D1892" s="1" t="s">
        <v>25</v>
      </c>
      <c r="E1892" s="1" t="s">
        <v>25</v>
      </c>
      <c r="F1892" s="1">
        <v>1.0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1">
        <v>21.0</v>
      </c>
      <c r="T1892" s="1">
        <v>21.0</v>
      </c>
      <c r="U1892" s="1">
        <v>0.0</v>
      </c>
      <c r="V1892" s="1">
        <v>0.0</v>
      </c>
      <c r="W1892" s="1" t="s">
        <v>25</v>
      </c>
    </row>
    <row r="1893" ht="15.75" customHeight="1">
      <c r="A1893" s="1" t="s">
        <v>1930</v>
      </c>
      <c r="B1893" s="1" t="s">
        <v>24</v>
      </c>
      <c r="C1893" s="1">
        <v>1.0</v>
      </c>
      <c r="D1893" s="1" t="s">
        <v>26</v>
      </c>
      <c r="E1893" s="1" t="s">
        <v>26</v>
      </c>
      <c r="F1893" s="1">
        <v>1.0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1">
        <v>45.1</v>
      </c>
      <c r="T1893" s="1">
        <v>45.1</v>
      </c>
      <c r="U1893" s="1">
        <v>0.0</v>
      </c>
      <c r="V1893" s="1">
        <v>0.0</v>
      </c>
      <c r="W1893" s="1" t="s">
        <v>25</v>
      </c>
    </row>
    <row r="1894" ht="15.75" customHeight="1">
      <c r="A1894" s="1" t="s">
        <v>1931</v>
      </c>
      <c r="B1894" s="1" t="s">
        <v>32</v>
      </c>
      <c r="C1894" s="1">
        <v>1.0</v>
      </c>
      <c r="D1894" s="1" t="s">
        <v>26</v>
      </c>
      <c r="E1894" s="1" t="s">
        <v>26</v>
      </c>
      <c r="F1894" s="1">
        <v>4.0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1">
        <v>50.95</v>
      </c>
      <c r="T1894" s="1">
        <v>207.35</v>
      </c>
      <c r="U1894" s="1">
        <v>0.0</v>
      </c>
      <c r="V1894" s="1">
        <v>0.0</v>
      </c>
      <c r="W1894" s="1" t="s">
        <v>26</v>
      </c>
    </row>
    <row r="1895" ht="15.75" customHeight="1">
      <c r="A1895" s="1" t="s">
        <v>1932</v>
      </c>
      <c r="B1895" s="1" t="s">
        <v>32</v>
      </c>
      <c r="C1895" s="1">
        <v>0.0</v>
      </c>
      <c r="D1895" s="1" t="s">
        <v>26</v>
      </c>
      <c r="E1895" s="1" t="s">
        <v>25</v>
      </c>
      <c r="F1895" s="1">
        <v>16.0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1">
        <v>69.1</v>
      </c>
      <c r="T1895" s="1">
        <v>1083.7</v>
      </c>
      <c r="U1895" s="1">
        <v>0.0</v>
      </c>
      <c r="V1895" s="1">
        <v>0.0</v>
      </c>
      <c r="W1895" s="1" t="s">
        <v>26</v>
      </c>
    </row>
    <row r="1896" ht="15.75" customHeight="1">
      <c r="A1896" s="1" t="s">
        <v>1933</v>
      </c>
      <c r="B1896" s="1" t="s">
        <v>24</v>
      </c>
      <c r="C1896" s="1">
        <v>0.0</v>
      </c>
      <c r="D1896" s="1" t="s">
        <v>25</v>
      </c>
      <c r="E1896" s="1" t="s">
        <v>26</v>
      </c>
      <c r="F1896" s="1">
        <v>46.0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1">
        <v>43.95</v>
      </c>
      <c r="T1896" s="1">
        <v>2007.85</v>
      </c>
      <c r="U1896" s="1">
        <v>0.0</v>
      </c>
      <c r="V1896" s="1">
        <v>0.0</v>
      </c>
      <c r="W1896" s="1" t="s">
        <v>26</v>
      </c>
    </row>
    <row r="1897" ht="15.75" customHeight="1">
      <c r="A1897" s="1" t="s">
        <v>1934</v>
      </c>
      <c r="B1897" s="1" t="s">
        <v>32</v>
      </c>
      <c r="C1897" s="1">
        <v>0.0</v>
      </c>
      <c r="D1897" s="1" t="s">
        <v>26</v>
      </c>
      <c r="E1897" s="1" t="s">
        <v>25</v>
      </c>
      <c r="F1897" s="1">
        <v>68.0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1">
        <v>86.5</v>
      </c>
      <c r="T1897" s="1">
        <v>5882.75</v>
      </c>
      <c r="U1897" s="1">
        <v>0.0</v>
      </c>
      <c r="V1897" s="1">
        <v>0.0</v>
      </c>
      <c r="W1897" s="1" t="s">
        <v>26</v>
      </c>
    </row>
    <row r="1898" ht="15.75" customHeight="1">
      <c r="A1898" s="1" t="s">
        <v>1935</v>
      </c>
      <c r="B1898" s="1" t="s">
        <v>32</v>
      </c>
      <c r="C1898" s="1">
        <v>0.0</v>
      </c>
      <c r="D1898" s="1" t="s">
        <v>26</v>
      </c>
      <c r="E1898" s="1" t="s">
        <v>26</v>
      </c>
      <c r="F1898" s="1">
        <v>38.0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1">
        <v>69.95</v>
      </c>
      <c r="T1898" s="1">
        <v>2657.55</v>
      </c>
      <c r="U1898" s="1">
        <v>0.0</v>
      </c>
      <c r="V1898" s="1">
        <v>2.0</v>
      </c>
      <c r="W1898" s="1" t="s">
        <v>26</v>
      </c>
    </row>
    <row r="1899" ht="15.75" customHeight="1">
      <c r="A1899" s="1" t="s">
        <v>1936</v>
      </c>
      <c r="B1899" s="1" t="s">
        <v>32</v>
      </c>
      <c r="C1899" s="1">
        <v>1.0</v>
      </c>
      <c r="D1899" s="1" t="s">
        <v>25</v>
      </c>
      <c r="E1899" s="1" t="s">
        <v>26</v>
      </c>
      <c r="F1899" s="1">
        <v>30.0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1">
        <v>50.4</v>
      </c>
      <c r="T1899" s="1">
        <v>1527.5</v>
      </c>
      <c r="U1899" s="1">
        <v>0.0</v>
      </c>
      <c r="V1899" s="1">
        <v>0.0</v>
      </c>
      <c r="W1899" s="1" t="s">
        <v>25</v>
      </c>
    </row>
    <row r="1900" ht="15.75" customHeight="1">
      <c r="A1900" s="1" t="s">
        <v>1937</v>
      </c>
      <c r="B1900" s="1" t="s">
        <v>24</v>
      </c>
      <c r="C1900" s="1">
        <v>1.0</v>
      </c>
      <c r="D1900" s="1" t="s">
        <v>26</v>
      </c>
      <c r="E1900" s="1" t="s">
        <v>26</v>
      </c>
      <c r="F1900" s="1">
        <v>5.0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1">
        <v>78.95</v>
      </c>
      <c r="T1900" s="1">
        <v>378.4</v>
      </c>
      <c r="U1900" s="1">
        <v>0.0</v>
      </c>
      <c r="V1900" s="1">
        <v>0.0</v>
      </c>
      <c r="W1900" s="1" t="s">
        <v>25</v>
      </c>
    </row>
    <row r="1901" ht="15.75" customHeight="1">
      <c r="A1901" s="1" t="s">
        <v>1938</v>
      </c>
      <c r="B1901" s="1" t="s">
        <v>32</v>
      </c>
      <c r="C1901" s="1">
        <v>0.0</v>
      </c>
      <c r="D1901" s="1" t="s">
        <v>26</v>
      </c>
      <c r="E1901" s="1" t="s">
        <v>26</v>
      </c>
      <c r="F1901" s="1">
        <v>17.0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1">
        <v>90.95</v>
      </c>
      <c r="T1901" s="1">
        <v>1612.2</v>
      </c>
      <c r="U1901" s="1">
        <v>0.0</v>
      </c>
      <c r="V1901" s="1">
        <v>0.0</v>
      </c>
      <c r="W1901" s="1" t="s">
        <v>26</v>
      </c>
    </row>
    <row r="1902" ht="15.75" customHeight="1">
      <c r="A1902" s="1" t="s">
        <v>1939</v>
      </c>
      <c r="B1902" s="1" t="s">
        <v>32</v>
      </c>
      <c r="C1902" s="1">
        <v>0.0</v>
      </c>
      <c r="D1902" s="1" t="s">
        <v>25</v>
      </c>
      <c r="E1902" s="1" t="s">
        <v>25</v>
      </c>
      <c r="F1902" s="1">
        <v>4.0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1">
        <v>19.9</v>
      </c>
      <c r="T1902" s="1">
        <v>76.65</v>
      </c>
      <c r="U1902" s="1">
        <v>0.0</v>
      </c>
      <c r="V1902" s="1">
        <v>0.0</v>
      </c>
      <c r="W1902" s="1" t="s">
        <v>26</v>
      </c>
    </row>
    <row r="1903" ht="15.75" customHeight="1">
      <c r="A1903" s="1" t="s">
        <v>1940</v>
      </c>
      <c r="B1903" s="1" t="s">
        <v>24</v>
      </c>
      <c r="C1903" s="1">
        <v>0.0</v>
      </c>
      <c r="D1903" s="1" t="s">
        <v>26</v>
      </c>
      <c r="E1903" s="1" t="s">
        <v>26</v>
      </c>
      <c r="F1903" s="1">
        <v>12.0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1">
        <v>20.15</v>
      </c>
      <c r="T1903" s="1">
        <v>260.7</v>
      </c>
      <c r="U1903" s="1">
        <v>0.0</v>
      </c>
      <c r="V1903" s="1">
        <v>0.0</v>
      </c>
      <c r="W1903" s="1" t="s">
        <v>26</v>
      </c>
    </row>
    <row r="1904" ht="15.75" customHeight="1">
      <c r="A1904" s="1" t="s">
        <v>1941</v>
      </c>
      <c r="B1904" s="1" t="s">
        <v>32</v>
      </c>
      <c r="C1904" s="1">
        <v>0.0</v>
      </c>
      <c r="D1904" s="1" t="s">
        <v>25</v>
      </c>
      <c r="E1904" s="1" t="s">
        <v>25</v>
      </c>
      <c r="F1904" s="1">
        <v>72.0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1">
        <v>90.6</v>
      </c>
      <c r="T1904" s="1">
        <v>6441.85</v>
      </c>
      <c r="U1904" s="1">
        <v>0.0</v>
      </c>
      <c r="V1904" s="1">
        <v>0.0</v>
      </c>
      <c r="W1904" s="1" t="s">
        <v>26</v>
      </c>
    </row>
    <row r="1905" ht="15.75" customHeight="1">
      <c r="A1905" s="1" t="s">
        <v>1942</v>
      </c>
      <c r="B1905" s="1" t="s">
        <v>32</v>
      </c>
      <c r="C1905" s="1">
        <v>0.0</v>
      </c>
      <c r="D1905" s="1" t="s">
        <v>26</v>
      </c>
      <c r="E1905" s="1" t="s">
        <v>26</v>
      </c>
      <c r="F1905" s="1">
        <v>3.0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1">
        <v>92.0</v>
      </c>
      <c r="T1905" s="1">
        <v>266.8</v>
      </c>
      <c r="U1905" s="1">
        <v>0.0</v>
      </c>
      <c r="V1905" s="1">
        <v>0.0</v>
      </c>
      <c r="W1905" s="1" t="s">
        <v>26</v>
      </c>
    </row>
    <row r="1906" ht="15.75" customHeight="1">
      <c r="A1906" s="1" t="s">
        <v>1943</v>
      </c>
      <c r="B1906" s="1" t="s">
        <v>32</v>
      </c>
      <c r="C1906" s="1">
        <v>0.0</v>
      </c>
      <c r="D1906" s="1" t="s">
        <v>26</v>
      </c>
      <c r="E1906" s="1" t="s">
        <v>26</v>
      </c>
      <c r="F1906" s="1">
        <v>56.0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1">
        <v>94.45</v>
      </c>
      <c r="T1906" s="1">
        <v>5124.6</v>
      </c>
      <c r="U1906" s="1">
        <v>0.0</v>
      </c>
      <c r="V1906" s="1">
        <v>5.0</v>
      </c>
      <c r="W1906" s="1" t="s">
        <v>25</v>
      </c>
    </row>
    <row r="1907" ht="15.75" customHeight="1">
      <c r="A1907" s="1" t="s">
        <v>1944</v>
      </c>
      <c r="B1907" s="1" t="s">
        <v>24</v>
      </c>
      <c r="C1907" s="1">
        <v>0.0</v>
      </c>
      <c r="D1907" s="1" t="s">
        <v>26</v>
      </c>
      <c r="E1907" s="1" t="s">
        <v>26</v>
      </c>
      <c r="F1907" s="1">
        <v>41.0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1">
        <v>24.85</v>
      </c>
      <c r="T1907" s="1">
        <v>962.25</v>
      </c>
      <c r="U1907" s="1">
        <v>0.0</v>
      </c>
      <c r="V1907" s="1">
        <v>0.0</v>
      </c>
      <c r="W1907" s="1" t="s">
        <v>26</v>
      </c>
    </row>
    <row r="1908" ht="15.75" customHeight="1">
      <c r="A1908" s="1" t="s">
        <v>1945</v>
      </c>
      <c r="B1908" s="1" t="s">
        <v>32</v>
      </c>
      <c r="C1908" s="1">
        <v>0.0</v>
      </c>
      <c r="D1908" s="1" t="s">
        <v>26</v>
      </c>
      <c r="E1908" s="1" t="s">
        <v>26</v>
      </c>
      <c r="F1908" s="1">
        <v>40.0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1">
        <v>36.0</v>
      </c>
      <c r="T1908" s="1">
        <v>1382.9</v>
      </c>
      <c r="U1908" s="1">
        <v>0.0</v>
      </c>
      <c r="V1908" s="1">
        <v>0.0</v>
      </c>
      <c r="W1908" s="1" t="s">
        <v>26</v>
      </c>
    </row>
    <row r="1909" ht="15.75" customHeight="1">
      <c r="A1909" s="1" t="s">
        <v>1946</v>
      </c>
      <c r="B1909" s="1" t="s">
        <v>24</v>
      </c>
      <c r="C1909" s="1">
        <v>0.0</v>
      </c>
      <c r="D1909" s="1" t="s">
        <v>26</v>
      </c>
      <c r="E1909" s="1" t="s">
        <v>26</v>
      </c>
      <c r="F1909" s="1">
        <v>7.0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1">
        <v>78.5</v>
      </c>
      <c r="T1909" s="1">
        <v>571.05</v>
      </c>
      <c r="U1909" s="1">
        <v>0.0</v>
      </c>
      <c r="V1909" s="1">
        <v>0.0</v>
      </c>
      <c r="W1909" s="1" t="s">
        <v>26</v>
      </c>
    </row>
    <row r="1910" ht="15.75" customHeight="1">
      <c r="A1910" s="1" t="s">
        <v>1947</v>
      </c>
      <c r="B1910" s="1" t="s">
        <v>32</v>
      </c>
      <c r="C1910" s="1">
        <v>0.0</v>
      </c>
      <c r="D1910" s="1" t="s">
        <v>26</v>
      </c>
      <c r="E1910" s="1" t="s">
        <v>26</v>
      </c>
      <c r="F1910" s="1">
        <v>69.0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1">
        <v>19.95</v>
      </c>
      <c r="T1910" s="1">
        <v>1399.35</v>
      </c>
      <c r="U1910" s="1">
        <v>0.0</v>
      </c>
      <c r="V1910" s="1">
        <v>0.0</v>
      </c>
      <c r="W1910" s="1" t="s">
        <v>26</v>
      </c>
    </row>
    <row r="1911" ht="15.75" customHeight="1">
      <c r="A1911" s="1" t="s">
        <v>1948</v>
      </c>
      <c r="B1911" s="1" t="s">
        <v>32</v>
      </c>
      <c r="C1911" s="1">
        <v>0.0</v>
      </c>
      <c r="D1911" s="1" t="s">
        <v>25</v>
      </c>
      <c r="E1911" s="1" t="s">
        <v>25</v>
      </c>
      <c r="F1911" s="1">
        <v>7.0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1">
        <v>20.65</v>
      </c>
      <c r="T1911" s="1">
        <v>150.0</v>
      </c>
      <c r="U1911" s="1">
        <v>0.0</v>
      </c>
      <c r="V1911" s="1">
        <v>0.0</v>
      </c>
      <c r="W1911" s="1" t="s">
        <v>26</v>
      </c>
    </row>
    <row r="1912" ht="15.75" customHeight="1">
      <c r="A1912" s="1" t="s">
        <v>1949</v>
      </c>
      <c r="B1912" s="1" t="s">
        <v>24</v>
      </c>
      <c r="C1912" s="1">
        <v>0.0</v>
      </c>
      <c r="D1912" s="1" t="s">
        <v>25</v>
      </c>
      <c r="E1912" s="1" t="s">
        <v>25</v>
      </c>
      <c r="F1912" s="1">
        <v>5.0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1">
        <v>30.5</v>
      </c>
      <c r="T1912" s="1">
        <v>167.2</v>
      </c>
      <c r="U1912" s="1">
        <v>0.0</v>
      </c>
      <c r="V1912" s="1">
        <v>0.0</v>
      </c>
      <c r="W1912" s="1" t="s">
        <v>26</v>
      </c>
    </row>
    <row r="1913" ht="15.75" customHeight="1">
      <c r="A1913" s="1" t="s">
        <v>1950</v>
      </c>
      <c r="B1913" s="1" t="s">
        <v>24</v>
      </c>
      <c r="C1913" s="1">
        <v>0.0</v>
      </c>
      <c r="D1913" s="1" t="s">
        <v>25</v>
      </c>
      <c r="E1913" s="1" t="s">
        <v>25</v>
      </c>
      <c r="F1913" s="1">
        <v>72.0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1">
        <v>106.1</v>
      </c>
      <c r="T1913" s="1">
        <v>7657.4</v>
      </c>
      <c r="U1913" s="1">
        <v>4.0</v>
      </c>
      <c r="V1913" s="1">
        <v>0.0</v>
      </c>
      <c r="W1913" s="1" t="s">
        <v>26</v>
      </c>
    </row>
    <row r="1914" ht="15.75" customHeight="1">
      <c r="A1914" s="1" t="s">
        <v>1951</v>
      </c>
      <c r="B1914" s="1" t="s">
        <v>32</v>
      </c>
      <c r="C1914" s="1">
        <v>0.0</v>
      </c>
      <c r="D1914" s="1" t="s">
        <v>25</v>
      </c>
      <c r="E1914" s="1" t="s">
        <v>25</v>
      </c>
      <c r="F1914" s="1">
        <v>44.0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1">
        <v>20.5</v>
      </c>
      <c r="T1914" s="1">
        <v>865.05</v>
      </c>
      <c r="U1914" s="1">
        <v>0.0</v>
      </c>
      <c r="V1914" s="1">
        <v>0.0</v>
      </c>
      <c r="W1914" s="1" t="s">
        <v>26</v>
      </c>
    </row>
    <row r="1915" ht="15.75" customHeight="1">
      <c r="A1915" s="1" t="s">
        <v>1952</v>
      </c>
      <c r="B1915" s="1" t="s">
        <v>24</v>
      </c>
      <c r="C1915" s="1">
        <v>0.0</v>
      </c>
      <c r="D1915" s="1" t="s">
        <v>26</v>
      </c>
      <c r="E1915" s="1" t="s">
        <v>26</v>
      </c>
      <c r="F1915" s="1">
        <v>65.0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1">
        <v>95.5</v>
      </c>
      <c r="T1915" s="1">
        <v>6153.85</v>
      </c>
      <c r="U1915" s="1">
        <v>1.0</v>
      </c>
      <c r="V1915" s="1">
        <v>0.0</v>
      </c>
      <c r="W1915" s="1" t="s">
        <v>26</v>
      </c>
    </row>
    <row r="1916" ht="15.75" customHeight="1">
      <c r="A1916" s="1" t="s">
        <v>1953</v>
      </c>
      <c r="B1916" s="1" t="s">
        <v>24</v>
      </c>
      <c r="C1916" s="1">
        <v>0.0</v>
      </c>
      <c r="D1916" s="1" t="s">
        <v>26</v>
      </c>
      <c r="E1916" s="1" t="s">
        <v>26</v>
      </c>
      <c r="F1916" s="1">
        <v>3.0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1">
        <v>64.6</v>
      </c>
      <c r="T1916" s="1">
        <v>174.2</v>
      </c>
      <c r="U1916" s="1">
        <v>0.0</v>
      </c>
      <c r="V1916" s="1">
        <v>0.0</v>
      </c>
      <c r="W1916" s="1" t="s">
        <v>26</v>
      </c>
    </row>
    <row r="1917" ht="15.75" customHeight="1">
      <c r="A1917" s="1" t="s">
        <v>1954</v>
      </c>
      <c r="B1917" s="1" t="s">
        <v>32</v>
      </c>
      <c r="C1917" s="1">
        <v>0.0</v>
      </c>
      <c r="D1917" s="1" t="s">
        <v>26</v>
      </c>
      <c r="E1917" s="1" t="s">
        <v>26</v>
      </c>
      <c r="F1917" s="1">
        <v>24.0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1">
        <v>51.1</v>
      </c>
      <c r="T1917" s="1">
        <v>1269.6</v>
      </c>
      <c r="U1917" s="1">
        <v>0.0</v>
      </c>
      <c r="V1917" s="1">
        <v>0.0</v>
      </c>
      <c r="W1917" s="1" t="s">
        <v>26</v>
      </c>
    </row>
    <row r="1918" ht="15.75" customHeight="1">
      <c r="A1918" s="1" t="s">
        <v>1955</v>
      </c>
      <c r="B1918" s="1" t="s">
        <v>24</v>
      </c>
      <c r="C1918" s="1">
        <v>0.0</v>
      </c>
      <c r="D1918" s="1" t="s">
        <v>26</v>
      </c>
      <c r="E1918" s="1" t="s">
        <v>26</v>
      </c>
      <c r="F1918" s="1">
        <v>44.0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1">
        <v>84.8</v>
      </c>
      <c r="T1918" s="1">
        <v>3862.55</v>
      </c>
      <c r="U1918" s="1">
        <v>2.0</v>
      </c>
      <c r="V1918" s="1">
        <v>4.0</v>
      </c>
      <c r="W1918" s="1" t="s">
        <v>25</v>
      </c>
    </row>
    <row r="1919" ht="15.75" customHeight="1">
      <c r="A1919" s="1" t="s">
        <v>1956</v>
      </c>
      <c r="B1919" s="1" t="s">
        <v>24</v>
      </c>
      <c r="C1919" s="1">
        <v>1.0</v>
      </c>
      <c r="D1919" s="1" t="s">
        <v>25</v>
      </c>
      <c r="E1919" s="1" t="s">
        <v>26</v>
      </c>
      <c r="F1919" s="1">
        <v>72.0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1">
        <v>89.1</v>
      </c>
      <c r="T1919" s="1">
        <v>6352.4</v>
      </c>
      <c r="U1919" s="1">
        <v>0.0</v>
      </c>
      <c r="V1919" s="1">
        <v>0.0</v>
      </c>
      <c r="W1919" s="1" t="s">
        <v>26</v>
      </c>
    </row>
    <row r="1920" ht="15.75" customHeight="1">
      <c r="A1920" s="1" t="s">
        <v>1957</v>
      </c>
      <c r="B1920" s="1" t="s">
        <v>32</v>
      </c>
      <c r="C1920" s="1">
        <v>0.0</v>
      </c>
      <c r="D1920" s="1" t="s">
        <v>26</v>
      </c>
      <c r="E1920" s="1" t="s">
        <v>26</v>
      </c>
      <c r="F1920" s="1">
        <v>24.0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1">
        <v>54.95</v>
      </c>
      <c r="T1920" s="1">
        <v>1348.5</v>
      </c>
      <c r="U1920" s="1">
        <v>0.0</v>
      </c>
      <c r="V1920" s="1">
        <v>0.0</v>
      </c>
      <c r="W1920" s="1" t="s">
        <v>26</v>
      </c>
    </row>
    <row r="1921" ht="15.75" customHeight="1">
      <c r="A1921" s="1" t="s">
        <v>1958</v>
      </c>
      <c r="B1921" s="1" t="s">
        <v>32</v>
      </c>
      <c r="C1921" s="1">
        <v>0.0</v>
      </c>
      <c r="D1921" s="1" t="s">
        <v>26</v>
      </c>
      <c r="E1921" s="1" t="s">
        <v>26</v>
      </c>
      <c r="F1921" s="1">
        <v>1.0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1">
        <v>50.9</v>
      </c>
      <c r="T1921" s="1">
        <v>50.9</v>
      </c>
      <c r="U1921" s="1">
        <v>0.0</v>
      </c>
      <c r="V1921" s="1">
        <v>0.0</v>
      </c>
      <c r="W1921" s="1" t="s">
        <v>25</v>
      </c>
    </row>
    <row r="1922" ht="15.75" customHeight="1">
      <c r="A1922" s="1" t="s">
        <v>1959</v>
      </c>
      <c r="B1922" s="1" t="s">
        <v>32</v>
      </c>
      <c r="C1922" s="1">
        <v>0.0</v>
      </c>
      <c r="D1922" s="1" t="s">
        <v>25</v>
      </c>
      <c r="E1922" s="1" t="s">
        <v>26</v>
      </c>
      <c r="F1922" s="1">
        <v>22.0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1">
        <v>20.45</v>
      </c>
      <c r="T1922" s="1">
        <v>471.55</v>
      </c>
      <c r="U1922" s="1">
        <v>0.0</v>
      </c>
      <c r="V1922" s="1">
        <v>0.0</v>
      </c>
      <c r="W1922" s="1" t="s">
        <v>26</v>
      </c>
    </row>
    <row r="1923" ht="15.75" customHeight="1">
      <c r="A1923" s="1" t="s">
        <v>1960</v>
      </c>
      <c r="B1923" s="1" t="s">
        <v>32</v>
      </c>
      <c r="C1923" s="1">
        <v>0.0</v>
      </c>
      <c r="D1923" s="1" t="s">
        <v>25</v>
      </c>
      <c r="E1923" s="1" t="s">
        <v>25</v>
      </c>
      <c r="F1923" s="1">
        <v>70.0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1">
        <v>85.95</v>
      </c>
      <c r="T1923" s="1">
        <v>5931.75</v>
      </c>
      <c r="U1923" s="1">
        <v>0.0</v>
      </c>
      <c r="V1923" s="1">
        <v>0.0</v>
      </c>
      <c r="W1923" s="1" t="s">
        <v>26</v>
      </c>
    </row>
    <row r="1924" ht="15.75" customHeight="1">
      <c r="A1924" s="1" t="s">
        <v>1961</v>
      </c>
      <c r="B1924" s="1" t="s">
        <v>32</v>
      </c>
      <c r="C1924" s="1">
        <v>0.0</v>
      </c>
      <c r="D1924" s="1" t="s">
        <v>25</v>
      </c>
      <c r="E1924" s="1" t="s">
        <v>25</v>
      </c>
      <c r="F1924" s="1">
        <v>25.0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1">
        <v>60.35</v>
      </c>
      <c r="T1924" s="1">
        <v>1404.65</v>
      </c>
      <c r="U1924" s="1">
        <v>3.0</v>
      </c>
      <c r="V1924" s="1">
        <v>0.0</v>
      </c>
      <c r="W1924" s="1" t="s">
        <v>26</v>
      </c>
    </row>
    <row r="1925" ht="15.75" customHeight="1">
      <c r="A1925" s="1" t="s">
        <v>1962</v>
      </c>
      <c r="B1925" s="1" t="s">
        <v>32</v>
      </c>
      <c r="C1925" s="1">
        <v>0.0</v>
      </c>
      <c r="D1925" s="1" t="s">
        <v>25</v>
      </c>
      <c r="E1925" s="1" t="s">
        <v>25</v>
      </c>
      <c r="F1925" s="1">
        <v>37.0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1">
        <v>19.8</v>
      </c>
      <c r="T1925" s="1">
        <v>726.1</v>
      </c>
      <c r="U1925" s="1">
        <v>0.0</v>
      </c>
      <c r="V1925" s="1">
        <v>2.0</v>
      </c>
      <c r="W1925" s="1" t="s">
        <v>26</v>
      </c>
    </row>
    <row r="1926" ht="15.75" customHeight="1">
      <c r="A1926" s="1" t="s">
        <v>1963</v>
      </c>
      <c r="B1926" s="1" t="s">
        <v>24</v>
      </c>
      <c r="C1926" s="1">
        <v>1.0</v>
      </c>
      <c r="D1926" s="1" t="s">
        <v>25</v>
      </c>
      <c r="E1926" s="1" t="s">
        <v>25</v>
      </c>
      <c r="F1926" s="1">
        <v>22.0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1">
        <v>85.35</v>
      </c>
      <c r="T1926" s="1">
        <v>1961.6</v>
      </c>
      <c r="U1926" s="1">
        <v>0.0</v>
      </c>
      <c r="V1926" s="1">
        <v>0.0</v>
      </c>
      <c r="W1926" s="1" t="s">
        <v>26</v>
      </c>
    </row>
    <row r="1927" ht="15.75" customHeight="1">
      <c r="A1927" s="1" t="s">
        <v>1964</v>
      </c>
      <c r="B1927" s="1" t="s">
        <v>24</v>
      </c>
      <c r="C1927" s="1">
        <v>0.0</v>
      </c>
      <c r="D1927" s="1" t="s">
        <v>25</v>
      </c>
      <c r="E1927" s="1" t="s">
        <v>25</v>
      </c>
      <c r="F1927" s="1">
        <v>59.0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1">
        <v>72.1</v>
      </c>
      <c r="T1927" s="1">
        <v>4194.85</v>
      </c>
      <c r="U1927" s="1">
        <v>0.0</v>
      </c>
      <c r="V1927" s="1">
        <v>0.0</v>
      </c>
      <c r="W1927" s="1" t="s">
        <v>26</v>
      </c>
    </row>
    <row r="1928" ht="15.75" customHeight="1">
      <c r="A1928" s="1" t="s">
        <v>1965</v>
      </c>
      <c r="B1928" s="1" t="s">
        <v>32</v>
      </c>
      <c r="C1928" s="1">
        <v>0.0</v>
      </c>
      <c r="D1928" s="1" t="s">
        <v>25</v>
      </c>
      <c r="E1928" s="1" t="s">
        <v>25</v>
      </c>
      <c r="F1928" s="1">
        <v>49.0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1">
        <v>99.8</v>
      </c>
      <c r="T1928" s="1">
        <v>4872.45</v>
      </c>
      <c r="U1928" s="1">
        <v>0.0</v>
      </c>
      <c r="V1928" s="1">
        <v>2.0</v>
      </c>
      <c r="W1928" s="1" t="s">
        <v>25</v>
      </c>
    </row>
    <row r="1929" ht="15.75" customHeight="1">
      <c r="A1929" s="1" t="s">
        <v>1966</v>
      </c>
      <c r="B1929" s="1" t="s">
        <v>32</v>
      </c>
      <c r="C1929" s="1">
        <v>0.0</v>
      </c>
      <c r="D1929" s="1" t="s">
        <v>25</v>
      </c>
      <c r="E1929" s="1" t="s">
        <v>25</v>
      </c>
      <c r="F1929" s="1">
        <v>47.0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1">
        <v>107.35</v>
      </c>
      <c r="T1929" s="1">
        <v>5118.95</v>
      </c>
      <c r="U1929" s="1">
        <v>0.0</v>
      </c>
      <c r="V1929" s="1">
        <v>5.0</v>
      </c>
      <c r="W1929" s="1" t="s">
        <v>25</v>
      </c>
    </row>
    <row r="1930" ht="15.75" customHeight="1">
      <c r="A1930" s="1" t="s">
        <v>1967</v>
      </c>
      <c r="B1930" s="1" t="s">
        <v>24</v>
      </c>
      <c r="C1930" s="1">
        <v>0.0</v>
      </c>
      <c r="D1930" s="1" t="s">
        <v>25</v>
      </c>
      <c r="E1930" s="1" t="s">
        <v>25</v>
      </c>
      <c r="F1930" s="1">
        <v>31.0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1">
        <v>19.55</v>
      </c>
      <c r="T1930" s="1">
        <v>658.95</v>
      </c>
      <c r="U1930" s="1">
        <v>0.0</v>
      </c>
      <c r="V1930" s="1">
        <v>0.0</v>
      </c>
      <c r="W1930" s="1" t="s">
        <v>25</v>
      </c>
    </row>
    <row r="1931" ht="15.75" customHeight="1">
      <c r="A1931" s="1" t="s">
        <v>1968</v>
      </c>
      <c r="B1931" s="1" t="s">
        <v>32</v>
      </c>
      <c r="C1931" s="1">
        <v>0.0</v>
      </c>
      <c r="D1931" s="1" t="s">
        <v>25</v>
      </c>
      <c r="E1931" s="1" t="s">
        <v>25</v>
      </c>
      <c r="F1931" s="1">
        <v>1.0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1">
        <v>81.05</v>
      </c>
      <c r="T1931" s="1">
        <v>81.05</v>
      </c>
      <c r="U1931" s="1">
        <v>0.0</v>
      </c>
      <c r="V1931" s="1">
        <v>0.0</v>
      </c>
      <c r="W1931" s="1" t="s">
        <v>26</v>
      </c>
    </row>
    <row r="1932" ht="15.75" customHeight="1">
      <c r="A1932" s="1" t="s">
        <v>1969</v>
      </c>
      <c r="B1932" s="1" t="s">
        <v>32</v>
      </c>
      <c r="C1932" s="1">
        <v>0.0</v>
      </c>
      <c r="D1932" s="1" t="s">
        <v>26</v>
      </c>
      <c r="E1932" s="1" t="s">
        <v>26</v>
      </c>
      <c r="F1932" s="1">
        <v>3.0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1">
        <v>20.5</v>
      </c>
      <c r="T1932" s="1">
        <v>76.95</v>
      </c>
      <c r="U1932" s="1">
        <v>0.0</v>
      </c>
      <c r="V1932" s="1">
        <v>0.0</v>
      </c>
      <c r="W1932" s="1" t="s">
        <v>26</v>
      </c>
    </row>
    <row r="1933" ht="15.75" customHeight="1">
      <c r="A1933" s="1" t="s">
        <v>1970</v>
      </c>
      <c r="B1933" s="1" t="s">
        <v>24</v>
      </c>
      <c r="C1933" s="1">
        <v>0.0</v>
      </c>
      <c r="D1933" s="1" t="s">
        <v>25</v>
      </c>
      <c r="E1933" s="1" t="s">
        <v>26</v>
      </c>
      <c r="F1933" s="1">
        <v>53.0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1">
        <v>111.8</v>
      </c>
      <c r="T1933" s="1">
        <v>5809.75</v>
      </c>
      <c r="U1933" s="1">
        <v>0.0</v>
      </c>
      <c r="V1933" s="1">
        <v>0.0</v>
      </c>
      <c r="W1933" s="1" t="s">
        <v>26</v>
      </c>
    </row>
    <row r="1934" ht="15.75" customHeight="1">
      <c r="A1934" s="1" t="s">
        <v>1971</v>
      </c>
      <c r="B1934" s="1" t="s">
        <v>32</v>
      </c>
      <c r="C1934" s="1">
        <v>0.0</v>
      </c>
      <c r="D1934" s="1" t="s">
        <v>26</v>
      </c>
      <c r="E1934" s="1" t="s">
        <v>26</v>
      </c>
      <c r="F1934" s="1">
        <v>1.0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1">
        <v>20.2</v>
      </c>
      <c r="T1934" s="1">
        <v>20.2</v>
      </c>
      <c r="U1934" s="1">
        <v>0.0</v>
      </c>
      <c r="V1934" s="1">
        <v>0.0</v>
      </c>
      <c r="W1934" s="1" t="s">
        <v>26</v>
      </c>
    </row>
    <row r="1935" ht="15.75" customHeight="1">
      <c r="A1935" s="1" t="s">
        <v>1972</v>
      </c>
      <c r="B1935" s="1" t="s">
        <v>32</v>
      </c>
      <c r="C1935" s="1">
        <v>0.0</v>
      </c>
      <c r="D1935" s="1" t="s">
        <v>26</v>
      </c>
      <c r="E1935" s="1" t="s">
        <v>26</v>
      </c>
      <c r="F1935" s="1">
        <v>20.0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1">
        <v>19.7</v>
      </c>
      <c r="T1935" s="1">
        <v>415.9</v>
      </c>
      <c r="U1935" s="1">
        <v>0.0</v>
      </c>
      <c r="V1935" s="1">
        <v>0.0</v>
      </c>
      <c r="W1935" s="1" t="s">
        <v>26</v>
      </c>
    </row>
    <row r="1936" ht="15.75" customHeight="1">
      <c r="A1936" s="1" t="s">
        <v>1973</v>
      </c>
      <c r="B1936" s="1" t="s">
        <v>24</v>
      </c>
      <c r="C1936" s="1">
        <v>0.0</v>
      </c>
      <c r="D1936" s="1" t="s">
        <v>26</v>
      </c>
      <c r="E1936" s="1" t="s">
        <v>26</v>
      </c>
      <c r="F1936" s="1">
        <v>3.0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1">
        <v>79.1</v>
      </c>
      <c r="T1936" s="1">
        <v>246.5</v>
      </c>
      <c r="U1936" s="1">
        <v>0.0</v>
      </c>
      <c r="V1936" s="1">
        <v>0.0</v>
      </c>
      <c r="W1936" s="1" t="s">
        <v>25</v>
      </c>
    </row>
    <row r="1937" ht="15.75" customHeight="1">
      <c r="A1937" s="1" t="s">
        <v>1974</v>
      </c>
      <c r="B1937" s="1" t="s">
        <v>24</v>
      </c>
      <c r="C1937" s="1">
        <v>0.0</v>
      </c>
      <c r="D1937" s="1" t="s">
        <v>26</v>
      </c>
      <c r="E1937" s="1" t="s">
        <v>26</v>
      </c>
      <c r="F1937" s="1">
        <v>51.0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1">
        <v>19.85</v>
      </c>
      <c r="T1937" s="1">
        <v>996.95</v>
      </c>
      <c r="U1937" s="1">
        <v>0.0</v>
      </c>
      <c r="V1937" s="1">
        <v>0.0</v>
      </c>
      <c r="W1937" s="1" t="s">
        <v>26</v>
      </c>
    </row>
    <row r="1938" ht="15.75" customHeight="1">
      <c r="A1938" s="1" t="s">
        <v>1975</v>
      </c>
      <c r="B1938" s="1" t="s">
        <v>24</v>
      </c>
      <c r="C1938" s="1">
        <v>0.0</v>
      </c>
      <c r="D1938" s="1" t="s">
        <v>25</v>
      </c>
      <c r="E1938" s="1" t="s">
        <v>26</v>
      </c>
      <c r="F1938" s="1">
        <v>51.0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1">
        <v>60.5</v>
      </c>
      <c r="T1938" s="1">
        <v>3145.15</v>
      </c>
      <c r="U1938" s="1">
        <v>0.0</v>
      </c>
      <c r="V1938" s="1">
        <v>0.0</v>
      </c>
      <c r="W1938" s="1" t="s">
        <v>26</v>
      </c>
    </row>
    <row r="1939" ht="15.75" customHeight="1">
      <c r="A1939" s="1" t="s">
        <v>1976</v>
      </c>
      <c r="B1939" s="1" t="s">
        <v>24</v>
      </c>
      <c r="C1939" s="1">
        <v>0.0</v>
      </c>
      <c r="D1939" s="1" t="s">
        <v>25</v>
      </c>
      <c r="E1939" s="1" t="s">
        <v>25</v>
      </c>
      <c r="F1939" s="1">
        <v>13.0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1">
        <v>19.55</v>
      </c>
      <c r="T1939" s="1">
        <v>265.3</v>
      </c>
      <c r="U1939" s="1">
        <v>0.0</v>
      </c>
      <c r="V1939" s="1">
        <v>0.0</v>
      </c>
      <c r="W1939" s="1" t="s">
        <v>26</v>
      </c>
    </row>
    <row r="1940" ht="15.75" customHeight="1">
      <c r="A1940" s="1" t="s">
        <v>1977</v>
      </c>
      <c r="B1940" s="1" t="s">
        <v>24</v>
      </c>
      <c r="C1940" s="1">
        <v>0.0</v>
      </c>
      <c r="D1940" s="1" t="s">
        <v>26</v>
      </c>
      <c r="E1940" s="1" t="s">
        <v>26</v>
      </c>
      <c r="F1940" s="1">
        <v>1.0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1">
        <v>20.9</v>
      </c>
      <c r="T1940" s="1">
        <v>20.9</v>
      </c>
      <c r="U1940" s="1">
        <v>1.0</v>
      </c>
      <c r="V1940" s="1">
        <v>0.0</v>
      </c>
      <c r="W1940" s="1" t="s">
        <v>26</v>
      </c>
    </row>
    <row r="1941" ht="15.75" customHeight="1">
      <c r="A1941" s="1" t="s">
        <v>1978</v>
      </c>
      <c r="B1941" s="1" t="s">
        <v>32</v>
      </c>
      <c r="C1941" s="1">
        <v>0.0</v>
      </c>
      <c r="D1941" s="1" t="s">
        <v>26</v>
      </c>
      <c r="E1941" s="1" t="s">
        <v>25</v>
      </c>
      <c r="F1941" s="1">
        <v>1.0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1">
        <v>21.05</v>
      </c>
      <c r="T1941" s="1">
        <v>21.05</v>
      </c>
      <c r="U1941" s="1">
        <v>0.0</v>
      </c>
      <c r="V1941" s="1">
        <v>0.0</v>
      </c>
      <c r="W1941" s="1" t="s">
        <v>26</v>
      </c>
    </row>
    <row r="1942" ht="15.75" customHeight="1">
      <c r="A1942" s="1" t="s">
        <v>1979</v>
      </c>
      <c r="B1942" s="1" t="s">
        <v>32</v>
      </c>
      <c r="C1942" s="1">
        <v>0.0</v>
      </c>
      <c r="D1942" s="1" t="s">
        <v>26</v>
      </c>
      <c r="E1942" s="1" t="s">
        <v>26</v>
      </c>
      <c r="F1942" s="1">
        <v>63.0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1">
        <v>71.5</v>
      </c>
      <c r="T1942" s="1">
        <v>4576.3</v>
      </c>
      <c r="U1942" s="1">
        <v>0.0</v>
      </c>
      <c r="V1942" s="1">
        <v>0.0</v>
      </c>
      <c r="W1942" s="1" t="s">
        <v>26</v>
      </c>
    </row>
    <row r="1943" ht="15.75" customHeight="1">
      <c r="A1943" s="1" t="s">
        <v>1980</v>
      </c>
      <c r="B1943" s="1" t="s">
        <v>32</v>
      </c>
      <c r="C1943" s="1">
        <v>0.0</v>
      </c>
      <c r="D1943" s="1" t="s">
        <v>26</v>
      </c>
      <c r="E1943" s="1" t="s">
        <v>26</v>
      </c>
      <c r="F1943" s="1">
        <v>3.0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1">
        <v>54.65</v>
      </c>
      <c r="T1943" s="1">
        <v>189.1</v>
      </c>
      <c r="U1943" s="1">
        <v>0.0</v>
      </c>
      <c r="V1943" s="1">
        <v>0.0</v>
      </c>
      <c r="W1943" s="1" t="s">
        <v>26</v>
      </c>
    </row>
    <row r="1944" ht="15.75" customHeight="1">
      <c r="A1944" s="1" t="s">
        <v>1981</v>
      </c>
      <c r="B1944" s="1" t="s">
        <v>32</v>
      </c>
      <c r="C1944" s="1">
        <v>0.0</v>
      </c>
      <c r="D1944" s="1" t="s">
        <v>26</v>
      </c>
      <c r="E1944" s="1" t="s">
        <v>26</v>
      </c>
      <c r="F1944" s="1">
        <v>46.0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1">
        <v>19.2</v>
      </c>
      <c r="T1944" s="1">
        <v>908.15</v>
      </c>
      <c r="U1944" s="1">
        <v>0.0</v>
      </c>
      <c r="V1944" s="1">
        <v>0.0</v>
      </c>
      <c r="W1944" s="1" t="s">
        <v>26</v>
      </c>
    </row>
    <row r="1945" ht="15.75" customHeight="1">
      <c r="A1945" s="1" t="s">
        <v>1982</v>
      </c>
      <c r="B1945" s="1" t="s">
        <v>32</v>
      </c>
      <c r="C1945" s="1">
        <v>0.0</v>
      </c>
      <c r="D1945" s="1" t="s">
        <v>26</v>
      </c>
      <c r="E1945" s="1" t="s">
        <v>26</v>
      </c>
      <c r="F1945" s="1">
        <v>1.0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1">
        <v>49.8</v>
      </c>
      <c r="T1945" s="1">
        <v>49.8</v>
      </c>
      <c r="U1945" s="1">
        <v>0.0</v>
      </c>
      <c r="V1945" s="1">
        <v>0.0</v>
      </c>
      <c r="W1945" s="1" t="s">
        <v>26</v>
      </c>
    </row>
    <row r="1946" ht="15.75" customHeight="1">
      <c r="A1946" s="1" t="s">
        <v>1983</v>
      </c>
      <c r="B1946" s="1" t="s">
        <v>32</v>
      </c>
      <c r="C1946" s="1">
        <v>0.0</v>
      </c>
      <c r="D1946" s="1" t="s">
        <v>26</v>
      </c>
      <c r="E1946" s="1" t="s">
        <v>25</v>
      </c>
      <c r="F1946" s="1">
        <v>8.0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1">
        <v>25.5</v>
      </c>
      <c r="T1946" s="1">
        <v>215.2</v>
      </c>
      <c r="U1946" s="1">
        <v>0.0</v>
      </c>
      <c r="V1946" s="1">
        <v>0.0</v>
      </c>
      <c r="W1946" s="1" t="s">
        <v>25</v>
      </c>
    </row>
    <row r="1947" ht="15.75" customHeight="1">
      <c r="A1947" s="1" t="s">
        <v>1984</v>
      </c>
      <c r="B1947" s="1" t="s">
        <v>24</v>
      </c>
      <c r="C1947" s="1">
        <v>0.0</v>
      </c>
      <c r="D1947" s="1" t="s">
        <v>25</v>
      </c>
      <c r="E1947" s="1" t="s">
        <v>25</v>
      </c>
      <c r="F1947" s="1">
        <v>71.0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1">
        <v>20.5</v>
      </c>
      <c r="T1947" s="1">
        <v>1500.95</v>
      </c>
      <c r="U1947" s="1">
        <v>0.0</v>
      </c>
      <c r="V1947" s="1">
        <v>4.0</v>
      </c>
      <c r="W1947" s="1" t="s">
        <v>26</v>
      </c>
    </row>
    <row r="1948" ht="15.75" customHeight="1">
      <c r="A1948" s="1" t="s">
        <v>1985</v>
      </c>
      <c r="B1948" s="1" t="s">
        <v>32</v>
      </c>
      <c r="C1948" s="1">
        <v>0.0</v>
      </c>
      <c r="D1948" s="1" t="s">
        <v>25</v>
      </c>
      <c r="E1948" s="1" t="s">
        <v>25</v>
      </c>
      <c r="F1948" s="1">
        <v>55.0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1">
        <v>90.4</v>
      </c>
      <c r="T1948" s="1">
        <v>5099.15</v>
      </c>
      <c r="U1948" s="1">
        <v>0.0</v>
      </c>
      <c r="V1948" s="1">
        <v>0.0</v>
      </c>
      <c r="W1948" s="1" t="s">
        <v>26</v>
      </c>
    </row>
    <row r="1949" ht="15.75" customHeight="1">
      <c r="A1949" s="1" t="s">
        <v>1986</v>
      </c>
      <c r="B1949" s="1" t="s">
        <v>24</v>
      </c>
      <c r="C1949" s="1">
        <v>0.0</v>
      </c>
      <c r="D1949" s="1" t="s">
        <v>26</v>
      </c>
      <c r="E1949" s="1" t="s">
        <v>26</v>
      </c>
      <c r="F1949" s="1">
        <v>70.0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1">
        <v>90.25</v>
      </c>
      <c r="T1949" s="1">
        <v>6385.95</v>
      </c>
      <c r="U1949" s="1">
        <v>0.0</v>
      </c>
      <c r="V1949" s="1">
        <v>0.0</v>
      </c>
      <c r="W1949" s="1" t="s">
        <v>26</v>
      </c>
    </row>
    <row r="1950" ht="15.75" customHeight="1">
      <c r="A1950" s="1" t="s">
        <v>1987</v>
      </c>
      <c r="B1950" s="1" t="s">
        <v>24</v>
      </c>
      <c r="C1950" s="1">
        <v>0.0</v>
      </c>
      <c r="D1950" s="1" t="s">
        <v>26</v>
      </c>
      <c r="E1950" s="1" t="s">
        <v>26</v>
      </c>
      <c r="F1950" s="1">
        <v>2.0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1">
        <v>80.75</v>
      </c>
      <c r="T1950" s="1">
        <v>159.45</v>
      </c>
      <c r="U1950" s="1">
        <v>2.0</v>
      </c>
      <c r="V1950" s="1">
        <v>0.0</v>
      </c>
      <c r="W1950" s="1" t="s">
        <v>25</v>
      </c>
    </row>
    <row r="1951" ht="15.75" customHeight="1">
      <c r="A1951" s="1" t="s">
        <v>1988</v>
      </c>
      <c r="B1951" s="1" t="s">
        <v>32</v>
      </c>
      <c r="C1951" s="1">
        <v>0.0</v>
      </c>
      <c r="D1951" s="1" t="s">
        <v>25</v>
      </c>
      <c r="E1951" s="1" t="s">
        <v>25</v>
      </c>
      <c r="F1951" s="1">
        <v>67.0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1">
        <v>104.6</v>
      </c>
      <c r="T1951" s="1">
        <v>6885.75</v>
      </c>
      <c r="U1951" s="1">
        <v>0.0</v>
      </c>
      <c r="V1951" s="1">
        <v>0.0</v>
      </c>
      <c r="W1951" s="1" t="s">
        <v>26</v>
      </c>
    </row>
    <row r="1952" ht="15.75" customHeight="1">
      <c r="A1952" s="1" t="s">
        <v>1989</v>
      </c>
      <c r="B1952" s="1" t="s">
        <v>32</v>
      </c>
      <c r="C1952" s="1">
        <v>0.0</v>
      </c>
      <c r="D1952" s="1" t="s">
        <v>25</v>
      </c>
      <c r="E1952" s="1" t="s">
        <v>26</v>
      </c>
      <c r="F1952" s="1">
        <v>65.0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1">
        <v>91.85</v>
      </c>
      <c r="T1952" s="1">
        <v>5940.85</v>
      </c>
      <c r="U1952" s="1">
        <v>0.0</v>
      </c>
      <c r="V1952" s="1">
        <v>8.0</v>
      </c>
      <c r="W1952" s="1" t="s">
        <v>25</v>
      </c>
    </row>
    <row r="1953" ht="15.75" customHeight="1">
      <c r="A1953" s="1" t="s">
        <v>1990</v>
      </c>
      <c r="B1953" s="1" t="s">
        <v>32</v>
      </c>
      <c r="C1953" s="1">
        <v>0.0</v>
      </c>
      <c r="D1953" s="1" t="s">
        <v>25</v>
      </c>
      <c r="E1953" s="1" t="s">
        <v>26</v>
      </c>
      <c r="F1953" s="1">
        <v>14.0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1">
        <v>50.2</v>
      </c>
      <c r="T1953" s="1">
        <v>668.85</v>
      </c>
      <c r="U1953" s="1">
        <v>0.0</v>
      </c>
      <c r="V1953" s="1">
        <v>0.0</v>
      </c>
      <c r="W1953" s="1" t="s">
        <v>26</v>
      </c>
    </row>
    <row r="1954" ht="15.75" customHeight="1">
      <c r="A1954" s="1" t="s">
        <v>1991</v>
      </c>
      <c r="B1954" s="1" t="s">
        <v>24</v>
      </c>
      <c r="C1954" s="1">
        <v>0.0</v>
      </c>
      <c r="D1954" s="1" t="s">
        <v>25</v>
      </c>
      <c r="E1954" s="1" t="s">
        <v>25</v>
      </c>
      <c r="F1954" s="1">
        <v>20.0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1">
        <v>95.5</v>
      </c>
      <c r="T1954" s="1">
        <v>1916.2</v>
      </c>
      <c r="U1954" s="1">
        <v>0.0</v>
      </c>
      <c r="V1954" s="1">
        <v>0.0</v>
      </c>
      <c r="W1954" s="1" t="s">
        <v>26</v>
      </c>
    </row>
    <row r="1955" ht="15.75" customHeight="1">
      <c r="A1955" s="1" t="s">
        <v>1992</v>
      </c>
      <c r="B1955" s="1" t="s">
        <v>32</v>
      </c>
      <c r="C1955" s="1">
        <v>0.0</v>
      </c>
      <c r="D1955" s="1" t="s">
        <v>26</v>
      </c>
      <c r="E1955" s="1" t="s">
        <v>25</v>
      </c>
      <c r="F1955" s="1">
        <v>1.0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1">
        <v>75.35</v>
      </c>
      <c r="T1955" s="1">
        <v>75.35</v>
      </c>
      <c r="U1955" s="1">
        <v>0.0</v>
      </c>
      <c r="V1955" s="1">
        <v>0.0</v>
      </c>
      <c r="W1955" s="1" t="s">
        <v>25</v>
      </c>
    </row>
    <row r="1956" ht="15.75" customHeight="1">
      <c r="A1956" s="1" t="s">
        <v>1993</v>
      </c>
      <c r="B1956" s="1" t="s">
        <v>32</v>
      </c>
      <c r="C1956" s="1">
        <v>0.0</v>
      </c>
      <c r="D1956" s="1" t="s">
        <v>26</v>
      </c>
      <c r="E1956" s="1" t="s">
        <v>26</v>
      </c>
      <c r="F1956" s="1">
        <v>1.0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1">
        <v>75.45</v>
      </c>
      <c r="T1956" s="1">
        <v>75.45</v>
      </c>
      <c r="U1956" s="1">
        <v>0.0</v>
      </c>
      <c r="V1956" s="1">
        <v>0.0</v>
      </c>
      <c r="W1956" s="1" t="s">
        <v>25</v>
      </c>
    </row>
    <row r="1957" ht="15.75" customHeight="1">
      <c r="A1957" s="1" t="s">
        <v>1994</v>
      </c>
      <c r="B1957" s="1" t="s">
        <v>24</v>
      </c>
      <c r="C1957" s="1">
        <v>0.0</v>
      </c>
      <c r="D1957" s="1" t="s">
        <v>25</v>
      </c>
      <c r="E1957" s="1" t="s">
        <v>25</v>
      </c>
      <c r="F1957" s="1">
        <v>49.0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1">
        <v>95.4</v>
      </c>
      <c r="T1957" s="1">
        <v>4613.95</v>
      </c>
      <c r="U1957" s="1">
        <v>4.0</v>
      </c>
      <c r="V1957" s="1">
        <v>0.0</v>
      </c>
      <c r="W1957" s="1" t="s">
        <v>26</v>
      </c>
    </row>
    <row r="1958" ht="15.75" customHeight="1">
      <c r="A1958" s="1" t="s">
        <v>1995</v>
      </c>
      <c r="B1958" s="1" t="s">
        <v>24</v>
      </c>
      <c r="C1958" s="1">
        <v>0.0</v>
      </c>
      <c r="D1958" s="1" t="s">
        <v>26</v>
      </c>
      <c r="E1958" s="1" t="s">
        <v>26</v>
      </c>
      <c r="F1958" s="1">
        <v>72.0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1">
        <v>101.3</v>
      </c>
      <c r="T1958" s="1">
        <v>7261.25</v>
      </c>
      <c r="U1958" s="1">
        <v>0.0</v>
      </c>
      <c r="V1958" s="1">
        <v>0.0</v>
      </c>
      <c r="W1958" s="1" t="s">
        <v>26</v>
      </c>
    </row>
    <row r="1959" ht="15.75" customHeight="1">
      <c r="A1959" s="1" t="s">
        <v>1996</v>
      </c>
      <c r="B1959" s="1" t="s">
        <v>24</v>
      </c>
      <c r="C1959" s="1">
        <v>0.0</v>
      </c>
      <c r="D1959" s="1" t="s">
        <v>25</v>
      </c>
      <c r="E1959" s="1" t="s">
        <v>26</v>
      </c>
      <c r="F1959" s="1">
        <v>46.0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1">
        <v>53.1</v>
      </c>
      <c r="T1959" s="1">
        <v>2459.8</v>
      </c>
      <c r="U1959" s="1">
        <v>0.0</v>
      </c>
      <c r="V1959" s="1">
        <v>0.0</v>
      </c>
      <c r="W1959" s="1" t="s">
        <v>26</v>
      </c>
    </row>
    <row r="1960" ht="15.75" customHeight="1">
      <c r="A1960" s="1" t="s">
        <v>1997</v>
      </c>
      <c r="B1960" s="1" t="s">
        <v>32</v>
      </c>
      <c r="C1960" s="1">
        <v>0.0</v>
      </c>
      <c r="D1960" s="1" t="s">
        <v>26</v>
      </c>
      <c r="E1960" s="1" t="s">
        <v>26</v>
      </c>
      <c r="F1960" s="1">
        <v>24.0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1">
        <v>84.85</v>
      </c>
      <c r="T1960" s="1">
        <v>2048.8</v>
      </c>
      <c r="U1960" s="1">
        <v>0.0</v>
      </c>
      <c r="V1960" s="1">
        <v>0.0</v>
      </c>
      <c r="W1960" s="1" t="s">
        <v>26</v>
      </c>
    </row>
    <row r="1961" ht="15.75" customHeight="1">
      <c r="A1961" s="1" t="s">
        <v>1998</v>
      </c>
      <c r="B1961" s="1" t="s">
        <v>24</v>
      </c>
      <c r="C1961" s="1">
        <v>0.0</v>
      </c>
      <c r="D1961" s="1" t="s">
        <v>25</v>
      </c>
      <c r="E1961" s="1" t="s">
        <v>25</v>
      </c>
      <c r="F1961" s="1">
        <v>5.0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1">
        <v>34.25</v>
      </c>
      <c r="T1961" s="1">
        <v>163.55</v>
      </c>
      <c r="U1961" s="1">
        <v>0.0</v>
      </c>
      <c r="V1961" s="1">
        <v>0.0</v>
      </c>
      <c r="W1961" s="1" t="s">
        <v>26</v>
      </c>
    </row>
    <row r="1962" ht="15.75" customHeight="1">
      <c r="A1962" s="1" t="s">
        <v>1999</v>
      </c>
      <c r="B1962" s="1" t="s">
        <v>24</v>
      </c>
      <c r="C1962" s="1">
        <v>0.0</v>
      </c>
      <c r="D1962" s="1" t="s">
        <v>25</v>
      </c>
      <c r="E1962" s="1" t="s">
        <v>25</v>
      </c>
      <c r="F1962" s="1">
        <v>33.0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1">
        <v>88.6</v>
      </c>
      <c r="T1962" s="1">
        <v>2888.7</v>
      </c>
      <c r="U1962" s="1">
        <v>0.0</v>
      </c>
      <c r="V1962" s="1">
        <v>0.0</v>
      </c>
      <c r="W1962" s="1" t="s">
        <v>26</v>
      </c>
    </row>
    <row r="1963" ht="15.75" customHeight="1">
      <c r="A1963" s="1" t="s">
        <v>2000</v>
      </c>
      <c r="B1963" s="1" t="s">
        <v>24</v>
      </c>
      <c r="C1963" s="1">
        <v>0.0</v>
      </c>
      <c r="D1963" s="1" t="s">
        <v>26</v>
      </c>
      <c r="E1963" s="1" t="s">
        <v>26</v>
      </c>
      <c r="F1963" s="1">
        <v>42.0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1">
        <v>60.15</v>
      </c>
      <c r="T1963" s="1">
        <v>2421.6</v>
      </c>
      <c r="U1963" s="1">
        <v>0.0</v>
      </c>
      <c r="V1963" s="1">
        <v>0.0</v>
      </c>
      <c r="W1963" s="1" t="s">
        <v>26</v>
      </c>
    </row>
    <row r="1964" ht="15.75" customHeight="1">
      <c r="A1964" s="1" t="s">
        <v>2001</v>
      </c>
      <c r="B1964" s="1" t="s">
        <v>32</v>
      </c>
      <c r="C1964" s="1">
        <v>0.0</v>
      </c>
      <c r="D1964" s="1" t="s">
        <v>26</v>
      </c>
      <c r="E1964" s="1" t="s">
        <v>26</v>
      </c>
      <c r="F1964" s="1">
        <v>23.0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1">
        <v>99.95</v>
      </c>
      <c r="T1964" s="1">
        <v>2292.75</v>
      </c>
      <c r="U1964" s="1">
        <v>0.0</v>
      </c>
      <c r="V1964" s="1">
        <v>0.0</v>
      </c>
      <c r="W1964" s="1" t="s">
        <v>26</v>
      </c>
    </row>
    <row r="1965" ht="15.75" customHeight="1">
      <c r="A1965" s="1" t="s">
        <v>2002</v>
      </c>
      <c r="B1965" s="1" t="s">
        <v>32</v>
      </c>
      <c r="C1965" s="1">
        <v>0.0</v>
      </c>
      <c r="D1965" s="1" t="s">
        <v>26</v>
      </c>
      <c r="E1965" s="1" t="s">
        <v>26</v>
      </c>
      <c r="F1965" s="1">
        <v>8.0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1">
        <v>70.7</v>
      </c>
      <c r="T1965" s="1">
        <v>553.4</v>
      </c>
      <c r="U1965" s="1">
        <v>0.0</v>
      </c>
      <c r="V1965" s="1">
        <v>0.0</v>
      </c>
      <c r="W1965" s="1" t="s">
        <v>26</v>
      </c>
    </row>
    <row r="1966" ht="15.75" customHeight="1">
      <c r="A1966" s="1" t="s">
        <v>2003</v>
      </c>
      <c r="B1966" s="1" t="s">
        <v>32</v>
      </c>
      <c r="C1966" s="1">
        <v>0.0</v>
      </c>
      <c r="D1966" s="1" t="s">
        <v>26</v>
      </c>
      <c r="E1966" s="1" t="s">
        <v>26</v>
      </c>
      <c r="F1966" s="1">
        <v>66.0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1">
        <v>54.8</v>
      </c>
      <c r="T1966" s="1">
        <v>3465.7</v>
      </c>
      <c r="U1966" s="1">
        <v>5.0</v>
      </c>
      <c r="V1966" s="1">
        <v>4.0</v>
      </c>
      <c r="W1966" s="1" t="s">
        <v>26</v>
      </c>
    </row>
    <row r="1967" ht="15.75" customHeight="1">
      <c r="A1967" s="1" t="s">
        <v>2004</v>
      </c>
      <c r="B1967" s="1" t="s">
        <v>32</v>
      </c>
      <c r="C1967" s="1">
        <v>0.0</v>
      </c>
      <c r="D1967" s="1" t="s">
        <v>26</v>
      </c>
      <c r="E1967" s="1" t="s">
        <v>26</v>
      </c>
      <c r="F1967" s="1">
        <v>24.0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1">
        <v>49.55</v>
      </c>
      <c r="T1967" s="1">
        <v>1210.4</v>
      </c>
      <c r="U1967" s="1">
        <v>0.0</v>
      </c>
      <c r="V1967" s="1">
        <v>0.0</v>
      </c>
      <c r="W1967" s="1" t="s">
        <v>25</v>
      </c>
    </row>
    <row r="1968" ht="15.75" customHeight="1">
      <c r="A1968" s="1" t="s">
        <v>2005</v>
      </c>
      <c r="B1968" s="1" t="s">
        <v>32</v>
      </c>
      <c r="C1968" s="1">
        <v>1.0</v>
      </c>
      <c r="D1968" s="1" t="s">
        <v>26</v>
      </c>
      <c r="E1968" s="1" t="s">
        <v>26</v>
      </c>
      <c r="F1968" s="1">
        <v>24.0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1">
        <v>54.8</v>
      </c>
      <c r="T1968" s="1">
        <v>1291.3</v>
      </c>
      <c r="U1968" s="1">
        <v>0.0</v>
      </c>
      <c r="V1968" s="1">
        <v>0.0</v>
      </c>
      <c r="W1968" s="1" t="s">
        <v>26</v>
      </c>
    </row>
    <row r="1969" ht="15.75" customHeight="1">
      <c r="A1969" s="1" t="s">
        <v>2006</v>
      </c>
      <c r="B1969" s="1" t="s">
        <v>32</v>
      </c>
      <c r="C1969" s="1">
        <v>0.0</v>
      </c>
      <c r="D1969" s="1" t="s">
        <v>26</v>
      </c>
      <c r="E1969" s="1" t="s">
        <v>26</v>
      </c>
      <c r="F1969" s="1">
        <v>69.0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1">
        <v>78.6</v>
      </c>
      <c r="T1969" s="1">
        <v>5356.45</v>
      </c>
      <c r="U1969" s="1">
        <v>0.0</v>
      </c>
      <c r="V1969" s="1">
        <v>5.0</v>
      </c>
      <c r="W1969" s="1" t="s">
        <v>25</v>
      </c>
    </row>
    <row r="1970" ht="15.75" customHeight="1">
      <c r="A1970" s="1" t="s">
        <v>2007</v>
      </c>
      <c r="B1970" s="1" t="s">
        <v>24</v>
      </c>
      <c r="C1970" s="1">
        <v>0.0</v>
      </c>
      <c r="D1970" s="1" t="s">
        <v>26</v>
      </c>
      <c r="E1970" s="1" t="s">
        <v>26</v>
      </c>
      <c r="F1970" s="1">
        <v>53.0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1">
        <v>100.3</v>
      </c>
      <c r="T1970" s="1">
        <v>5200.8</v>
      </c>
      <c r="U1970" s="1">
        <v>4.0</v>
      </c>
      <c r="V1970" s="1">
        <v>0.0</v>
      </c>
      <c r="W1970" s="1" t="s">
        <v>26</v>
      </c>
    </row>
    <row r="1971" ht="15.75" customHeight="1">
      <c r="A1971" s="1" t="s">
        <v>2008</v>
      </c>
      <c r="B1971" s="1" t="s">
        <v>24</v>
      </c>
      <c r="C1971" s="1">
        <v>0.0</v>
      </c>
      <c r="D1971" s="1" t="s">
        <v>26</v>
      </c>
      <c r="E1971" s="1" t="s">
        <v>26</v>
      </c>
      <c r="F1971" s="1">
        <v>60.0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1">
        <v>53.6</v>
      </c>
      <c r="T1971" s="1">
        <v>3237.05</v>
      </c>
      <c r="U1971" s="1">
        <v>5.0</v>
      </c>
      <c r="V1971" s="1">
        <v>2.0</v>
      </c>
      <c r="W1971" s="1" t="s">
        <v>26</v>
      </c>
    </row>
    <row r="1972" ht="15.75" customHeight="1">
      <c r="A1972" s="1" t="s">
        <v>2009</v>
      </c>
      <c r="B1972" s="1" t="s">
        <v>24</v>
      </c>
      <c r="C1972" s="1">
        <v>0.0</v>
      </c>
      <c r="D1972" s="1" t="s">
        <v>25</v>
      </c>
      <c r="E1972" s="1" t="s">
        <v>26</v>
      </c>
      <c r="F1972" s="1">
        <v>7.0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1">
        <v>81.1</v>
      </c>
      <c r="T1972" s="1">
        <v>576.65</v>
      </c>
      <c r="U1972" s="1">
        <v>0.0</v>
      </c>
      <c r="V1972" s="1">
        <v>0.0</v>
      </c>
      <c r="W1972" s="1" t="s">
        <v>25</v>
      </c>
    </row>
    <row r="1973" ht="15.75" customHeight="1">
      <c r="A1973" s="1" t="s">
        <v>2010</v>
      </c>
      <c r="B1973" s="1" t="s">
        <v>24</v>
      </c>
      <c r="C1973" s="1">
        <v>0.0</v>
      </c>
      <c r="D1973" s="1" t="s">
        <v>26</v>
      </c>
      <c r="E1973" s="1" t="s">
        <v>26</v>
      </c>
      <c r="F1973" s="1">
        <v>20.0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1">
        <v>19.35</v>
      </c>
      <c r="T1973" s="1">
        <v>433.75</v>
      </c>
      <c r="U1973" s="1">
        <v>0.0</v>
      </c>
      <c r="V1973" s="1">
        <v>0.0</v>
      </c>
      <c r="W1973" s="1" t="s">
        <v>26</v>
      </c>
    </row>
    <row r="1974" ht="15.75" customHeight="1">
      <c r="A1974" s="1" t="s">
        <v>2011</v>
      </c>
      <c r="B1974" s="1" t="s">
        <v>24</v>
      </c>
      <c r="C1974" s="1">
        <v>0.0</v>
      </c>
      <c r="D1974" s="1" t="s">
        <v>25</v>
      </c>
      <c r="E1974" s="1" t="s">
        <v>25</v>
      </c>
      <c r="F1974" s="1">
        <v>23.0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1">
        <v>85.6</v>
      </c>
      <c r="T1974" s="1">
        <v>1868.4</v>
      </c>
      <c r="U1974" s="1">
        <v>0.0</v>
      </c>
      <c r="V1974" s="1">
        <v>0.0</v>
      </c>
      <c r="W1974" s="1" t="s">
        <v>26</v>
      </c>
    </row>
    <row r="1975" ht="15.75" customHeight="1">
      <c r="A1975" s="1" t="s">
        <v>2012</v>
      </c>
      <c r="B1975" s="1" t="s">
        <v>32</v>
      </c>
      <c r="C1975" s="1">
        <v>0.0</v>
      </c>
      <c r="D1975" s="1" t="s">
        <v>25</v>
      </c>
      <c r="E1975" s="1" t="s">
        <v>25</v>
      </c>
      <c r="F1975" s="1">
        <v>72.0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1">
        <v>80.8</v>
      </c>
      <c r="T1975" s="1">
        <v>5728.55</v>
      </c>
      <c r="U1975" s="1">
        <v>4.0</v>
      </c>
      <c r="V1975" s="1">
        <v>0.0</v>
      </c>
      <c r="W1975" s="1" t="s">
        <v>26</v>
      </c>
    </row>
    <row r="1976" ht="15.75" customHeight="1">
      <c r="A1976" s="1" t="s">
        <v>2013</v>
      </c>
      <c r="B1976" s="1" t="s">
        <v>32</v>
      </c>
      <c r="C1976" s="1">
        <v>0.0</v>
      </c>
      <c r="D1976" s="1" t="s">
        <v>25</v>
      </c>
      <c r="E1976" s="1" t="s">
        <v>26</v>
      </c>
      <c r="F1976" s="1">
        <v>11.0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1">
        <v>74.95</v>
      </c>
      <c r="T1976" s="1">
        <v>825.7</v>
      </c>
      <c r="U1976" s="1">
        <v>0.0</v>
      </c>
      <c r="V1976" s="1">
        <v>0.0</v>
      </c>
      <c r="W1976" s="1" t="s">
        <v>25</v>
      </c>
    </row>
    <row r="1977" ht="15.75" customHeight="1">
      <c r="A1977" s="1" t="s">
        <v>2014</v>
      </c>
      <c r="B1977" s="1" t="s">
        <v>32</v>
      </c>
      <c r="C1977" s="1">
        <v>0.0</v>
      </c>
      <c r="D1977" s="1" t="s">
        <v>26</v>
      </c>
      <c r="E1977" s="1" t="s">
        <v>26</v>
      </c>
      <c r="F1977" s="1">
        <v>21.0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1">
        <v>19.6</v>
      </c>
      <c r="T1977" s="1">
        <v>390.4</v>
      </c>
      <c r="U1977" s="1">
        <v>0.0</v>
      </c>
      <c r="V1977" s="1">
        <v>1.0</v>
      </c>
      <c r="W1977" s="1" t="s">
        <v>26</v>
      </c>
    </row>
    <row r="1978" ht="15.75" customHeight="1">
      <c r="A1978" s="1" t="s">
        <v>2015</v>
      </c>
      <c r="B1978" s="1" t="s">
        <v>32</v>
      </c>
      <c r="C1978" s="1">
        <v>1.0</v>
      </c>
      <c r="D1978" s="1" t="s">
        <v>26</v>
      </c>
      <c r="E1978" s="1" t="s">
        <v>26</v>
      </c>
      <c r="F1978" s="1">
        <v>1.0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1">
        <v>93.55</v>
      </c>
      <c r="T1978" s="1">
        <v>93.55</v>
      </c>
      <c r="U1978" s="1">
        <v>0.0</v>
      </c>
      <c r="V1978" s="1">
        <v>1.0</v>
      </c>
      <c r="W1978" s="1" t="s">
        <v>25</v>
      </c>
    </row>
    <row r="1979" ht="15.75" customHeight="1">
      <c r="A1979" s="1" t="s">
        <v>2016</v>
      </c>
      <c r="B1979" s="1" t="s">
        <v>32</v>
      </c>
      <c r="C1979" s="1">
        <v>1.0</v>
      </c>
      <c r="D1979" s="1" t="s">
        <v>26</v>
      </c>
      <c r="E1979" s="1" t="s">
        <v>26</v>
      </c>
      <c r="F1979" s="1">
        <v>31.0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1">
        <v>90.7</v>
      </c>
      <c r="T1979" s="1">
        <v>2845.15</v>
      </c>
      <c r="U1979" s="1">
        <v>0.0</v>
      </c>
      <c r="V1979" s="1">
        <v>0.0</v>
      </c>
      <c r="W1979" s="1" t="s">
        <v>26</v>
      </c>
    </row>
    <row r="1980" ht="15.75" customHeight="1">
      <c r="A1980" s="1" t="s">
        <v>2017</v>
      </c>
      <c r="B1980" s="1" t="s">
        <v>24</v>
      </c>
      <c r="C1980" s="1">
        <v>0.0</v>
      </c>
      <c r="D1980" s="1" t="s">
        <v>26</v>
      </c>
      <c r="E1980" s="1" t="s">
        <v>26</v>
      </c>
      <c r="F1980" s="1">
        <v>57.0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1">
        <v>69.75</v>
      </c>
      <c r="T1980" s="1">
        <v>3894.4</v>
      </c>
      <c r="U1980" s="1">
        <v>0.0</v>
      </c>
      <c r="V1980" s="1">
        <v>0.0</v>
      </c>
      <c r="W1980" s="1" t="s">
        <v>26</v>
      </c>
    </row>
    <row r="1981" ht="15.75" customHeight="1">
      <c r="A1981" s="1" t="s">
        <v>2018</v>
      </c>
      <c r="B1981" s="1" t="s">
        <v>24</v>
      </c>
      <c r="C1981" s="1">
        <v>0.0</v>
      </c>
      <c r="D1981" s="1" t="s">
        <v>25</v>
      </c>
      <c r="E1981" s="1" t="s">
        <v>25</v>
      </c>
      <c r="F1981" s="1">
        <v>45.0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1">
        <v>20.0</v>
      </c>
      <c r="T1981" s="1">
        <v>886.4</v>
      </c>
      <c r="U1981" s="1">
        <v>0.0</v>
      </c>
      <c r="V1981" s="1">
        <v>0.0</v>
      </c>
      <c r="W1981" s="1" t="s">
        <v>26</v>
      </c>
    </row>
    <row r="1982" ht="15.75" customHeight="1">
      <c r="A1982" s="1" t="s">
        <v>2019</v>
      </c>
      <c r="B1982" s="1" t="s">
        <v>32</v>
      </c>
      <c r="C1982" s="1">
        <v>0.0</v>
      </c>
      <c r="D1982" s="1" t="s">
        <v>26</v>
      </c>
      <c r="E1982" s="1" t="s">
        <v>26</v>
      </c>
      <c r="F1982" s="1">
        <v>10.0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1">
        <v>95.25</v>
      </c>
      <c r="T1982" s="1">
        <v>1021.55</v>
      </c>
      <c r="U1982" s="1">
        <v>0.0</v>
      </c>
      <c r="V1982" s="1">
        <v>0.0</v>
      </c>
      <c r="W1982" s="1" t="s">
        <v>26</v>
      </c>
    </row>
    <row r="1983" ht="15.75" customHeight="1">
      <c r="A1983" s="1" t="s">
        <v>2020</v>
      </c>
      <c r="B1983" s="1" t="s">
        <v>24</v>
      </c>
      <c r="C1983" s="1">
        <v>0.0</v>
      </c>
      <c r="D1983" s="1" t="s">
        <v>25</v>
      </c>
      <c r="E1983" s="1" t="s">
        <v>26</v>
      </c>
      <c r="F1983" s="1">
        <v>58.0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1">
        <v>102.1</v>
      </c>
      <c r="T1983" s="1">
        <v>5885.4</v>
      </c>
      <c r="U1983" s="1">
        <v>3.0</v>
      </c>
      <c r="V1983" s="1">
        <v>6.0</v>
      </c>
      <c r="W1983" s="1" t="s">
        <v>25</v>
      </c>
    </row>
    <row r="1984" ht="15.75" customHeight="1">
      <c r="A1984" s="1" t="s">
        <v>2021</v>
      </c>
      <c r="B1984" s="1" t="s">
        <v>32</v>
      </c>
      <c r="C1984" s="1">
        <v>0.0</v>
      </c>
      <c r="D1984" s="1" t="s">
        <v>26</v>
      </c>
      <c r="E1984" s="1" t="s">
        <v>25</v>
      </c>
      <c r="F1984" s="1">
        <v>14.0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1">
        <v>19.95</v>
      </c>
      <c r="T1984" s="1">
        <v>268.4</v>
      </c>
      <c r="U1984" s="1">
        <v>0.0</v>
      </c>
      <c r="V1984" s="1">
        <v>0.0</v>
      </c>
      <c r="W1984" s="1" t="s">
        <v>26</v>
      </c>
    </row>
    <row r="1985" ht="15.75" customHeight="1">
      <c r="A1985" s="1" t="s">
        <v>2022</v>
      </c>
      <c r="B1985" s="1" t="s">
        <v>32</v>
      </c>
      <c r="C1985" s="1">
        <v>0.0</v>
      </c>
      <c r="D1985" s="1" t="s">
        <v>25</v>
      </c>
      <c r="E1985" s="1" t="s">
        <v>26</v>
      </c>
      <c r="F1985" s="1">
        <v>27.0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1">
        <v>80.85</v>
      </c>
      <c r="T1985" s="1">
        <v>2204.35</v>
      </c>
      <c r="U1985" s="1">
        <v>0.0</v>
      </c>
      <c r="V1985" s="1">
        <v>0.0</v>
      </c>
      <c r="W1985" s="1" t="s">
        <v>26</v>
      </c>
    </row>
    <row r="1986" ht="15.75" customHeight="1">
      <c r="A1986" s="1" t="s">
        <v>2023</v>
      </c>
      <c r="B1986" s="1" t="s">
        <v>24</v>
      </c>
      <c r="C1986" s="1">
        <v>0.0</v>
      </c>
      <c r="D1986" s="1" t="s">
        <v>25</v>
      </c>
      <c r="E1986" s="1" t="s">
        <v>25</v>
      </c>
      <c r="F1986" s="1">
        <v>14.0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1">
        <v>90.9</v>
      </c>
      <c r="T1986" s="1">
        <v>1259.0</v>
      </c>
      <c r="U1986" s="1">
        <v>0.0</v>
      </c>
      <c r="V1986" s="1">
        <v>1.0</v>
      </c>
      <c r="W1986" s="1" t="s">
        <v>25</v>
      </c>
    </row>
    <row r="1987" ht="15.75" customHeight="1">
      <c r="A1987" s="1" t="s">
        <v>2024</v>
      </c>
      <c r="B1987" s="1" t="s">
        <v>24</v>
      </c>
      <c r="C1987" s="1">
        <v>0.0</v>
      </c>
      <c r="D1987" s="1" t="s">
        <v>25</v>
      </c>
      <c r="E1987" s="1" t="s">
        <v>25</v>
      </c>
      <c r="F1987" s="1">
        <v>12.0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1">
        <v>29.2</v>
      </c>
      <c r="T1987" s="1">
        <v>309.1</v>
      </c>
      <c r="U1987" s="1">
        <v>0.0</v>
      </c>
      <c r="V1987" s="1">
        <v>0.0</v>
      </c>
      <c r="W1987" s="1" t="s">
        <v>25</v>
      </c>
    </row>
    <row r="1988" ht="15.75" customHeight="1">
      <c r="A1988" s="1" t="s">
        <v>2025</v>
      </c>
      <c r="B1988" s="1" t="s">
        <v>24</v>
      </c>
      <c r="C1988" s="1">
        <v>0.0</v>
      </c>
      <c r="D1988" s="1" t="s">
        <v>25</v>
      </c>
      <c r="E1988" s="1" t="s">
        <v>25</v>
      </c>
      <c r="F1988" s="1">
        <v>69.0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1">
        <v>93.3</v>
      </c>
      <c r="T1988" s="1">
        <v>6398.05</v>
      </c>
      <c r="U1988" s="1">
        <v>0.0</v>
      </c>
      <c r="V1988" s="1">
        <v>0.0</v>
      </c>
      <c r="W1988" s="1" t="s">
        <v>26</v>
      </c>
    </row>
    <row r="1989" ht="15.75" customHeight="1">
      <c r="A1989" s="1" t="s">
        <v>2026</v>
      </c>
      <c r="B1989" s="1" t="s">
        <v>24</v>
      </c>
      <c r="C1989" s="1">
        <v>0.0</v>
      </c>
      <c r="D1989" s="1" t="s">
        <v>25</v>
      </c>
      <c r="E1989" s="1" t="s">
        <v>25</v>
      </c>
      <c r="F1989" s="1">
        <v>25.0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1">
        <v>89.15</v>
      </c>
      <c r="T1989" s="1">
        <v>2257.75</v>
      </c>
      <c r="U1989" s="1">
        <v>0.0</v>
      </c>
      <c r="V1989" s="1">
        <v>0.0</v>
      </c>
      <c r="W1989" s="1" t="s">
        <v>25</v>
      </c>
    </row>
    <row r="1990" ht="15.75" customHeight="1">
      <c r="A1990" s="1" t="s">
        <v>2027</v>
      </c>
      <c r="B1990" s="1" t="s">
        <v>32</v>
      </c>
      <c r="C1990" s="1">
        <v>1.0</v>
      </c>
      <c r="D1990" s="1" t="s">
        <v>25</v>
      </c>
      <c r="E1990" s="1" t="s">
        <v>26</v>
      </c>
      <c r="F1990" s="1">
        <v>58.0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1">
        <v>108.85</v>
      </c>
      <c r="T1990" s="1">
        <v>6287.25</v>
      </c>
      <c r="U1990" s="1">
        <v>0.0</v>
      </c>
      <c r="V1990" s="1">
        <v>6.0</v>
      </c>
      <c r="W1990" s="1" t="s">
        <v>25</v>
      </c>
    </row>
    <row r="1991" ht="15.75" customHeight="1">
      <c r="A1991" s="1" t="s">
        <v>2028</v>
      </c>
      <c r="B1991" s="1" t="s">
        <v>24</v>
      </c>
      <c r="C1991" s="1">
        <v>0.0</v>
      </c>
      <c r="D1991" s="1" t="s">
        <v>25</v>
      </c>
      <c r="E1991" s="1" t="s">
        <v>25</v>
      </c>
      <c r="F1991" s="1">
        <v>35.0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1">
        <v>46.35</v>
      </c>
      <c r="T1991" s="1">
        <v>1662.05</v>
      </c>
      <c r="U1991" s="1">
        <v>0.0</v>
      </c>
      <c r="V1991" s="1">
        <v>0.0</v>
      </c>
      <c r="W1991" s="1" t="s">
        <v>26</v>
      </c>
    </row>
    <row r="1992" ht="15.75" customHeight="1">
      <c r="A1992" s="1" t="s">
        <v>2029</v>
      </c>
      <c r="B1992" s="1" t="s">
        <v>24</v>
      </c>
      <c r="C1992" s="1">
        <v>1.0</v>
      </c>
      <c r="D1992" s="1" t="s">
        <v>26</v>
      </c>
      <c r="E1992" s="1" t="s">
        <v>26</v>
      </c>
      <c r="F1992" s="1">
        <v>16.0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1">
        <v>84.75</v>
      </c>
      <c r="T1992" s="1">
        <v>1350.15</v>
      </c>
      <c r="U1992" s="1">
        <v>0.0</v>
      </c>
      <c r="V1992" s="1">
        <v>0.0</v>
      </c>
      <c r="W1992" s="1" t="s">
        <v>25</v>
      </c>
    </row>
    <row r="1993" ht="15.75" customHeight="1">
      <c r="A1993" s="1" t="s">
        <v>2030</v>
      </c>
      <c r="B1993" s="1" t="s">
        <v>32</v>
      </c>
      <c r="C1993" s="1">
        <v>0.0</v>
      </c>
      <c r="D1993" s="1" t="s">
        <v>25</v>
      </c>
      <c r="E1993" s="1" t="s">
        <v>25</v>
      </c>
      <c r="F1993" s="1">
        <v>45.0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1">
        <v>78.75</v>
      </c>
      <c r="T1993" s="1">
        <v>3600.65</v>
      </c>
      <c r="U1993" s="1">
        <v>0.0</v>
      </c>
      <c r="V1993" s="1">
        <v>0.0</v>
      </c>
      <c r="W1993" s="1" t="s">
        <v>26</v>
      </c>
    </row>
    <row r="1994" ht="15.75" customHeight="1">
      <c r="A1994" s="1" t="s">
        <v>2031</v>
      </c>
      <c r="B1994" s="1" t="s">
        <v>24</v>
      </c>
      <c r="C1994" s="1">
        <v>0.0</v>
      </c>
      <c r="D1994" s="1" t="s">
        <v>26</v>
      </c>
      <c r="E1994" s="1" t="s">
        <v>26</v>
      </c>
      <c r="F1994" s="1">
        <v>17.0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1">
        <v>83.55</v>
      </c>
      <c r="T1994" s="1">
        <v>1329.15</v>
      </c>
      <c r="U1994" s="1">
        <v>0.0</v>
      </c>
      <c r="V1994" s="1">
        <v>0.0</v>
      </c>
      <c r="W1994" s="1" t="s">
        <v>26</v>
      </c>
    </row>
    <row r="1995" ht="15.75" customHeight="1">
      <c r="A1995" s="1" t="s">
        <v>2032</v>
      </c>
      <c r="B1995" s="1" t="s">
        <v>24</v>
      </c>
      <c r="C1995" s="1">
        <v>0.0</v>
      </c>
      <c r="D1995" s="1" t="s">
        <v>25</v>
      </c>
      <c r="E1995" s="1" t="s">
        <v>25</v>
      </c>
      <c r="F1995" s="1">
        <v>1.0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1">
        <v>45.7</v>
      </c>
      <c r="T1995" s="1">
        <v>45.7</v>
      </c>
      <c r="U1995" s="1">
        <v>0.0</v>
      </c>
      <c r="V1995" s="1">
        <v>0.0</v>
      </c>
      <c r="W1995" s="1" t="s">
        <v>25</v>
      </c>
    </row>
    <row r="1996" ht="15.75" customHeight="1">
      <c r="A1996" s="1" t="s">
        <v>2033</v>
      </c>
      <c r="B1996" s="1" t="s">
        <v>32</v>
      </c>
      <c r="C1996" s="1">
        <v>0.0</v>
      </c>
      <c r="D1996" s="1" t="s">
        <v>26</v>
      </c>
      <c r="E1996" s="1" t="s">
        <v>26</v>
      </c>
      <c r="F1996" s="1">
        <v>22.0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1">
        <v>19.6</v>
      </c>
      <c r="T1996" s="1">
        <v>422.5</v>
      </c>
      <c r="U1996" s="1">
        <v>0.0</v>
      </c>
      <c r="V1996" s="1">
        <v>0.0</v>
      </c>
      <c r="W1996" s="1" t="s">
        <v>26</v>
      </c>
    </row>
    <row r="1997" ht="15.75" customHeight="1">
      <c r="A1997" s="1" t="s">
        <v>2034</v>
      </c>
      <c r="B1997" s="1" t="s">
        <v>24</v>
      </c>
      <c r="C1997" s="1">
        <v>1.0</v>
      </c>
      <c r="D1997" s="1" t="s">
        <v>26</v>
      </c>
      <c r="E1997" s="1" t="s">
        <v>26</v>
      </c>
      <c r="F1997" s="1">
        <v>1.0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1">
        <v>69.95</v>
      </c>
      <c r="T1997" s="1">
        <v>69.95</v>
      </c>
      <c r="U1997" s="1">
        <v>0.0</v>
      </c>
      <c r="V1997" s="1">
        <v>0.0</v>
      </c>
      <c r="W1997" s="1" t="s">
        <v>25</v>
      </c>
    </row>
    <row r="1998" ht="15.75" customHeight="1">
      <c r="A1998" s="1" t="s">
        <v>2035</v>
      </c>
      <c r="B1998" s="1" t="s">
        <v>32</v>
      </c>
      <c r="C1998" s="1">
        <v>0.0</v>
      </c>
      <c r="D1998" s="1" t="s">
        <v>25</v>
      </c>
      <c r="E1998" s="1" t="s">
        <v>25</v>
      </c>
      <c r="F1998" s="1">
        <v>67.0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1">
        <v>67.85</v>
      </c>
      <c r="T1998" s="1">
        <v>4627.65</v>
      </c>
      <c r="U1998" s="1">
        <v>0.0</v>
      </c>
      <c r="V1998" s="1">
        <v>0.0</v>
      </c>
      <c r="W1998" s="1" t="s">
        <v>26</v>
      </c>
    </row>
    <row r="1999" ht="15.75" customHeight="1">
      <c r="A1999" s="1" t="s">
        <v>2036</v>
      </c>
      <c r="B1999" s="1" t="s">
        <v>24</v>
      </c>
      <c r="C1999" s="1">
        <v>0.0</v>
      </c>
      <c r="D1999" s="1" t="s">
        <v>25</v>
      </c>
      <c r="E1999" s="1" t="s">
        <v>25</v>
      </c>
      <c r="F1999" s="1">
        <v>67.0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1">
        <v>105.65</v>
      </c>
      <c r="T1999" s="1">
        <v>6717.9</v>
      </c>
      <c r="U1999" s="1">
        <v>0.0</v>
      </c>
      <c r="V1999" s="1">
        <v>0.0</v>
      </c>
      <c r="W1999" s="1" t="s">
        <v>26</v>
      </c>
    </row>
    <row r="2000" ht="15.75" customHeight="1">
      <c r="A2000" s="1" t="s">
        <v>2037</v>
      </c>
      <c r="B2000" s="1" t="s">
        <v>24</v>
      </c>
      <c r="C2000" s="1">
        <v>0.0</v>
      </c>
      <c r="D2000" s="1" t="s">
        <v>25</v>
      </c>
      <c r="E2000" s="1" t="s">
        <v>26</v>
      </c>
      <c r="F2000" s="1">
        <v>2.0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1">
        <v>44.6</v>
      </c>
      <c r="T2000" s="1">
        <v>97.1</v>
      </c>
      <c r="U2000" s="1">
        <v>0.0</v>
      </c>
      <c r="V2000" s="1">
        <v>0.0</v>
      </c>
      <c r="W2000" s="1" t="s">
        <v>25</v>
      </c>
    </row>
    <row r="2001" ht="15.75" customHeight="1">
      <c r="A2001" s="1" t="s">
        <v>2038</v>
      </c>
      <c r="B2001" s="1" t="s">
        <v>32</v>
      </c>
      <c r="C2001" s="1">
        <v>0.0</v>
      </c>
      <c r="D2001" s="1" t="s">
        <v>26</v>
      </c>
      <c r="E2001" s="1" t="s">
        <v>26</v>
      </c>
      <c r="F2001" s="1">
        <v>23.0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1">
        <v>74.95</v>
      </c>
      <c r="T2001" s="1">
        <v>1710.45</v>
      </c>
      <c r="U2001" s="1">
        <v>0.0</v>
      </c>
      <c r="V2001" s="1">
        <v>0.0</v>
      </c>
      <c r="W2001" s="1" t="s">
        <v>25</v>
      </c>
    </row>
    <row r="2002" ht="15.75" customHeight="1">
      <c r="A2002" s="1" t="s">
        <v>2039</v>
      </c>
      <c r="B2002" s="1" t="s">
        <v>24</v>
      </c>
      <c r="C2002" s="1">
        <v>1.0</v>
      </c>
      <c r="D2002" s="1" t="s">
        <v>26</v>
      </c>
      <c r="E2002" s="1" t="s">
        <v>26</v>
      </c>
      <c r="F2002" s="1">
        <v>9.0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1">
        <v>75.5</v>
      </c>
      <c r="T2002" s="1">
        <v>637.4</v>
      </c>
      <c r="U2002" s="1">
        <v>0.0</v>
      </c>
      <c r="V2002" s="1">
        <v>0.0</v>
      </c>
      <c r="W2002" s="1" t="s">
        <v>26</v>
      </c>
    </row>
    <row r="2003" ht="15.75" customHeight="1">
      <c r="A2003" s="1" t="s">
        <v>2040</v>
      </c>
      <c r="B2003" s="1" t="s">
        <v>24</v>
      </c>
      <c r="C2003" s="1">
        <v>0.0</v>
      </c>
      <c r="D2003" s="1" t="s">
        <v>26</v>
      </c>
      <c r="E2003" s="1" t="s">
        <v>26</v>
      </c>
      <c r="F2003" s="1">
        <v>5.0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1">
        <v>20.15</v>
      </c>
      <c r="T2003" s="1">
        <v>117.95</v>
      </c>
      <c r="U2003" s="1">
        <v>1.0</v>
      </c>
      <c r="V2003" s="1">
        <v>0.0</v>
      </c>
      <c r="W2003" s="1" t="s">
        <v>26</v>
      </c>
    </row>
    <row r="2004" ht="15.75" customHeight="1">
      <c r="A2004" s="1" t="s">
        <v>2041</v>
      </c>
      <c r="B2004" s="1" t="s">
        <v>32</v>
      </c>
      <c r="C2004" s="1">
        <v>0.0</v>
      </c>
      <c r="D2004" s="1" t="s">
        <v>26</v>
      </c>
      <c r="E2004" s="1" t="s">
        <v>26</v>
      </c>
      <c r="F2004" s="1">
        <v>54.0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1">
        <v>45.2</v>
      </c>
      <c r="T2004" s="1">
        <v>2460.55</v>
      </c>
      <c r="U2004" s="1">
        <v>1.0</v>
      </c>
      <c r="V2004" s="1">
        <v>0.0</v>
      </c>
      <c r="W2004" s="1" t="s">
        <v>26</v>
      </c>
    </row>
    <row r="2005" ht="15.75" customHeight="1">
      <c r="A2005" s="1" t="s">
        <v>2042</v>
      </c>
      <c r="B2005" s="1" t="s">
        <v>24</v>
      </c>
      <c r="C2005" s="1">
        <v>0.0</v>
      </c>
      <c r="D2005" s="1" t="s">
        <v>26</v>
      </c>
      <c r="E2005" s="1" t="s">
        <v>26</v>
      </c>
      <c r="F2005" s="1">
        <v>57.0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1">
        <v>95.25</v>
      </c>
      <c r="T2005" s="1">
        <v>5464.65</v>
      </c>
      <c r="U2005" s="1">
        <v>0.0</v>
      </c>
      <c r="V2005" s="1">
        <v>5.0</v>
      </c>
      <c r="W2005" s="1" t="s">
        <v>25</v>
      </c>
    </row>
    <row r="2006" ht="15.75" customHeight="1">
      <c r="A2006" s="1" t="s">
        <v>2043</v>
      </c>
      <c r="B2006" s="1" t="s">
        <v>32</v>
      </c>
      <c r="C2006" s="1">
        <v>0.0</v>
      </c>
      <c r="D2006" s="1" t="s">
        <v>26</v>
      </c>
      <c r="E2006" s="1" t="s">
        <v>26</v>
      </c>
      <c r="F2006" s="1">
        <v>24.0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1">
        <v>89.85</v>
      </c>
      <c r="T2006" s="1">
        <v>2165.05</v>
      </c>
      <c r="U2006" s="1">
        <v>0.0</v>
      </c>
      <c r="V2006" s="1">
        <v>3.0</v>
      </c>
      <c r="W2006" s="1" t="s">
        <v>25</v>
      </c>
    </row>
    <row r="2007" ht="15.75" customHeight="1">
      <c r="A2007" s="1" t="s">
        <v>2044</v>
      </c>
      <c r="B2007" s="1" t="s">
        <v>24</v>
      </c>
      <c r="C2007" s="1">
        <v>0.0</v>
      </c>
      <c r="D2007" s="1" t="s">
        <v>25</v>
      </c>
      <c r="E2007" s="1" t="s">
        <v>25</v>
      </c>
      <c r="F2007" s="1">
        <v>49.0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1">
        <v>100.45</v>
      </c>
      <c r="T2007" s="1">
        <v>4941.8</v>
      </c>
      <c r="U2007" s="1">
        <v>5.0</v>
      </c>
      <c r="V2007" s="1">
        <v>4.0</v>
      </c>
      <c r="W2007" s="1" t="s">
        <v>25</v>
      </c>
    </row>
    <row r="2008" ht="15.75" customHeight="1">
      <c r="A2008" s="1" t="s">
        <v>2045</v>
      </c>
      <c r="B2008" s="1" t="s">
        <v>32</v>
      </c>
      <c r="C2008" s="1">
        <v>0.0</v>
      </c>
      <c r="D2008" s="1" t="s">
        <v>26</v>
      </c>
      <c r="E2008" s="1" t="s">
        <v>26</v>
      </c>
      <c r="F2008" s="1">
        <v>5.0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1">
        <v>47.15</v>
      </c>
      <c r="T2008" s="1">
        <v>223.15</v>
      </c>
      <c r="U2008" s="1">
        <v>0.0</v>
      </c>
      <c r="V2008" s="1">
        <v>0.0</v>
      </c>
      <c r="W2008" s="1" t="s">
        <v>25</v>
      </c>
    </row>
    <row r="2009" ht="15.75" customHeight="1">
      <c r="A2009" s="1" t="s">
        <v>2046</v>
      </c>
      <c r="B2009" s="1" t="s">
        <v>32</v>
      </c>
      <c r="C2009" s="1">
        <v>0.0</v>
      </c>
      <c r="D2009" s="1" t="s">
        <v>26</v>
      </c>
      <c r="E2009" s="1" t="s">
        <v>26</v>
      </c>
      <c r="F2009" s="1">
        <v>2.0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1">
        <v>80.2</v>
      </c>
      <c r="T2009" s="1">
        <v>181.1</v>
      </c>
      <c r="U2009" s="1">
        <v>0.0</v>
      </c>
      <c r="V2009" s="1">
        <v>0.0</v>
      </c>
      <c r="W2009" s="1" t="s">
        <v>25</v>
      </c>
    </row>
    <row r="2010" ht="15.75" customHeight="1">
      <c r="A2010" s="1" t="s">
        <v>2047</v>
      </c>
      <c r="B2010" s="1" t="s">
        <v>24</v>
      </c>
      <c r="C2010" s="1">
        <v>0.0</v>
      </c>
      <c r="D2010" s="1" t="s">
        <v>26</v>
      </c>
      <c r="E2010" s="1" t="s">
        <v>25</v>
      </c>
      <c r="F2010" s="1">
        <v>4.0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1">
        <v>87.1</v>
      </c>
      <c r="T2010" s="1">
        <v>341.45</v>
      </c>
      <c r="U2010" s="1">
        <v>0.0</v>
      </c>
      <c r="V2010" s="1">
        <v>0.0</v>
      </c>
      <c r="W2010" s="1" t="s">
        <v>25</v>
      </c>
    </row>
    <row r="2011" ht="15.75" customHeight="1">
      <c r="A2011" s="1" t="s">
        <v>2048</v>
      </c>
      <c r="B2011" s="1" t="s">
        <v>32</v>
      </c>
      <c r="C2011" s="1">
        <v>0.0</v>
      </c>
      <c r="D2011" s="1" t="s">
        <v>25</v>
      </c>
      <c r="E2011" s="1" t="s">
        <v>25</v>
      </c>
      <c r="F2011" s="1">
        <v>70.0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1">
        <v>79.25</v>
      </c>
      <c r="T2011" s="1">
        <v>5731.85</v>
      </c>
      <c r="U2011" s="1">
        <v>0.0</v>
      </c>
      <c r="V2011" s="1">
        <v>0.0</v>
      </c>
      <c r="W2011" s="1" t="s">
        <v>26</v>
      </c>
    </row>
    <row r="2012" ht="15.75" customHeight="1">
      <c r="A2012" s="1" t="s">
        <v>2049</v>
      </c>
      <c r="B2012" s="1" t="s">
        <v>32</v>
      </c>
      <c r="C2012" s="1">
        <v>0.0</v>
      </c>
      <c r="D2012" s="1" t="s">
        <v>26</v>
      </c>
      <c r="E2012" s="1" t="s">
        <v>26</v>
      </c>
      <c r="F2012" s="1">
        <v>5.0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1">
        <v>75.9</v>
      </c>
      <c r="T2012" s="1">
        <v>357.75</v>
      </c>
      <c r="U2012" s="1">
        <v>0.0</v>
      </c>
      <c r="V2012" s="1">
        <v>0.0</v>
      </c>
      <c r="W2012" s="1" t="s">
        <v>25</v>
      </c>
    </row>
    <row r="2013" ht="15.75" customHeight="1">
      <c r="A2013" s="1" t="s">
        <v>2050</v>
      </c>
      <c r="B2013" s="1" t="s">
        <v>32</v>
      </c>
      <c r="C2013" s="1">
        <v>0.0</v>
      </c>
      <c r="D2013" s="1" t="s">
        <v>25</v>
      </c>
      <c r="E2013" s="1" t="s">
        <v>25</v>
      </c>
      <c r="F2013" s="1">
        <v>53.0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1">
        <v>85.7</v>
      </c>
      <c r="T2013" s="1">
        <v>4616.1</v>
      </c>
      <c r="U2013" s="1">
        <v>0.0</v>
      </c>
      <c r="V2013" s="1">
        <v>0.0</v>
      </c>
      <c r="W2013" s="1" t="s">
        <v>26</v>
      </c>
    </row>
    <row r="2014" ht="15.75" customHeight="1">
      <c r="A2014" s="1" t="s">
        <v>2051</v>
      </c>
      <c r="B2014" s="1" t="s">
        <v>24</v>
      </c>
      <c r="C2014" s="1">
        <v>0.0</v>
      </c>
      <c r="D2014" s="1" t="s">
        <v>25</v>
      </c>
      <c r="E2014" s="1" t="s">
        <v>26</v>
      </c>
      <c r="F2014" s="1">
        <v>47.0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1">
        <v>98.75</v>
      </c>
      <c r="T2014" s="1">
        <v>4533.7</v>
      </c>
      <c r="U2014" s="1">
        <v>0.0</v>
      </c>
      <c r="V2014" s="1">
        <v>6.0</v>
      </c>
      <c r="W2014" s="1" t="s">
        <v>25</v>
      </c>
    </row>
    <row r="2015" ht="15.75" customHeight="1">
      <c r="A2015" s="1" t="s">
        <v>2052</v>
      </c>
      <c r="B2015" s="1" t="s">
        <v>24</v>
      </c>
      <c r="C2015" s="1">
        <v>0.0</v>
      </c>
      <c r="D2015" s="1" t="s">
        <v>26</v>
      </c>
      <c r="E2015" s="1" t="s">
        <v>25</v>
      </c>
      <c r="F2015" s="1">
        <v>31.0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1">
        <v>20.1</v>
      </c>
      <c r="T2015" s="1">
        <v>589.25</v>
      </c>
      <c r="U2015" s="1">
        <v>0.0</v>
      </c>
      <c r="V2015" s="1">
        <v>0.0</v>
      </c>
      <c r="W2015" s="1" t="s">
        <v>26</v>
      </c>
    </row>
    <row r="2016" ht="15.75" customHeight="1">
      <c r="A2016" s="1" t="s">
        <v>2053</v>
      </c>
      <c r="B2016" s="1" t="s">
        <v>32</v>
      </c>
      <c r="C2016" s="1">
        <v>0.0</v>
      </c>
      <c r="D2016" s="1" t="s">
        <v>25</v>
      </c>
      <c r="E2016" s="1" t="s">
        <v>25</v>
      </c>
      <c r="F2016" s="1">
        <v>13.0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1">
        <v>61.8</v>
      </c>
      <c r="T2016" s="1">
        <v>750.1</v>
      </c>
      <c r="U2016" s="1">
        <v>0.0</v>
      </c>
      <c r="V2016" s="1">
        <v>0.0</v>
      </c>
      <c r="W2016" s="1" t="s">
        <v>26</v>
      </c>
    </row>
    <row r="2017" ht="15.75" customHeight="1">
      <c r="A2017" s="1" t="s">
        <v>2054</v>
      </c>
      <c r="B2017" s="1" t="s">
        <v>24</v>
      </c>
      <c r="C2017" s="1">
        <v>0.0</v>
      </c>
      <c r="D2017" s="1" t="s">
        <v>25</v>
      </c>
      <c r="E2017" s="1" t="s">
        <v>25</v>
      </c>
      <c r="F2017" s="1">
        <v>28.0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1">
        <v>49.9</v>
      </c>
      <c r="T2017" s="1">
        <v>1410.25</v>
      </c>
      <c r="U2017" s="1">
        <v>5.0</v>
      </c>
      <c r="V2017" s="1">
        <v>0.0</v>
      </c>
      <c r="W2017" s="1" t="s">
        <v>26</v>
      </c>
    </row>
    <row r="2018" ht="15.75" customHeight="1">
      <c r="A2018" s="1" t="s">
        <v>2055</v>
      </c>
      <c r="B2018" s="1" t="s">
        <v>24</v>
      </c>
      <c r="C2018" s="1">
        <v>0.0</v>
      </c>
      <c r="D2018" s="1" t="s">
        <v>26</v>
      </c>
      <c r="E2018" s="1" t="s">
        <v>26</v>
      </c>
      <c r="F2018" s="1">
        <v>10.0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1">
        <v>86.45</v>
      </c>
      <c r="T2018" s="1">
        <v>830.85</v>
      </c>
      <c r="U2018" s="1">
        <v>0.0</v>
      </c>
      <c r="V2018" s="1">
        <v>0.0</v>
      </c>
      <c r="W2018" s="1" t="s">
        <v>25</v>
      </c>
    </row>
    <row r="2019" ht="15.75" customHeight="1">
      <c r="A2019" s="1" t="s">
        <v>2056</v>
      </c>
      <c r="B2019" s="1" t="s">
        <v>32</v>
      </c>
      <c r="C2019" s="1">
        <v>0.0</v>
      </c>
      <c r="D2019" s="1" t="s">
        <v>25</v>
      </c>
      <c r="E2019" s="1" t="s">
        <v>26</v>
      </c>
      <c r="F2019" s="1">
        <v>38.0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1">
        <v>20.4</v>
      </c>
      <c r="T2019" s="1">
        <v>743.5</v>
      </c>
      <c r="U2019" s="1">
        <v>0.0</v>
      </c>
      <c r="V2019" s="1">
        <v>0.0</v>
      </c>
      <c r="W2019" s="1" t="s">
        <v>26</v>
      </c>
    </row>
    <row r="2020" ht="15.75" customHeight="1">
      <c r="A2020" s="1" t="s">
        <v>2057</v>
      </c>
      <c r="B2020" s="1" t="s">
        <v>24</v>
      </c>
      <c r="C2020" s="1">
        <v>0.0</v>
      </c>
      <c r="D2020" s="1" t="s">
        <v>26</v>
      </c>
      <c r="E2020" s="1" t="s">
        <v>26</v>
      </c>
      <c r="F2020" s="1">
        <v>1.0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1">
        <v>45.3</v>
      </c>
      <c r="T2020" s="1">
        <v>45.3</v>
      </c>
      <c r="U2020" s="1">
        <v>0.0</v>
      </c>
      <c r="V2020" s="1">
        <v>0.0</v>
      </c>
      <c r="W2020" s="1" t="s">
        <v>25</v>
      </c>
    </row>
    <row r="2021" ht="15.75" customHeight="1">
      <c r="A2021" s="1" t="s">
        <v>2058</v>
      </c>
      <c r="B2021" s="1" t="s">
        <v>32</v>
      </c>
      <c r="C2021" s="1">
        <v>0.0</v>
      </c>
      <c r="D2021" s="1" t="s">
        <v>25</v>
      </c>
      <c r="E2021" s="1" t="s">
        <v>26</v>
      </c>
      <c r="F2021" s="1">
        <v>67.0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1">
        <v>104.1</v>
      </c>
      <c r="T2021" s="1">
        <v>7040.85</v>
      </c>
      <c r="U2021" s="1">
        <v>0.0</v>
      </c>
      <c r="V2021" s="1">
        <v>6.0</v>
      </c>
      <c r="W2021" s="1" t="s">
        <v>25</v>
      </c>
    </row>
    <row r="2022" ht="15.75" customHeight="1">
      <c r="A2022" s="1" t="s">
        <v>2059</v>
      </c>
      <c r="B2022" s="1" t="s">
        <v>32</v>
      </c>
      <c r="C2022" s="1">
        <v>0.0</v>
      </c>
      <c r="D2022" s="1" t="s">
        <v>25</v>
      </c>
      <c r="E2022" s="1" t="s">
        <v>26</v>
      </c>
      <c r="F2022" s="1">
        <v>52.0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1">
        <v>75.4</v>
      </c>
      <c r="T2022" s="1">
        <v>3865.45</v>
      </c>
      <c r="U2022" s="1">
        <v>0.0</v>
      </c>
      <c r="V2022" s="1">
        <v>0.0</v>
      </c>
      <c r="W2022" s="1" t="s">
        <v>26</v>
      </c>
    </row>
    <row r="2023" ht="15.75" customHeight="1">
      <c r="A2023" s="1" t="s">
        <v>2060</v>
      </c>
      <c r="B2023" s="1" t="s">
        <v>32</v>
      </c>
      <c r="C2023" s="1">
        <v>0.0</v>
      </c>
      <c r="D2023" s="1" t="s">
        <v>25</v>
      </c>
      <c r="E2023" s="1" t="s">
        <v>25</v>
      </c>
      <c r="F2023" s="1">
        <v>62.0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1">
        <v>108.15</v>
      </c>
      <c r="T2023" s="1">
        <v>6825.65</v>
      </c>
      <c r="U2023" s="1">
        <v>5.0</v>
      </c>
      <c r="V2023" s="1">
        <v>0.0</v>
      </c>
      <c r="W2023" s="1" t="s">
        <v>26</v>
      </c>
    </row>
    <row r="2024" ht="15.75" customHeight="1">
      <c r="A2024" s="1" t="s">
        <v>2061</v>
      </c>
      <c r="B2024" s="1" t="s">
        <v>24</v>
      </c>
      <c r="C2024" s="1">
        <v>0.0</v>
      </c>
      <c r="D2024" s="1" t="s">
        <v>26</v>
      </c>
      <c r="E2024" s="1" t="s">
        <v>26</v>
      </c>
      <c r="F2024" s="1">
        <v>16.0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1">
        <v>86.25</v>
      </c>
      <c r="T2024" s="1">
        <v>1340.1</v>
      </c>
      <c r="U2024" s="1">
        <v>0.0</v>
      </c>
      <c r="V2024" s="1">
        <v>0.0</v>
      </c>
      <c r="W2024" s="1" t="s">
        <v>26</v>
      </c>
    </row>
    <row r="2025" ht="15.75" customHeight="1">
      <c r="A2025" s="1" t="s">
        <v>2062</v>
      </c>
      <c r="B2025" s="1" t="s">
        <v>24</v>
      </c>
      <c r="C2025" s="1">
        <v>1.0</v>
      </c>
      <c r="D2025" s="1" t="s">
        <v>25</v>
      </c>
      <c r="E2025" s="1" t="s">
        <v>26</v>
      </c>
      <c r="F2025" s="1">
        <v>5.0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1">
        <v>81.0</v>
      </c>
      <c r="T2025" s="1">
        <v>371.65</v>
      </c>
      <c r="U2025" s="1">
        <v>4.0</v>
      </c>
      <c r="V2025" s="1">
        <v>0.0</v>
      </c>
      <c r="W2025" s="1" t="s">
        <v>25</v>
      </c>
    </row>
    <row r="2026" ht="15.75" customHeight="1">
      <c r="A2026" s="1" t="s">
        <v>2063</v>
      </c>
      <c r="B2026" s="1" t="s">
        <v>32</v>
      </c>
      <c r="C2026" s="1">
        <v>0.0</v>
      </c>
      <c r="D2026" s="1" t="s">
        <v>26</v>
      </c>
      <c r="E2026" s="1" t="s">
        <v>26</v>
      </c>
      <c r="F2026" s="1">
        <v>12.0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1">
        <v>95.7</v>
      </c>
      <c r="T2026" s="1">
        <v>1184.0</v>
      </c>
      <c r="U2026" s="1">
        <v>2.0</v>
      </c>
      <c r="V2026" s="1">
        <v>0.0</v>
      </c>
      <c r="W2026" s="1" t="s">
        <v>26</v>
      </c>
    </row>
    <row r="2027" ht="15.75" customHeight="1">
      <c r="A2027" s="1" t="s">
        <v>2064</v>
      </c>
      <c r="B2027" s="1" t="s">
        <v>24</v>
      </c>
      <c r="C2027" s="1">
        <v>0.0</v>
      </c>
      <c r="D2027" s="1" t="s">
        <v>25</v>
      </c>
      <c r="E2027" s="1" t="s">
        <v>25</v>
      </c>
      <c r="F2027" s="1">
        <v>72.0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1">
        <v>116.85</v>
      </c>
      <c r="T2027" s="1">
        <v>8477.7</v>
      </c>
      <c r="U2027" s="1">
        <v>0.0</v>
      </c>
      <c r="V2027" s="1">
        <v>0.0</v>
      </c>
      <c r="W2027" s="1" t="s">
        <v>26</v>
      </c>
    </row>
    <row r="2028" ht="15.75" customHeight="1">
      <c r="A2028" s="1" t="s">
        <v>2065</v>
      </c>
      <c r="B2028" s="1" t="s">
        <v>32</v>
      </c>
      <c r="C2028" s="1">
        <v>1.0</v>
      </c>
      <c r="D2028" s="1" t="s">
        <v>26</v>
      </c>
      <c r="E2028" s="1" t="s">
        <v>26</v>
      </c>
      <c r="F2028" s="1">
        <v>71.0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1">
        <v>105.75</v>
      </c>
      <c r="T2028" s="1">
        <v>7382.85</v>
      </c>
      <c r="U2028" s="1">
        <v>0.0</v>
      </c>
      <c r="V2028" s="1">
        <v>0.0</v>
      </c>
      <c r="W2028" s="1" t="s">
        <v>26</v>
      </c>
    </row>
    <row r="2029" ht="15.75" customHeight="1">
      <c r="A2029" s="1" t="s">
        <v>2066</v>
      </c>
      <c r="B2029" s="1" t="s">
        <v>24</v>
      </c>
      <c r="C2029" s="1">
        <v>0.0</v>
      </c>
      <c r="D2029" s="1" t="s">
        <v>25</v>
      </c>
      <c r="E2029" s="1" t="s">
        <v>26</v>
      </c>
      <c r="F2029" s="1">
        <v>24.0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1">
        <v>20.15</v>
      </c>
      <c r="T2029" s="1">
        <v>456.85</v>
      </c>
      <c r="U2029" s="1">
        <v>0.0</v>
      </c>
      <c r="V2029" s="1">
        <v>0.0</v>
      </c>
      <c r="W2029" s="1" t="s">
        <v>26</v>
      </c>
    </row>
    <row r="2030" ht="15.75" customHeight="1">
      <c r="A2030" s="1" t="s">
        <v>2067</v>
      </c>
      <c r="B2030" s="1" t="s">
        <v>24</v>
      </c>
      <c r="C2030" s="1">
        <v>0.0</v>
      </c>
      <c r="D2030" s="1" t="s">
        <v>26</v>
      </c>
      <c r="E2030" s="1" t="s">
        <v>26</v>
      </c>
      <c r="F2030" s="1">
        <v>15.0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1">
        <v>19.6</v>
      </c>
      <c r="T2030" s="1">
        <v>331.6</v>
      </c>
      <c r="U2030" s="1">
        <v>0.0</v>
      </c>
      <c r="V2030" s="1">
        <v>0.0</v>
      </c>
      <c r="W2030" s="1" t="s">
        <v>26</v>
      </c>
    </row>
    <row r="2031" ht="15.75" customHeight="1">
      <c r="A2031" s="1" t="s">
        <v>2068</v>
      </c>
      <c r="B2031" s="1" t="s">
        <v>32</v>
      </c>
      <c r="C2031" s="1">
        <v>0.0</v>
      </c>
      <c r="D2031" s="1" t="s">
        <v>25</v>
      </c>
      <c r="E2031" s="1" t="s">
        <v>26</v>
      </c>
      <c r="F2031" s="1">
        <v>67.0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1">
        <v>90.6</v>
      </c>
      <c r="T2031" s="1">
        <v>6056.15</v>
      </c>
      <c r="U2031" s="1">
        <v>0.0</v>
      </c>
      <c r="V2031" s="1">
        <v>7.0</v>
      </c>
      <c r="W2031" s="1" t="s">
        <v>25</v>
      </c>
    </row>
    <row r="2032" ht="15.75" customHeight="1">
      <c r="A2032" s="1" t="s">
        <v>2069</v>
      </c>
      <c r="B2032" s="1" t="s">
        <v>32</v>
      </c>
      <c r="C2032" s="1">
        <v>0.0</v>
      </c>
      <c r="D2032" s="1" t="s">
        <v>26</v>
      </c>
      <c r="E2032" s="1" t="s">
        <v>25</v>
      </c>
      <c r="F2032" s="1">
        <v>2.0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1">
        <v>60.95</v>
      </c>
      <c r="T2032" s="1">
        <v>134.6</v>
      </c>
      <c r="U2032" s="1">
        <v>0.0</v>
      </c>
      <c r="V2032" s="1">
        <v>0.0</v>
      </c>
      <c r="W2032" s="1" t="s">
        <v>26</v>
      </c>
    </row>
    <row r="2033" ht="15.75" customHeight="1">
      <c r="A2033" s="1" t="s">
        <v>2070</v>
      </c>
      <c r="B2033" s="1" t="s">
        <v>24</v>
      </c>
      <c r="C2033" s="1">
        <v>0.0</v>
      </c>
      <c r="D2033" s="1" t="s">
        <v>25</v>
      </c>
      <c r="E2033" s="1" t="s">
        <v>25</v>
      </c>
      <c r="F2033" s="1">
        <v>5.0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1">
        <v>25.05</v>
      </c>
      <c r="T2033" s="1">
        <v>125.5</v>
      </c>
      <c r="U2033" s="1">
        <v>0.0</v>
      </c>
      <c r="V2033" s="1">
        <v>0.0</v>
      </c>
      <c r="W2033" s="1" t="s">
        <v>26</v>
      </c>
    </row>
    <row r="2034" ht="15.75" customHeight="1">
      <c r="A2034" s="1" t="s">
        <v>2071</v>
      </c>
      <c r="B2034" s="1" t="s">
        <v>24</v>
      </c>
      <c r="C2034" s="1">
        <v>0.0</v>
      </c>
      <c r="D2034" s="1" t="s">
        <v>25</v>
      </c>
      <c r="E2034" s="1" t="s">
        <v>26</v>
      </c>
      <c r="F2034" s="1">
        <v>15.0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1">
        <v>88.15</v>
      </c>
      <c r="T2034" s="1">
        <v>1390.6</v>
      </c>
      <c r="U2034" s="1">
        <v>0.0</v>
      </c>
      <c r="V2034" s="1">
        <v>1.0</v>
      </c>
      <c r="W2034" s="1" t="s">
        <v>25</v>
      </c>
    </row>
    <row r="2035" ht="15.75" customHeight="1">
      <c r="A2035" s="1" t="s">
        <v>2072</v>
      </c>
      <c r="B2035" s="1" t="s">
        <v>32</v>
      </c>
      <c r="C2035" s="1">
        <v>0.0</v>
      </c>
      <c r="D2035" s="1" t="s">
        <v>26</v>
      </c>
      <c r="E2035" s="1" t="s">
        <v>26</v>
      </c>
      <c r="F2035" s="1">
        <v>1.0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1">
        <v>20.2</v>
      </c>
      <c r="T2035" s="1">
        <v>20.2</v>
      </c>
      <c r="U2035" s="1">
        <v>0.0</v>
      </c>
      <c r="V2035" s="1">
        <v>0.0</v>
      </c>
      <c r="W2035" s="1" t="s">
        <v>25</v>
      </c>
    </row>
    <row r="2036" ht="15.75" customHeight="1">
      <c r="A2036" s="1" t="s">
        <v>2073</v>
      </c>
      <c r="B2036" s="1" t="s">
        <v>32</v>
      </c>
      <c r="C2036" s="1">
        <v>0.0</v>
      </c>
      <c r="D2036" s="1" t="s">
        <v>25</v>
      </c>
      <c r="E2036" s="1" t="s">
        <v>25</v>
      </c>
      <c r="F2036" s="1">
        <v>41.0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1">
        <v>60.3</v>
      </c>
      <c r="T2036" s="1">
        <v>2511.3</v>
      </c>
      <c r="U2036" s="1">
        <v>0.0</v>
      </c>
      <c r="V2036" s="1">
        <v>0.0</v>
      </c>
      <c r="W2036" s="1" t="s">
        <v>26</v>
      </c>
    </row>
    <row r="2037" ht="15.75" customHeight="1">
      <c r="A2037" s="1" t="s">
        <v>2074</v>
      </c>
      <c r="B2037" s="1" t="s">
        <v>24</v>
      </c>
      <c r="C2037" s="1">
        <v>0.0</v>
      </c>
      <c r="D2037" s="1" t="s">
        <v>26</v>
      </c>
      <c r="E2037" s="1" t="s">
        <v>25</v>
      </c>
      <c r="F2037" s="1">
        <v>43.0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1">
        <v>63.95</v>
      </c>
      <c r="T2037" s="1">
        <v>2737.05</v>
      </c>
      <c r="U2037" s="1">
        <v>0.0</v>
      </c>
      <c r="V2037" s="1">
        <v>0.0</v>
      </c>
      <c r="W2037" s="1" t="s">
        <v>26</v>
      </c>
    </row>
    <row r="2038" ht="15.75" customHeight="1">
      <c r="A2038" s="1" t="s">
        <v>2075</v>
      </c>
      <c r="B2038" s="1" t="s">
        <v>32</v>
      </c>
      <c r="C2038" s="1">
        <v>1.0</v>
      </c>
      <c r="D2038" s="1" t="s">
        <v>25</v>
      </c>
      <c r="E2038" s="1" t="s">
        <v>26</v>
      </c>
      <c r="F2038" s="1">
        <v>1.0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1">
        <v>74.3</v>
      </c>
      <c r="T2038" s="1">
        <v>74.3</v>
      </c>
      <c r="U2038" s="1">
        <v>5.0</v>
      </c>
      <c r="V2038" s="1">
        <v>0.0</v>
      </c>
      <c r="W2038" s="1" t="s">
        <v>26</v>
      </c>
    </row>
    <row r="2039" ht="15.75" customHeight="1">
      <c r="A2039" s="1" t="s">
        <v>2076</v>
      </c>
      <c r="B2039" s="1" t="s">
        <v>24</v>
      </c>
      <c r="C2039" s="1">
        <v>1.0</v>
      </c>
      <c r="D2039" s="1" t="s">
        <v>26</v>
      </c>
      <c r="E2039" s="1" t="s">
        <v>26</v>
      </c>
      <c r="F2039" s="1">
        <v>1.0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1">
        <v>70.6</v>
      </c>
      <c r="T2039" s="1">
        <v>70.6</v>
      </c>
      <c r="U2039" s="1">
        <v>0.0</v>
      </c>
      <c r="V2039" s="1">
        <v>0.0</v>
      </c>
      <c r="W2039" s="1" t="s">
        <v>26</v>
      </c>
    </row>
    <row r="2040" ht="15.75" customHeight="1">
      <c r="A2040" s="1" t="s">
        <v>2077</v>
      </c>
      <c r="B2040" s="1" t="s">
        <v>24</v>
      </c>
      <c r="C2040" s="1">
        <v>0.0</v>
      </c>
      <c r="D2040" s="1" t="s">
        <v>25</v>
      </c>
      <c r="E2040" s="1" t="s">
        <v>25</v>
      </c>
      <c r="F2040" s="1">
        <v>26.0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1">
        <v>90.8</v>
      </c>
      <c r="T2040" s="1">
        <v>2361.8</v>
      </c>
      <c r="U2040" s="1">
        <v>0.0</v>
      </c>
      <c r="V2040" s="1">
        <v>2.0</v>
      </c>
      <c r="W2040" s="1" t="s">
        <v>25</v>
      </c>
    </row>
    <row r="2041" ht="15.75" customHeight="1">
      <c r="A2041" s="1" t="s">
        <v>2078</v>
      </c>
      <c r="B2041" s="1" t="s">
        <v>32</v>
      </c>
      <c r="C2041" s="1">
        <v>0.0</v>
      </c>
      <c r="D2041" s="1" t="s">
        <v>26</v>
      </c>
      <c r="E2041" s="1" t="s">
        <v>26</v>
      </c>
      <c r="F2041" s="1">
        <v>22.0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1">
        <v>79.35</v>
      </c>
      <c r="T2041" s="1">
        <v>1730.35</v>
      </c>
      <c r="U2041" s="1">
        <v>0.0</v>
      </c>
      <c r="V2041" s="1">
        <v>1.0</v>
      </c>
      <c r="W2041" s="1" t="s">
        <v>25</v>
      </c>
    </row>
    <row r="2042" ht="15.75" customHeight="1">
      <c r="A2042" s="1" t="s">
        <v>2079</v>
      </c>
      <c r="B2042" s="1" t="s">
        <v>32</v>
      </c>
      <c r="C2042" s="1">
        <v>0.0</v>
      </c>
      <c r="D2042" s="1" t="s">
        <v>25</v>
      </c>
      <c r="E2042" s="1" t="s">
        <v>26</v>
      </c>
      <c r="F2042" s="1">
        <v>71.0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1">
        <v>90.55</v>
      </c>
      <c r="T2042" s="1">
        <v>6404.0</v>
      </c>
      <c r="U2042" s="1">
        <v>0.0</v>
      </c>
      <c r="V2042" s="1">
        <v>0.0</v>
      </c>
      <c r="W2042" s="1" t="s">
        <v>26</v>
      </c>
    </row>
    <row r="2043" ht="15.75" customHeight="1">
      <c r="A2043" s="1" t="s">
        <v>2080</v>
      </c>
      <c r="B2043" s="1" t="s">
        <v>32</v>
      </c>
      <c r="C2043" s="1">
        <v>0.0</v>
      </c>
      <c r="D2043" s="1" t="s">
        <v>26</v>
      </c>
      <c r="E2043" s="1" t="s">
        <v>26</v>
      </c>
      <c r="F2043" s="1">
        <v>7.0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1">
        <v>19.45</v>
      </c>
      <c r="T2043" s="1">
        <v>165.35</v>
      </c>
      <c r="U2043" s="1">
        <v>1.0</v>
      </c>
      <c r="V2043" s="1">
        <v>0.0</v>
      </c>
      <c r="W2043" s="1" t="s">
        <v>26</v>
      </c>
    </row>
    <row r="2044" ht="15.75" customHeight="1">
      <c r="A2044" s="1" t="s">
        <v>2081</v>
      </c>
      <c r="B2044" s="1" t="s">
        <v>24</v>
      </c>
      <c r="C2044" s="1">
        <v>1.0</v>
      </c>
      <c r="D2044" s="1" t="s">
        <v>26</v>
      </c>
      <c r="E2044" s="1" t="s">
        <v>26</v>
      </c>
      <c r="F2044" s="1">
        <v>28.0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1">
        <v>64.45</v>
      </c>
      <c r="T2044" s="1">
        <v>1867.6</v>
      </c>
      <c r="U2044" s="1">
        <v>0.0</v>
      </c>
      <c r="V2044" s="1">
        <v>0.0</v>
      </c>
      <c r="W2044" s="1" t="s">
        <v>26</v>
      </c>
    </row>
    <row r="2045" ht="15.75" customHeight="1">
      <c r="A2045" s="1" t="s">
        <v>2082</v>
      </c>
      <c r="B2045" s="1" t="s">
        <v>32</v>
      </c>
      <c r="C2045" s="1">
        <v>1.0</v>
      </c>
      <c r="D2045" s="1" t="s">
        <v>26</v>
      </c>
      <c r="E2045" s="1" t="s">
        <v>26</v>
      </c>
      <c r="F2045" s="1">
        <v>16.0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1">
        <v>69.65</v>
      </c>
      <c r="T2045" s="1">
        <v>1043.3</v>
      </c>
      <c r="U2045" s="1">
        <v>3.0</v>
      </c>
      <c r="V2045" s="1">
        <v>0.0</v>
      </c>
      <c r="W2045" s="1" t="s">
        <v>26</v>
      </c>
    </row>
    <row r="2046" ht="15.75" customHeight="1">
      <c r="A2046" s="1" t="s">
        <v>2083</v>
      </c>
      <c r="B2046" s="1" t="s">
        <v>32</v>
      </c>
      <c r="C2046" s="1">
        <v>0.0</v>
      </c>
      <c r="D2046" s="1" t="s">
        <v>26</v>
      </c>
      <c r="E2046" s="1" t="s">
        <v>26</v>
      </c>
      <c r="F2046" s="1">
        <v>7.0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1">
        <v>19.5</v>
      </c>
      <c r="T2046" s="1">
        <v>128.6</v>
      </c>
      <c r="U2046" s="1">
        <v>0.0</v>
      </c>
      <c r="V2046" s="1">
        <v>0.0</v>
      </c>
      <c r="W2046" s="1" t="s">
        <v>26</v>
      </c>
    </row>
    <row r="2047" ht="15.75" customHeight="1">
      <c r="A2047" s="1" t="s">
        <v>2084</v>
      </c>
      <c r="B2047" s="1" t="s">
        <v>24</v>
      </c>
      <c r="C2047" s="1">
        <v>0.0</v>
      </c>
      <c r="D2047" s="1" t="s">
        <v>26</v>
      </c>
      <c r="E2047" s="1" t="s">
        <v>26</v>
      </c>
      <c r="F2047" s="1">
        <v>69.0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1">
        <v>110.5</v>
      </c>
      <c r="T2047" s="1">
        <v>7455.45</v>
      </c>
      <c r="U2047" s="1">
        <v>0.0</v>
      </c>
      <c r="V2047" s="1">
        <v>4.0</v>
      </c>
      <c r="W2047" s="1" t="s">
        <v>26</v>
      </c>
    </row>
    <row r="2048" ht="15.75" customHeight="1">
      <c r="A2048" s="1" t="s">
        <v>2085</v>
      </c>
      <c r="B2048" s="1" t="s">
        <v>24</v>
      </c>
      <c r="C2048" s="1">
        <v>0.0</v>
      </c>
      <c r="D2048" s="1" t="s">
        <v>26</v>
      </c>
      <c r="E2048" s="1" t="s">
        <v>25</v>
      </c>
      <c r="F2048" s="1">
        <v>1.0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1">
        <v>24.7</v>
      </c>
      <c r="T2048" s="1">
        <v>24.7</v>
      </c>
      <c r="U2048" s="1">
        <v>0.0</v>
      </c>
      <c r="V2048" s="1">
        <v>0.0</v>
      </c>
      <c r="W2048" s="1" t="s">
        <v>26</v>
      </c>
    </row>
    <row r="2049" ht="15.75" customHeight="1">
      <c r="A2049" s="1" t="s">
        <v>2086</v>
      </c>
      <c r="B2049" s="1" t="s">
        <v>32</v>
      </c>
      <c r="C2049" s="1">
        <v>0.0</v>
      </c>
      <c r="D2049" s="1" t="s">
        <v>26</v>
      </c>
      <c r="E2049" s="1" t="s">
        <v>26</v>
      </c>
      <c r="F2049" s="1">
        <v>3.0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1">
        <v>77.4</v>
      </c>
      <c r="T2049" s="1">
        <v>206.15</v>
      </c>
      <c r="U2049" s="1">
        <v>0.0</v>
      </c>
      <c r="V2049" s="1">
        <v>0.0</v>
      </c>
      <c r="W2049" s="1" t="s">
        <v>26</v>
      </c>
    </row>
    <row r="2050" ht="15.75" customHeight="1">
      <c r="A2050" s="1" t="s">
        <v>2087</v>
      </c>
      <c r="B2050" s="1" t="s">
        <v>32</v>
      </c>
      <c r="C2050" s="1">
        <v>1.0</v>
      </c>
      <c r="D2050" s="1" t="s">
        <v>26</v>
      </c>
      <c r="E2050" s="1" t="s">
        <v>26</v>
      </c>
      <c r="F2050" s="1">
        <v>21.0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1">
        <v>96.8</v>
      </c>
      <c r="T2050" s="1">
        <v>2030.3</v>
      </c>
      <c r="U2050" s="1">
        <v>0.0</v>
      </c>
      <c r="V2050" s="1">
        <v>2.0</v>
      </c>
      <c r="W2050" s="1" t="s">
        <v>25</v>
      </c>
    </row>
    <row r="2051" ht="15.75" customHeight="1">
      <c r="A2051" s="1" t="s">
        <v>2088</v>
      </c>
      <c r="B2051" s="1" t="s">
        <v>24</v>
      </c>
      <c r="C2051" s="1">
        <v>0.0</v>
      </c>
      <c r="D2051" s="1" t="s">
        <v>25</v>
      </c>
      <c r="E2051" s="1" t="s">
        <v>26</v>
      </c>
      <c r="F2051" s="1">
        <v>69.0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1">
        <v>85.4</v>
      </c>
      <c r="T2051" s="1">
        <v>5869.4</v>
      </c>
      <c r="U2051" s="1">
        <v>0.0</v>
      </c>
      <c r="V2051" s="1">
        <v>0.0</v>
      </c>
      <c r="W2051" s="1" t="s">
        <v>26</v>
      </c>
    </row>
    <row r="2052" ht="15.75" customHeight="1">
      <c r="A2052" s="1" t="s">
        <v>2089</v>
      </c>
      <c r="B2052" s="1" t="s">
        <v>24</v>
      </c>
      <c r="C2052" s="1">
        <v>0.0</v>
      </c>
      <c r="D2052" s="1" t="s">
        <v>25</v>
      </c>
      <c r="E2052" s="1" t="s">
        <v>26</v>
      </c>
      <c r="F2052" s="1">
        <v>71.0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1">
        <v>47.6</v>
      </c>
      <c r="T2052" s="1">
        <v>3377.8</v>
      </c>
      <c r="U2052" s="1">
        <v>2.0</v>
      </c>
      <c r="V2052" s="1">
        <v>0.0</v>
      </c>
      <c r="W2052" s="1" t="s">
        <v>26</v>
      </c>
    </row>
    <row r="2053" ht="15.75" customHeight="1">
      <c r="A2053" s="1" t="s">
        <v>2090</v>
      </c>
      <c r="B2053" s="1" t="s">
        <v>24</v>
      </c>
      <c r="C2053" s="1">
        <v>0.0</v>
      </c>
      <c r="D2053" s="1" t="s">
        <v>25</v>
      </c>
      <c r="E2053" s="1" t="s">
        <v>25</v>
      </c>
      <c r="F2053" s="1">
        <v>69.0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1">
        <v>19.4</v>
      </c>
      <c r="T2053" s="1">
        <v>1346.2</v>
      </c>
      <c r="U2053" s="1">
        <v>0.0</v>
      </c>
      <c r="V2053" s="1">
        <v>0.0</v>
      </c>
      <c r="W2053" s="1" t="s">
        <v>26</v>
      </c>
    </row>
    <row r="2054" ht="15.75" customHeight="1">
      <c r="A2054" s="1" t="s">
        <v>2091</v>
      </c>
      <c r="B2054" s="1" t="s">
        <v>24</v>
      </c>
      <c r="C2054" s="1">
        <v>0.0</v>
      </c>
      <c r="D2054" s="1" t="s">
        <v>26</v>
      </c>
      <c r="E2054" s="1" t="s">
        <v>26</v>
      </c>
      <c r="F2054" s="1">
        <v>48.0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1">
        <v>103.85</v>
      </c>
      <c r="T2054" s="1">
        <v>4946.05</v>
      </c>
      <c r="U2054" s="1">
        <v>0.0</v>
      </c>
      <c r="V2054" s="1">
        <v>4.0</v>
      </c>
      <c r="W2054" s="1" t="s">
        <v>26</v>
      </c>
    </row>
    <row r="2055" ht="15.75" customHeight="1">
      <c r="A2055" s="1" t="s">
        <v>2092</v>
      </c>
      <c r="B2055" s="1" t="s">
        <v>32</v>
      </c>
      <c r="C2055" s="1">
        <v>0.0</v>
      </c>
      <c r="D2055" s="1" t="s">
        <v>25</v>
      </c>
      <c r="E2055" s="1" t="s">
        <v>26</v>
      </c>
      <c r="F2055" s="1">
        <v>47.0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1">
        <v>83.35</v>
      </c>
      <c r="T2055" s="1">
        <v>4065.0</v>
      </c>
      <c r="U2055" s="1">
        <v>0.0</v>
      </c>
      <c r="V2055" s="1">
        <v>4.0</v>
      </c>
      <c r="W2055" s="1" t="s">
        <v>25</v>
      </c>
    </row>
    <row r="2056" ht="15.75" customHeight="1">
      <c r="A2056" s="1" t="s">
        <v>2093</v>
      </c>
      <c r="B2056" s="1" t="s">
        <v>24</v>
      </c>
      <c r="C2056" s="1">
        <v>0.0</v>
      </c>
      <c r="D2056" s="1" t="s">
        <v>26</v>
      </c>
      <c r="E2056" s="1" t="s">
        <v>26</v>
      </c>
      <c r="F2056" s="1">
        <v>2.0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1">
        <v>49.4</v>
      </c>
      <c r="T2056" s="1">
        <v>106.55</v>
      </c>
      <c r="U2056" s="1">
        <v>0.0</v>
      </c>
      <c r="V2056" s="1">
        <v>0.0</v>
      </c>
      <c r="W2056" s="1" t="s">
        <v>25</v>
      </c>
    </row>
    <row r="2057" ht="15.75" customHeight="1">
      <c r="A2057" s="1" t="s">
        <v>2094</v>
      </c>
      <c r="B2057" s="1" t="s">
        <v>32</v>
      </c>
      <c r="C2057" s="1">
        <v>0.0</v>
      </c>
      <c r="D2057" s="1" t="s">
        <v>26</v>
      </c>
      <c r="E2057" s="1" t="s">
        <v>26</v>
      </c>
      <c r="F2057" s="1">
        <v>45.0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1">
        <v>108.45</v>
      </c>
      <c r="T2057" s="1">
        <v>4964.7</v>
      </c>
      <c r="U2057" s="1">
        <v>0.0</v>
      </c>
      <c r="V2057" s="1">
        <v>0.0</v>
      </c>
      <c r="W2057" s="1" t="s">
        <v>26</v>
      </c>
    </row>
    <row r="2058" ht="15.75" customHeight="1">
      <c r="A2058" s="1" t="s">
        <v>2095</v>
      </c>
      <c r="B2058" s="1" t="s">
        <v>32</v>
      </c>
      <c r="C2058" s="1">
        <v>0.0</v>
      </c>
      <c r="D2058" s="1" t="s">
        <v>26</v>
      </c>
      <c r="E2058" s="1" t="s">
        <v>26</v>
      </c>
      <c r="F2058" s="1">
        <v>51.0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1">
        <v>81.0</v>
      </c>
      <c r="T2058" s="1">
        <v>4085.75</v>
      </c>
      <c r="U2058" s="1">
        <v>0.0</v>
      </c>
      <c r="V2058" s="1">
        <v>0.0</v>
      </c>
      <c r="W2058" s="1" t="s">
        <v>26</v>
      </c>
    </row>
    <row r="2059" ht="15.75" customHeight="1">
      <c r="A2059" s="1" t="s">
        <v>2096</v>
      </c>
      <c r="B2059" s="1" t="s">
        <v>24</v>
      </c>
      <c r="C2059" s="1">
        <v>0.0</v>
      </c>
      <c r="D2059" s="1" t="s">
        <v>25</v>
      </c>
      <c r="E2059" s="1" t="s">
        <v>26</v>
      </c>
      <c r="F2059" s="1">
        <v>22.0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1">
        <v>79.2</v>
      </c>
      <c r="T2059" s="1">
        <v>1742.75</v>
      </c>
      <c r="U2059" s="1">
        <v>1.0</v>
      </c>
      <c r="V2059" s="1">
        <v>3.0</v>
      </c>
      <c r="W2059" s="1" t="s">
        <v>25</v>
      </c>
    </row>
    <row r="2060" ht="15.75" customHeight="1">
      <c r="A2060" s="1" t="s">
        <v>2097</v>
      </c>
      <c r="B2060" s="1" t="s">
        <v>32</v>
      </c>
      <c r="C2060" s="1">
        <v>0.0</v>
      </c>
      <c r="D2060" s="1" t="s">
        <v>26</v>
      </c>
      <c r="E2060" s="1" t="s">
        <v>26</v>
      </c>
      <c r="F2060" s="1">
        <v>72.0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1">
        <v>86.65</v>
      </c>
      <c r="T2060" s="1">
        <v>6224.8</v>
      </c>
      <c r="U2060" s="1">
        <v>0.0</v>
      </c>
      <c r="V2060" s="1">
        <v>0.0</v>
      </c>
      <c r="W2060" s="1" t="s">
        <v>26</v>
      </c>
    </row>
    <row r="2061" ht="15.75" customHeight="1">
      <c r="A2061" s="1" t="s">
        <v>2098</v>
      </c>
      <c r="B2061" s="1" t="s">
        <v>32</v>
      </c>
      <c r="C2061" s="1">
        <v>0.0</v>
      </c>
      <c r="D2061" s="1" t="s">
        <v>25</v>
      </c>
      <c r="E2061" s="1" t="s">
        <v>25</v>
      </c>
      <c r="F2061" s="1">
        <v>37.0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1">
        <v>92.95</v>
      </c>
      <c r="T2061" s="1">
        <v>3415.25</v>
      </c>
      <c r="U2061" s="1">
        <v>0.0</v>
      </c>
      <c r="V2061" s="1">
        <v>2.0</v>
      </c>
      <c r="W2061" s="1" t="s">
        <v>26</v>
      </c>
    </row>
    <row r="2062" ht="15.75" customHeight="1">
      <c r="A2062" s="1" t="s">
        <v>2099</v>
      </c>
      <c r="B2062" s="1" t="s">
        <v>32</v>
      </c>
      <c r="C2062" s="1">
        <v>0.0</v>
      </c>
      <c r="D2062" s="1" t="s">
        <v>25</v>
      </c>
      <c r="E2062" s="1" t="s">
        <v>25</v>
      </c>
      <c r="F2062" s="1">
        <v>71.0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1">
        <v>90.35</v>
      </c>
      <c r="T2062" s="1">
        <v>6325.25</v>
      </c>
      <c r="U2062" s="1">
        <v>0.0</v>
      </c>
      <c r="V2062" s="1">
        <v>0.0</v>
      </c>
      <c r="W2062" s="1" t="s">
        <v>26</v>
      </c>
    </row>
    <row r="2063" ht="15.75" customHeight="1">
      <c r="A2063" s="1" t="s">
        <v>2100</v>
      </c>
      <c r="B2063" s="1" t="s">
        <v>32</v>
      </c>
      <c r="C2063" s="1">
        <v>0.0</v>
      </c>
      <c r="D2063" s="1" t="s">
        <v>25</v>
      </c>
      <c r="E2063" s="1" t="s">
        <v>25</v>
      </c>
      <c r="F2063" s="1">
        <v>7.0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1">
        <v>48.7</v>
      </c>
      <c r="T2063" s="1">
        <v>340.25</v>
      </c>
      <c r="U2063" s="1">
        <v>0.0</v>
      </c>
      <c r="V2063" s="1">
        <v>0.0</v>
      </c>
      <c r="W2063" s="1" t="s">
        <v>25</v>
      </c>
    </row>
    <row r="2064" ht="15.75" customHeight="1">
      <c r="A2064" s="1" t="s">
        <v>2101</v>
      </c>
      <c r="B2064" s="1" t="s">
        <v>24</v>
      </c>
      <c r="C2064" s="1">
        <v>0.0</v>
      </c>
      <c r="D2064" s="1" t="s">
        <v>26</v>
      </c>
      <c r="E2064" s="1" t="s">
        <v>26</v>
      </c>
      <c r="F2064" s="1">
        <v>66.0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1">
        <v>25.15</v>
      </c>
      <c r="T2064" s="1">
        <v>1683.6</v>
      </c>
      <c r="U2064" s="1">
        <v>0.0</v>
      </c>
      <c r="V2064" s="1">
        <v>0.0</v>
      </c>
      <c r="W2064" s="1" t="s">
        <v>26</v>
      </c>
    </row>
    <row r="2065" ht="15.75" customHeight="1">
      <c r="A2065" s="1" t="s">
        <v>2102</v>
      </c>
      <c r="B2065" s="1" t="s">
        <v>32</v>
      </c>
      <c r="C2065" s="1">
        <v>0.0</v>
      </c>
      <c r="D2065" s="1" t="s">
        <v>25</v>
      </c>
      <c r="E2065" s="1" t="s">
        <v>25</v>
      </c>
      <c r="F2065" s="1">
        <v>51.0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1">
        <v>76.4</v>
      </c>
      <c r="T2065" s="1">
        <v>3966.3</v>
      </c>
      <c r="U2065" s="1">
        <v>0.0</v>
      </c>
      <c r="V2065" s="1">
        <v>0.0</v>
      </c>
      <c r="W2065" s="1" t="s">
        <v>26</v>
      </c>
    </row>
    <row r="2066" ht="15.75" customHeight="1">
      <c r="A2066" s="1" t="s">
        <v>2103</v>
      </c>
      <c r="B2066" s="1" t="s">
        <v>24</v>
      </c>
      <c r="C2066" s="1">
        <v>0.0</v>
      </c>
      <c r="D2066" s="1" t="s">
        <v>25</v>
      </c>
      <c r="E2066" s="1" t="s">
        <v>25</v>
      </c>
      <c r="F2066" s="1">
        <v>30.0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1">
        <v>19.55</v>
      </c>
      <c r="T2066" s="1">
        <v>608.5</v>
      </c>
      <c r="U2066" s="1">
        <v>0.0</v>
      </c>
      <c r="V2066" s="1">
        <v>0.0</v>
      </c>
      <c r="W2066" s="1" t="s">
        <v>26</v>
      </c>
    </row>
    <row r="2067" ht="15.75" customHeight="1">
      <c r="A2067" s="1" t="s">
        <v>2104</v>
      </c>
      <c r="B2067" s="1" t="s">
        <v>24</v>
      </c>
      <c r="C2067" s="1">
        <v>0.0</v>
      </c>
      <c r="D2067" s="1" t="s">
        <v>26</v>
      </c>
      <c r="E2067" s="1" t="s">
        <v>26</v>
      </c>
      <c r="F2067" s="1">
        <v>34.0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1">
        <v>85.35</v>
      </c>
      <c r="T2067" s="1">
        <v>2896.6</v>
      </c>
      <c r="U2067" s="1">
        <v>0.0</v>
      </c>
      <c r="V2067" s="1">
        <v>0.0</v>
      </c>
      <c r="W2067" s="1" t="s">
        <v>26</v>
      </c>
    </row>
    <row r="2068" ht="15.75" customHeight="1">
      <c r="A2068" s="1" t="s">
        <v>2105</v>
      </c>
      <c r="B2068" s="1" t="s">
        <v>32</v>
      </c>
      <c r="C2068" s="1">
        <v>0.0</v>
      </c>
      <c r="D2068" s="1" t="s">
        <v>25</v>
      </c>
      <c r="E2068" s="1" t="s">
        <v>25</v>
      </c>
      <c r="F2068" s="1">
        <v>64.0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1">
        <v>24.8</v>
      </c>
      <c r="T2068" s="1">
        <v>1514.85</v>
      </c>
      <c r="U2068" s="1">
        <v>0.0</v>
      </c>
      <c r="V2068" s="1">
        <v>0.0</v>
      </c>
      <c r="W2068" s="1" t="s">
        <v>26</v>
      </c>
    </row>
    <row r="2069" ht="15.75" customHeight="1">
      <c r="A2069" s="1" t="s">
        <v>2106</v>
      </c>
      <c r="B2069" s="1" t="s">
        <v>32</v>
      </c>
      <c r="C2069" s="1">
        <v>1.0</v>
      </c>
      <c r="D2069" s="1" t="s">
        <v>25</v>
      </c>
      <c r="E2069" s="1" t="s">
        <v>26</v>
      </c>
      <c r="F2069" s="1">
        <v>65.0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1">
        <v>103.15</v>
      </c>
      <c r="T2069" s="1">
        <v>6792.45</v>
      </c>
      <c r="U2069" s="1">
        <v>2.0</v>
      </c>
      <c r="V2069" s="1">
        <v>0.0</v>
      </c>
      <c r="W2069" s="1" t="s">
        <v>26</v>
      </c>
    </row>
    <row r="2070" ht="15.75" customHeight="1">
      <c r="A2070" s="1" t="s">
        <v>2107</v>
      </c>
      <c r="B2070" s="1" t="s">
        <v>32</v>
      </c>
      <c r="C2070" s="1">
        <v>0.0</v>
      </c>
      <c r="D2070" s="1" t="s">
        <v>26</v>
      </c>
      <c r="E2070" s="1" t="s">
        <v>26</v>
      </c>
      <c r="F2070" s="1">
        <v>47.0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1">
        <v>100.75</v>
      </c>
      <c r="T2070" s="1">
        <v>4669.2</v>
      </c>
      <c r="U2070" s="1">
        <v>0.0</v>
      </c>
      <c r="V2070" s="1">
        <v>0.0</v>
      </c>
      <c r="W2070" s="1" t="s">
        <v>26</v>
      </c>
    </row>
    <row r="2071" ht="15.75" customHeight="1">
      <c r="A2071" s="1" t="s">
        <v>2108</v>
      </c>
      <c r="B2071" s="1" t="s">
        <v>24</v>
      </c>
      <c r="C2071" s="1">
        <v>0.0</v>
      </c>
      <c r="D2071" s="1" t="s">
        <v>26</v>
      </c>
      <c r="E2071" s="1" t="s">
        <v>26</v>
      </c>
      <c r="F2071" s="1">
        <v>1.0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1">
        <v>95.6</v>
      </c>
      <c r="T2071" s="1">
        <v>95.6</v>
      </c>
      <c r="U2071" s="1">
        <v>4.0</v>
      </c>
      <c r="V2071" s="1">
        <v>0.0</v>
      </c>
      <c r="W2071" s="1" t="s">
        <v>25</v>
      </c>
    </row>
    <row r="2072" ht="15.75" customHeight="1">
      <c r="A2072" s="1" t="s">
        <v>2109</v>
      </c>
      <c r="B2072" s="1" t="s">
        <v>24</v>
      </c>
      <c r="C2072" s="1">
        <v>0.0</v>
      </c>
      <c r="D2072" s="1" t="s">
        <v>26</v>
      </c>
      <c r="E2072" s="1" t="s">
        <v>26</v>
      </c>
      <c r="F2072" s="1">
        <v>49.0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1">
        <v>59.75</v>
      </c>
      <c r="T2072" s="1">
        <v>2934.3</v>
      </c>
      <c r="U2072" s="1">
        <v>0.0</v>
      </c>
      <c r="V2072" s="1">
        <v>5.0</v>
      </c>
      <c r="W2072" s="1" t="s">
        <v>25</v>
      </c>
    </row>
    <row r="2073" ht="15.75" customHeight="1">
      <c r="A2073" s="1" t="s">
        <v>2110</v>
      </c>
      <c r="B2073" s="1" t="s">
        <v>24</v>
      </c>
      <c r="C2073" s="1">
        <v>0.0</v>
      </c>
      <c r="D2073" s="1" t="s">
        <v>25</v>
      </c>
      <c r="E2073" s="1" t="s">
        <v>25</v>
      </c>
      <c r="F2073" s="1">
        <v>67.0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1">
        <v>94.1</v>
      </c>
      <c r="T2073" s="1">
        <v>6302.8</v>
      </c>
      <c r="U2073" s="1">
        <v>0.0</v>
      </c>
      <c r="V2073" s="1">
        <v>0.0</v>
      </c>
      <c r="W2073" s="1" t="s">
        <v>26</v>
      </c>
    </row>
    <row r="2074" ht="15.75" customHeight="1">
      <c r="A2074" s="1" t="s">
        <v>2111</v>
      </c>
      <c r="B2074" s="1" t="s">
        <v>32</v>
      </c>
      <c r="C2074" s="1">
        <v>0.0</v>
      </c>
      <c r="D2074" s="1" t="s">
        <v>26</v>
      </c>
      <c r="E2074" s="1" t="s">
        <v>25</v>
      </c>
      <c r="F2074" s="1">
        <v>39.0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1">
        <v>19.35</v>
      </c>
      <c r="T2074" s="1">
        <v>779.2</v>
      </c>
      <c r="U2074" s="1">
        <v>0.0</v>
      </c>
      <c r="V2074" s="1">
        <v>0.0</v>
      </c>
      <c r="W2074" s="1" t="s">
        <v>26</v>
      </c>
    </row>
    <row r="2075" ht="15.75" customHeight="1">
      <c r="A2075" s="1" t="s">
        <v>2112</v>
      </c>
      <c r="B2075" s="1" t="s">
        <v>32</v>
      </c>
      <c r="C2075" s="1">
        <v>0.0</v>
      </c>
      <c r="D2075" s="1" t="s">
        <v>26</v>
      </c>
      <c r="E2075" s="1" t="s">
        <v>26</v>
      </c>
      <c r="F2075" s="1">
        <v>14.0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1">
        <v>19.9</v>
      </c>
      <c r="T2075" s="1">
        <v>283.75</v>
      </c>
      <c r="U2075" s="1">
        <v>0.0</v>
      </c>
      <c r="V2075" s="1">
        <v>0.0</v>
      </c>
      <c r="W2075" s="1" t="s">
        <v>26</v>
      </c>
    </row>
    <row r="2076" ht="15.75" customHeight="1">
      <c r="A2076" s="1" t="s">
        <v>2113</v>
      </c>
      <c r="B2076" s="1" t="s">
        <v>24</v>
      </c>
      <c r="C2076" s="1">
        <v>1.0</v>
      </c>
      <c r="D2076" s="1" t="s">
        <v>26</v>
      </c>
      <c r="E2076" s="1" t="s">
        <v>26</v>
      </c>
      <c r="F2076" s="1">
        <v>43.0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1">
        <v>108.15</v>
      </c>
      <c r="T2076" s="1">
        <v>4600.7</v>
      </c>
      <c r="U2076" s="1">
        <v>0.0</v>
      </c>
      <c r="V2076" s="1">
        <v>4.0</v>
      </c>
      <c r="W2076" s="1" t="s">
        <v>25</v>
      </c>
    </row>
    <row r="2077" ht="15.75" customHeight="1">
      <c r="A2077" s="1" t="s">
        <v>2114</v>
      </c>
      <c r="B2077" s="1" t="s">
        <v>32</v>
      </c>
      <c r="C2077" s="1">
        <v>1.0</v>
      </c>
      <c r="D2077" s="1" t="s">
        <v>26</v>
      </c>
      <c r="E2077" s="1" t="s">
        <v>26</v>
      </c>
      <c r="F2077" s="1">
        <v>56.0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1">
        <v>101.05</v>
      </c>
      <c r="T2077" s="1">
        <v>5594.0</v>
      </c>
      <c r="U2077" s="1">
        <v>0.0</v>
      </c>
      <c r="V2077" s="1">
        <v>0.0</v>
      </c>
      <c r="W2077" s="1" t="s">
        <v>26</v>
      </c>
    </row>
    <row r="2078" ht="15.75" customHeight="1">
      <c r="A2078" s="1" t="s">
        <v>2115</v>
      </c>
      <c r="B2078" s="1" t="s">
        <v>24</v>
      </c>
      <c r="C2078" s="1">
        <v>0.0</v>
      </c>
      <c r="D2078" s="1" t="s">
        <v>26</v>
      </c>
      <c r="E2078" s="1" t="s">
        <v>26</v>
      </c>
      <c r="F2078" s="1">
        <v>14.0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1">
        <v>59.1</v>
      </c>
      <c r="T2078" s="1">
        <v>772.85</v>
      </c>
      <c r="U2078" s="1">
        <v>0.0</v>
      </c>
      <c r="V2078" s="1">
        <v>0.0</v>
      </c>
      <c r="W2078" s="1" t="s">
        <v>26</v>
      </c>
    </row>
    <row r="2079" ht="15.75" customHeight="1">
      <c r="A2079" s="1" t="s">
        <v>2116</v>
      </c>
      <c r="B2079" s="1" t="s">
        <v>24</v>
      </c>
      <c r="C2079" s="1">
        <v>0.0</v>
      </c>
      <c r="D2079" s="1" t="s">
        <v>26</v>
      </c>
      <c r="E2079" s="1" t="s">
        <v>26</v>
      </c>
      <c r="F2079" s="1">
        <v>1.0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1">
        <v>71.35</v>
      </c>
      <c r="T2079" s="1">
        <v>71.35</v>
      </c>
      <c r="U2079" s="1">
        <v>1.0</v>
      </c>
      <c r="V2079" s="1">
        <v>0.0</v>
      </c>
      <c r="W2079" s="1" t="s">
        <v>25</v>
      </c>
    </row>
    <row r="2080" ht="15.75" customHeight="1">
      <c r="A2080" s="1" t="s">
        <v>2117</v>
      </c>
      <c r="B2080" s="1" t="s">
        <v>32</v>
      </c>
      <c r="C2080" s="1">
        <v>0.0</v>
      </c>
      <c r="D2080" s="1" t="s">
        <v>25</v>
      </c>
      <c r="E2080" s="1" t="s">
        <v>25</v>
      </c>
      <c r="F2080" s="1">
        <v>16.0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1">
        <v>55.85</v>
      </c>
      <c r="T2080" s="1">
        <v>857.8</v>
      </c>
      <c r="U2080" s="1">
        <v>0.0</v>
      </c>
      <c r="V2080" s="1">
        <v>0.0</v>
      </c>
      <c r="W2080" s="1" t="s">
        <v>26</v>
      </c>
    </row>
    <row r="2081" ht="15.75" customHeight="1">
      <c r="A2081" s="1" t="s">
        <v>2118</v>
      </c>
      <c r="B2081" s="1" t="s">
        <v>32</v>
      </c>
      <c r="C2081" s="1">
        <v>0.0</v>
      </c>
      <c r="D2081" s="1" t="s">
        <v>25</v>
      </c>
      <c r="E2081" s="1" t="s">
        <v>25</v>
      </c>
      <c r="F2081" s="1">
        <v>70.0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1">
        <v>106.05</v>
      </c>
      <c r="T2081" s="1">
        <v>7554.05</v>
      </c>
      <c r="U2081" s="1">
        <v>4.0</v>
      </c>
      <c r="V2081" s="1">
        <v>0.0</v>
      </c>
      <c r="W2081" s="1" t="s">
        <v>26</v>
      </c>
    </row>
    <row r="2082" ht="15.75" customHeight="1">
      <c r="A2082" s="1" t="s">
        <v>2119</v>
      </c>
      <c r="B2082" s="1" t="s">
        <v>32</v>
      </c>
      <c r="C2082" s="1">
        <v>1.0</v>
      </c>
      <c r="D2082" s="1" t="s">
        <v>25</v>
      </c>
      <c r="E2082" s="1" t="s">
        <v>26</v>
      </c>
      <c r="F2082" s="1">
        <v>72.0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1">
        <v>84.1</v>
      </c>
      <c r="T2082" s="1">
        <v>5981.65</v>
      </c>
      <c r="U2082" s="1">
        <v>4.0</v>
      </c>
      <c r="V2082" s="1">
        <v>0.0</v>
      </c>
      <c r="W2082" s="1" t="s">
        <v>26</v>
      </c>
    </row>
    <row r="2083" ht="15.75" customHeight="1">
      <c r="A2083" s="1" t="s">
        <v>2120</v>
      </c>
      <c r="B2083" s="1" t="s">
        <v>24</v>
      </c>
      <c r="C2083" s="1">
        <v>0.0</v>
      </c>
      <c r="D2083" s="1" t="s">
        <v>25</v>
      </c>
      <c r="E2083" s="1" t="s">
        <v>25</v>
      </c>
      <c r="F2083" s="1">
        <v>23.0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1">
        <v>75.3</v>
      </c>
      <c r="T2083" s="1">
        <v>1702.9</v>
      </c>
      <c r="U2083" s="1">
        <v>1.0</v>
      </c>
      <c r="V2083" s="1">
        <v>0.0</v>
      </c>
      <c r="W2083" s="1" t="s">
        <v>26</v>
      </c>
    </row>
    <row r="2084" ht="15.75" customHeight="1">
      <c r="A2084" s="1" t="s">
        <v>2121</v>
      </c>
      <c r="B2084" s="1" t="s">
        <v>32</v>
      </c>
      <c r="C2084" s="1">
        <v>0.0</v>
      </c>
      <c r="D2084" s="1" t="s">
        <v>26</v>
      </c>
      <c r="E2084" s="1" t="s">
        <v>25</v>
      </c>
      <c r="F2084" s="1">
        <v>21.0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1">
        <v>24.7</v>
      </c>
      <c r="T2084" s="1">
        <v>467.15</v>
      </c>
      <c r="U2084" s="1">
        <v>0.0</v>
      </c>
      <c r="V2084" s="1">
        <v>0.0</v>
      </c>
      <c r="W2084" s="1" t="s">
        <v>26</v>
      </c>
    </row>
    <row r="2085" ht="15.75" customHeight="1">
      <c r="A2085" s="1" t="s">
        <v>2122</v>
      </c>
      <c r="B2085" s="1" t="s">
        <v>24</v>
      </c>
      <c r="C2085" s="1">
        <v>0.0</v>
      </c>
      <c r="D2085" s="1" t="s">
        <v>26</v>
      </c>
      <c r="E2085" s="1" t="s">
        <v>26</v>
      </c>
      <c r="F2085" s="1">
        <v>1.0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1">
        <v>20.15</v>
      </c>
      <c r="T2085" s="1">
        <v>20.15</v>
      </c>
      <c r="U2085" s="1">
        <v>0.0</v>
      </c>
      <c r="V2085" s="1">
        <v>0.0</v>
      </c>
      <c r="W2085" s="1" t="s">
        <v>25</v>
      </c>
    </row>
    <row r="2086" ht="15.75" customHeight="1">
      <c r="A2086" s="1" t="s">
        <v>2123</v>
      </c>
      <c r="B2086" s="1" t="s">
        <v>32</v>
      </c>
      <c r="C2086" s="1">
        <v>0.0</v>
      </c>
      <c r="D2086" s="1" t="s">
        <v>26</v>
      </c>
      <c r="E2086" s="1" t="s">
        <v>25</v>
      </c>
      <c r="F2086" s="1">
        <v>1.0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1">
        <v>69.75</v>
      </c>
      <c r="T2086" s="1">
        <v>69.75</v>
      </c>
      <c r="U2086" s="1">
        <v>0.0</v>
      </c>
      <c r="V2086" s="1">
        <v>0.0</v>
      </c>
      <c r="W2086" s="1" t="s">
        <v>25</v>
      </c>
    </row>
    <row r="2087" ht="15.75" customHeight="1">
      <c r="A2087" s="1" t="s">
        <v>2124</v>
      </c>
      <c r="B2087" s="1" t="s">
        <v>24</v>
      </c>
      <c r="C2087" s="1">
        <v>1.0</v>
      </c>
      <c r="D2087" s="1" t="s">
        <v>25</v>
      </c>
      <c r="E2087" s="1" t="s">
        <v>26</v>
      </c>
      <c r="F2087" s="1">
        <v>32.0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1">
        <v>93.2</v>
      </c>
      <c r="T2087" s="1">
        <v>2931.0</v>
      </c>
      <c r="U2087" s="1">
        <v>0.0</v>
      </c>
      <c r="V2087" s="1">
        <v>3.0</v>
      </c>
      <c r="W2087" s="1" t="s">
        <v>25</v>
      </c>
    </row>
    <row r="2088" ht="15.75" customHeight="1">
      <c r="A2088" s="1" t="s">
        <v>2125</v>
      </c>
      <c r="B2088" s="1" t="s">
        <v>32</v>
      </c>
      <c r="C2088" s="1">
        <v>0.0</v>
      </c>
      <c r="D2088" s="1" t="s">
        <v>25</v>
      </c>
      <c r="E2088" s="1" t="s">
        <v>25</v>
      </c>
      <c r="F2088" s="1">
        <v>17.0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1">
        <v>80.85</v>
      </c>
      <c r="T2088" s="1">
        <v>1400.85</v>
      </c>
      <c r="U2088" s="1">
        <v>0.0</v>
      </c>
      <c r="V2088" s="1">
        <v>0.0</v>
      </c>
      <c r="W2088" s="1" t="s">
        <v>25</v>
      </c>
    </row>
    <row r="2089" ht="15.75" customHeight="1">
      <c r="A2089" s="1" t="s">
        <v>2126</v>
      </c>
      <c r="B2089" s="1" t="s">
        <v>24</v>
      </c>
      <c r="C2089" s="1">
        <v>0.0</v>
      </c>
      <c r="D2089" s="1" t="s">
        <v>26</v>
      </c>
      <c r="E2089" s="1" t="s">
        <v>26</v>
      </c>
      <c r="F2089" s="1">
        <v>4.0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1">
        <v>33.65</v>
      </c>
      <c r="T2089" s="1">
        <v>137.85</v>
      </c>
      <c r="U2089" s="1">
        <v>0.0</v>
      </c>
      <c r="V2089" s="1">
        <v>1.0</v>
      </c>
      <c r="W2089" s="1" t="s">
        <v>25</v>
      </c>
    </row>
    <row r="2090" ht="15.75" customHeight="1">
      <c r="A2090" s="1" t="s">
        <v>2127</v>
      </c>
      <c r="B2090" s="1" t="s">
        <v>24</v>
      </c>
      <c r="C2090" s="1">
        <v>0.0</v>
      </c>
      <c r="D2090" s="1" t="s">
        <v>26</v>
      </c>
      <c r="E2090" s="1" t="s">
        <v>26</v>
      </c>
      <c r="F2090" s="1">
        <v>36.0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1">
        <v>55.8</v>
      </c>
      <c r="T2090" s="1">
        <v>1941.5</v>
      </c>
      <c r="U2090" s="1">
        <v>3.0</v>
      </c>
      <c r="V2090" s="1">
        <v>0.0</v>
      </c>
      <c r="W2090" s="1" t="s">
        <v>26</v>
      </c>
    </row>
    <row r="2091" ht="15.75" customHeight="1">
      <c r="A2091" s="1" t="s">
        <v>2128</v>
      </c>
      <c r="B2091" s="1" t="s">
        <v>24</v>
      </c>
      <c r="C2091" s="1">
        <v>0.0</v>
      </c>
      <c r="D2091" s="1" t="s">
        <v>26</v>
      </c>
      <c r="E2091" s="1" t="s">
        <v>26</v>
      </c>
      <c r="F2091" s="1">
        <v>50.0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1">
        <v>39.7</v>
      </c>
      <c r="T2091" s="1">
        <v>1932.75</v>
      </c>
      <c r="U2091" s="1">
        <v>0.0</v>
      </c>
      <c r="V2091" s="1">
        <v>0.0</v>
      </c>
      <c r="W2091" s="1" t="s">
        <v>26</v>
      </c>
    </row>
    <row r="2092" ht="15.75" customHeight="1">
      <c r="A2092" s="1" t="s">
        <v>2129</v>
      </c>
      <c r="B2092" s="1" t="s">
        <v>24</v>
      </c>
      <c r="C2092" s="1">
        <v>0.0</v>
      </c>
      <c r="D2092" s="1" t="s">
        <v>25</v>
      </c>
      <c r="E2092" s="1" t="s">
        <v>25</v>
      </c>
      <c r="F2092" s="1">
        <v>48.0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1">
        <v>29.5</v>
      </c>
      <c r="T2092" s="1">
        <v>1423.05</v>
      </c>
      <c r="U2092" s="1">
        <v>0.0</v>
      </c>
      <c r="V2092" s="1">
        <v>0.0</v>
      </c>
      <c r="W2092" s="1" t="s">
        <v>26</v>
      </c>
    </row>
    <row r="2093" ht="15.75" customHeight="1">
      <c r="A2093" s="1" t="s">
        <v>2130</v>
      </c>
      <c r="B2093" s="1" t="s">
        <v>24</v>
      </c>
      <c r="C2093" s="1">
        <v>0.0</v>
      </c>
      <c r="D2093" s="1" t="s">
        <v>26</v>
      </c>
      <c r="E2093" s="1" t="s">
        <v>25</v>
      </c>
      <c r="F2093" s="1">
        <v>50.0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1">
        <v>20.15</v>
      </c>
      <c r="T2093" s="1">
        <v>970.85</v>
      </c>
      <c r="U2093" s="1">
        <v>0.0</v>
      </c>
      <c r="V2093" s="1">
        <v>3.0</v>
      </c>
      <c r="W2093" s="1" t="s">
        <v>26</v>
      </c>
    </row>
    <row r="2094" ht="15.75" customHeight="1">
      <c r="A2094" s="1" t="s">
        <v>2131</v>
      </c>
      <c r="B2094" s="1" t="s">
        <v>32</v>
      </c>
      <c r="C2094" s="1">
        <v>0.0</v>
      </c>
      <c r="D2094" s="1" t="s">
        <v>25</v>
      </c>
      <c r="E2094" s="1" t="s">
        <v>26</v>
      </c>
      <c r="F2094" s="1">
        <v>72.0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1">
        <v>79.55</v>
      </c>
      <c r="T2094" s="1">
        <v>5810.9</v>
      </c>
      <c r="U2094" s="1">
        <v>3.0</v>
      </c>
      <c r="V2094" s="1">
        <v>0.0</v>
      </c>
      <c r="W2094" s="1" t="s">
        <v>26</v>
      </c>
    </row>
    <row r="2095" ht="15.75" customHeight="1">
      <c r="A2095" s="1" t="s">
        <v>2132</v>
      </c>
      <c r="B2095" s="1" t="s">
        <v>32</v>
      </c>
      <c r="C2095" s="1">
        <v>0.0</v>
      </c>
      <c r="D2095" s="1" t="s">
        <v>26</v>
      </c>
      <c r="E2095" s="1" t="s">
        <v>25</v>
      </c>
      <c r="F2095" s="1">
        <v>10.0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1">
        <v>24.8</v>
      </c>
      <c r="T2095" s="1">
        <v>223.9</v>
      </c>
      <c r="U2095" s="1">
        <v>0.0</v>
      </c>
      <c r="V2095" s="1">
        <v>0.0</v>
      </c>
      <c r="W2095" s="1" t="s">
        <v>26</v>
      </c>
    </row>
    <row r="2096" ht="15.75" customHeight="1">
      <c r="A2096" s="1" t="s">
        <v>2133</v>
      </c>
      <c r="B2096" s="1" t="s">
        <v>24</v>
      </c>
      <c r="C2096" s="1">
        <v>0.0</v>
      </c>
      <c r="D2096" s="1" t="s">
        <v>26</v>
      </c>
      <c r="E2096" s="1" t="s">
        <v>26</v>
      </c>
      <c r="F2096" s="1">
        <v>18.0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1">
        <v>19.65</v>
      </c>
      <c r="T2096" s="1">
        <v>391.7</v>
      </c>
      <c r="U2096" s="1">
        <v>2.0</v>
      </c>
      <c r="V2096" s="1">
        <v>1.0</v>
      </c>
      <c r="W2096" s="1" t="s">
        <v>26</v>
      </c>
    </row>
    <row r="2097" ht="15.75" customHeight="1">
      <c r="A2097" s="1" t="s">
        <v>2134</v>
      </c>
      <c r="B2097" s="1" t="s">
        <v>32</v>
      </c>
      <c r="C2097" s="1">
        <v>0.0</v>
      </c>
      <c r="D2097" s="1" t="s">
        <v>26</v>
      </c>
      <c r="E2097" s="1" t="s">
        <v>26</v>
      </c>
      <c r="F2097" s="1">
        <v>1.0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1">
        <v>79.95</v>
      </c>
      <c r="T2097" s="1">
        <v>79.95</v>
      </c>
      <c r="U2097" s="1">
        <v>3.0</v>
      </c>
      <c r="V2097" s="1">
        <v>0.0</v>
      </c>
      <c r="W2097" s="1" t="s">
        <v>25</v>
      </c>
    </row>
    <row r="2098" ht="15.75" customHeight="1">
      <c r="A2098" s="1" t="s">
        <v>2135</v>
      </c>
      <c r="B2098" s="1" t="s">
        <v>24</v>
      </c>
      <c r="C2098" s="1">
        <v>0.0</v>
      </c>
      <c r="D2098" s="1" t="s">
        <v>26</v>
      </c>
      <c r="E2098" s="1" t="s">
        <v>26</v>
      </c>
      <c r="F2098" s="1">
        <v>1.0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1">
        <v>19.3</v>
      </c>
      <c r="T2098" s="1">
        <v>19.3</v>
      </c>
      <c r="U2098" s="1">
        <v>0.0</v>
      </c>
      <c r="V2098" s="1">
        <v>0.0</v>
      </c>
      <c r="W2098" s="1" t="s">
        <v>25</v>
      </c>
    </row>
    <row r="2099" ht="15.75" customHeight="1">
      <c r="A2099" s="1" t="s">
        <v>2136</v>
      </c>
      <c r="B2099" s="1" t="s">
        <v>32</v>
      </c>
      <c r="C2099" s="1">
        <v>0.0</v>
      </c>
      <c r="D2099" s="1" t="s">
        <v>26</v>
      </c>
      <c r="E2099" s="1" t="s">
        <v>26</v>
      </c>
      <c r="F2099" s="1">
        <v>9.0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1">
        <v>94.05</v>
      </c>
      <c r="T2099" s="1">
        <v>811.65</v>
      </c>
      <c r="U2099" s="1">
        <v>0.0</v>
      </c>
      <c r="V2099" s="1">
        <v>0.0</v>
      </c>
      <c r="W2099" s="1" t="s">
        <v>26</v>
      </c>
    </row>
    <row r="2100" ht="15.75" customHeight="1">
      <c r="A2100" s="1" t="s">
        <v>2137</v>
      </c>
      <c r="B2100" s="1" t="s">
        <v>32</v>
      </c>
      <c r="C2100" s="1">
        <v>0.0</v>
      </c>
      <c r="D2100" s="1" t="s">
        <v>26</v>
      </c>
      <c r="E2100" s="1" t="s">
        <v>26</v>
      </c>
      <c r="F2100" s="1">
        <v>2.0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1">
        <v>90.75</v>
      </c>
      <c r="T2100" s="1">
        <v>174.75</v>
      </c>
      <c r="U2100" s="1">
        <v>0.0</v>
      </c>
      <c r="V2100" s="1">
        <v>0.0</v>
      </c>
      <c r="W2100" s="1" t="s">
        <v>26</v>
      </c>
    </row>
    <row r="2101" ht="15.75" customHeight="1">
      <c r="A2101" s="1" t="s">
        <v>2138</v>
      </c>
      <c r="B2101" s="1" t="s">
        <v>24</v>
      </c>
      <c r="C2101" s="1">
        <v>0.0</v>
      </c>
      <c r="D2101" s="1" t="s">
        <v>25</v>
      </c>
      <c r="E2101" s="1" t="s">
        <v>26</v>
      </c>
      <c r="F2101" s="1">
        <v>40.0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1">
        <v>78.85</v>
      </c>
      <c r="T2101" s="1">
        <v>3126.85</v>
      </c>
      <c r="U2101" s="1">
        <v>0.0</v>
      </c>
      <c r="V2101" s="1">
        <v>0.0</v>
      </c>
      <c r="W2101" s="1" t="s">
        <v>26</v>
      </c>
    </row>
    <row r="2102" ht="15.75" customHeight="1">
      <c r="A2102" s="1" t="s">
        <v>2139</v>
      </c>
      <c r="B2102" s="1" t="s">
        <v>32</v>
      </c>
      <c r="C2102" s="1">
        <v>0.0</v>
      </c>
      <c r="D2102" s="1" t="s">
        <v>25</v>
      </c>
      <c r="E2102" s="1" t="s">
        <v>26</v>
      </c>
      <c r="F2102" s="1">
        <v>69.0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1">
        <v>99.5</v>
      </c>
      <c r="T2102" s="1">
        <v>6841.45</v>
      </c>
      <c r="U2102" s="1">
        <v>0.0</v>
      </c>
      <c r="V2102" s="1">
        <v>0.0</v>
      </c>
      <c r="W2102" s="1" t="s">
        <v>26</v>
      </c>
    </row>
    <row r="2103" ht="15.75" customHeight="1">
      <c r="A2103" s="1" t="s">
        <v>2140</v>
      </c>
      <c r="B2103" s="1" t="s">
        <v>24</v>
      </c>
      <c r="C2103" s="1">
        <v>0.0</v>
      </c>
      <c r="D2103" s="1" t="s">
        <v>25</v>
      </c>
      <c r="E2103" s="1" t="s">
        <v>26</v>
      </c>
      <c r="F2103" s="1">
        <v>37.0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1">
        <v>99.2</v>
      </c>
      <c r="T2103" s="1">
        <v>3754.6</v>
      </c>
      <c r="U2103" s="1">
        <v>0.0</v>
      </c>
      <c r="V2103" s="1">
        <v>4.0</v>
      </c>
      <c r="W2103" s="1" t="s">
        <v>25</v>
      </c>
    </row>
    <row r="2104" ht="15.75" customHeight="1">
      <c r="A2104" s="1" t="s">
        <v>2141</v>
      </c>
      <c r="B2104" s="1" t="s">
        <v>32</v>
      </c>
      <c r="C2104" s="1">
        <v>0.0</v>
      </c>
      <c r="D2104" s="1" t="s">
        <v>26</v>
      </c>
      <c r="E2104" s="1" t="s">
        <v>25</v>
      </c>
      <c r="F2104" s="1">
        <v>18.0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1">
        <v>80.55</v>
      </c>
      <c r="T2104" s="1">
        <v>1406.65</v>
      </c>
      <c r="U2104" s="1">
        <v>3.0</v>
      </c>
      <c r="V2104" s="1">
        <v>0.0</v>
      </c>
      <c r="W2104" s="1" t="s">
        <v>26</v>
      </c>
    </row>
    <row r="2105" ht="15.75" customHeight="1">
      <c r="A2105" s="1" t="s">
        <v>2142</v>
      </c>
      <c r="B2105" s="1" t="s">
        <v>32</v>
      </c>
      <c r="C2105" s="1">
        <v>1.0</v>
      </c>
      <c r="D2105" s="1" t="s">
        <v>25</v>
      </c>
      <c r="E2105" s="1" t="s">
        <v>26</v>
      </c>
      <c r="F2105" s="1">
        <v>11.0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1">
        <v>70.2</v>
      </c>
      <c r="T2105" s="1">
        <v>834.7</v>
      </c>
      <c r="U2105" s="1">
        <v>0.0</v>
      </c>
      <c r="V2105" s="1">
        <v>0.0</v>
      </c>
      <c r="W2105" s="1" t="s">
        <v>26</v>
      </c>
    </row>
    <row r="2106" ht="15.75" customHeight="1">
      <c r="A2106" s="1" t="s">
        <v>2143</v>
      </c>
      <c r="B2106" s="1" t="s">
        <v>24</v>
      </c>
      <c r="C2106" s="1">
        <v>0.0</v>
      </c>
      <c r="D2106" s="1" t="s">
        <v>25</v>
      </c>
      <c r="E2106" s="1" t="s">
        <v>26</v>
      </c>
      <c r="F2106" s="1">
        <v>8.0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1">
        <v>85.2</v>
      </c>
      <c r="T2106" s="1">
        <v>627.4</v>
      </c>
      <c r="U2106" s="1">
        <v>0.0</v>
      </c>
      <c r="V2106" s="1">
        <v>0.0</v>
      </c>
      <c r="W2106" s="1" t="s">
        <v>25</v>
      </c>
    </row>
    <row r="2107" ht="15.75" customHeight="1">
      <c r="A2107" s="1" t="s">
        <v>2144</v>
      </c>
      <c r="B2107" s="1" t="s">
        <v>24</v>
      </c>
      <c r="C2107" s="1">
        <v>0.0</v>
      </c>
      <c r="D2107" s="1" t="s">
        <v>26</v>
      </c>
      <c r="E2107" s="1" t="s">
        <v>26</v>
      </c>
      <c r="F2107" s="1">
        <v>3.0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1">
        <v>75.25</v>
      </c>
      <c r="T2107" s="1">
        <v>242.0</v>
      </c>
      <c r="U2107" s="1">
        <v>0.0</v>
      </c>
      <c r="V2107" s="1">
        <v>0.0</v>
      </c>
      <c r="W2107" s="1" t="s">
        <v>25</v>
      </c>
    </row>
    <row r="2108" ht="15.75" customHeight="1">
      <c r="A2108" s="1" t="s">
        <v>2145</v>
      </c>
      <c r="B2108" s="1" t="s">
        <v>32</v>
      </c>
      <c r="C2108" s="1">
        <v>0.0</v>
      </c>
      <c r="D2108" s="1" t="s">
        <v>25</v>
      </c>
      <c r="E2108" s="1" t="s">
        <v>25</v>
      </c>
      <c r="F2108" s="1">
        <v>55.0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1">
        <v>59.45</v>
      </c>
      <c r="T2108" s="1">
        <v>3157.0</v>
      </c>
      <c r="U2108" s="1">
        <v>0.0</v>
      </c>
      <c r="V2108" s="1">
        <v>0.0</v>
      </c>
      <c r="W2108" s="1" t="s">
        <v>26</v>
      </c>
    </row>
    <row r="2109" ht="15.75" customHeight="1">
      <c r="A2109" s="1" t="s">
        <v>2146</v>
      </c>
      <c r="B2109" s="1" t="s">
        <v>32</v>
      </c>
      <c r="C2109" s="1">
        <v>0.0</v>
      </c>
      <c r="D2109" s="1" t="s">
        <v>25</v>
      </c>
      <c r="E2109" s="1" t="s">
        <v>26</v>
      </c>
      <c r="F2109" s="1">
        <v>33.0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1">
        <v>93.35</v>
      </c>
      <c r="T2109" s="1">
        <v>3092.0</v>
      </c>
      <c r="U2109" s="1">
        <v>0.0</v>
      </c>
      <c r="V2109" s="1">
        <v>0.0</v>
      </c>
      <c r="W2109" s="1" t="s">
        <v>26</v>
      </c>
    </row>
    <row r="2110" ht="15.75" customHeight="1">
      <c r="A2110" s="1" t="s">
        <v>2147</v>
      </c>
      <c r="B2110" s="1" t="s">
        <v>24</v>
      </c>
      <c r="C2110" s="1">
        <v>0.0</v>
      </c>
      <c r="D2110" s="1" t="s">
        <v>26</v>
      </c>
      <c r="E2110" s="1" t="s">
        <v>26</v>
      </c>
      <c r="F2110" s="1">
        <v>46.0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1">
        <v>44.95</v>
      </c>
      <c r="T2110" s="1">
        <v>2168.9</v>
      </c>
      <c r="U2110" s="1">
        <v>0.0</v>
      </c>
      <c r="V2110" s="1">
        <v>0.0</v>
      </c>
      <c r="W2110" s="1" t="s">
        <v>26</v>
      </c>
    </row>
    <row r="2111" ht="15.75" customHeight="1">
      <c r="A2111" s="1" t="s">
        <v>2148</v>
      </c>
      <c r="B2111" s="1" t="s">
        <v>32</v>
      </c>
      <c r="C2111" s="1">
        <v>0.0</v>
      </c>
      <c r="D2111" s="1" t="s">
        <v>26</v>
      </c>
      <c r="E2111" s="1" t="s">
        <v>26</v>
      </c>
      <c r="F2111" s="1">
        <v>34.0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1">
        <v>26.1</v>
      </c>
      <c r="T2111" s="1">
        <v>980.35</v>
      </c>
      <c r="U2111" s="1">
        <v>0.0</v>
      </c>
      <c r="V2111" s="1">
        <v>0.0</v>
      </c>
      <c r="W2111" s="1" t="s">
        <v>26</v>
      </c>
    </row>
    <row r="2112" ht="15.75" customHeight="1">
      <c r="A2112" s="1" t="s">
        <v>2149</v>
      </c>
      <c r="B2112" s="1" t="s">
        <v>24</v>
      </c>
      <c r="C2112" s="1">
        <v>0.0</v>
      </c>
      <c r="D2112" s="1" t="s">
        <v>26</v>
      </c>
      <c r="E2112" s="1" t="s">
        <v>26</v>
      </c>
      <c r="F2112" s="1">
        <v>3.0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1">
        <v>20.2</v>
      </c>
      <c r="T2112" s="1">
        <v>65.95</v>
      </c>
      <c r="U2112" s="1">
        <v>0.0</v>
      </c>
      <c r="V2112" s="1">
        <v>0.0</v>
      </c>
      <c r="W2112" s="1" t="s">
        <v>26</v>
      </c>
    </row>
    <row r="2113" ht="15.75" customHeight="1">
      <c r="A2113" s="1" t="s">
        <v>2150</v>
      </c>
      <c r="B2113" s="1" t="s">
        <v>32</v>
      </c>
      <c r="C2113" s="1">
        <v>0.0</v>
      </c>
      <c r="D2113" s="1" t="s">
        <v>25</v>
      </c>
      <c r="E2113" s="1" t="s">
        <v>25</v>
      </c>
      <c r="F2113" s="1">
        <v>30.0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1">
        <v>21.25</v>
      </c>
      <c r="T2113" s="1">
        <v>711.9</v>
      </c>
      <c r="U2113" s="1">
        <v>0.0</v>
      </c>
      <c r="V2113" s="1">
        <v>0.0</v>
      </c>
      <c r="W2113" s="1" t="s">
        <v>26</v>
      </c>
    </row>
    <row r="2114" ht="15.75" customHeight="1">
      <c r="A2114" s="1" t="s">
        <v>2151</v>
      </c>
      <c r="B2114" s="1" t="s">
        <v>24</v>
      </c>
      <c r="C2114" s="1">
        <v>0.0</v>
      </c>
      <c r="D2114" s="1" t="s">
        <v>26</v>
      </c>
      <c r="E2114" s="1" t="s">
        <v>26</v>
      </c>
      <c r="F2114" s="1">
        <v>33.0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1">
        <v>59.4</v>
      </c>
      <c r="T2114" s="1">
        <v>1952.8</v>
      </c>
      <c r="U2114" s="1">
        <v>0.0</v>
      </c>
      <c r="V2114" s="1">
        <v>0.0</v>
      </c>
      <c r="W2114" s="1" t="s">
        <v>26</v>
      </c>
    </row>
    <row r="2115" ht="15.75" customHeight="1">
      <c r="A2115" s="1" t="s">
        <v>2152</v>
      </c>
      <c r="B2115" s="1" t="s">
        <v>32</v>
      </c>
      <c r="C2115" s="1">
        <v>0.0</v>
      </c>
      <c r="D2115" s="1" t="s">
        <v>25</v>
      </c>
      <c r="E2115" s="1" t="s">
        <v>25</v>
      </c>
      <c r="F2115" s="1">
        <v>45.0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1">
        <v>95.0</v>
      </c>
      <c r="T2115" s="1">
        <v>4368.85</v>
      </c>
      <c r="U2115" s="1">
        <v>0.0</v>
      </c>
      <c r="V2115" s="1">
        <v>0.0</v>
      </c>
      <c r="W2115" s="1" t="s">
        <v>26</v>
      </c>
    </row>
    <row r="2116" ht="15.75" customHeight="1">
      <c r="A2116" s="1" t="s">
        <v>2153</v>
      </c>
      <c r="B2116" s="1" t="s">
        <v>32</v>
      </c>
      <c r="C2116" s="1">
        <v>0.0</v>
      </c>
      <c r="D2116" s="1" t="s">
        <v>26</v>
      </c>
      <c r="E2116" s="1" t="s">
        <v>26</v>
      </c>
      <c r="F2116" s="1">
        <v>40.0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1">
        <v>61.9</v>
      </c>
      <c r="T2116" s="1">
        <v>2647.1</v>
      </c>
      <c r="U2116" s="1">
        <v>0.0</v>
      </c>
      <c r="V2116" s="1">
        <v>0.0</v>
      </c>
      <c r="W2116" s="1" t="s">
        <v>26</v>
      </c>
    </row>
    <row r="2117" ht="15.75" customHeight="1">
      <c r="A2117" s="1" t="s">
        <v>2154</v>
      </c>
      <c r="B2117" s="1" t="s">
        <v>24</v>
      </c>
      <c r="C2117" s="1">
        <v>0.0</v>
      </c>
      <c r="D2117" s="1" t="s">
        <v>26</v>
      </c>
      <c r="E2117" s="1" t="s">
        <v>26</v>
      </c>
      <c r="F2117" s="1">
        <v>71.0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1">
        <v>118.65</v>
      </c>
      <c r="T2117" s="1">
        <v>8477.6</v>
      </c>
      <c r="U2117" s="1">
        <v>3.0</v>
      </c>
      <c r="V2117" s="1">
        <v>0.0</v>
      </c>
      <c r="W2117" s="1" t="s">
        <v>26</v>
      </c>
    </row>
    <row r="2118" ht="15.75" customHeight="1">
      <c r="A2118" s="1" t="s">
        <v>2155</v>
      </c>
      <c r="B2118" s="1" t="s">
        <v>32</v>
      </c>
      <c r="C2118" s="1">
        <v>0.0</v>
      </c>
      <c r="D2118" s="1" t="s">
        <v>26</v>
      </c>
      <c r="E2118" s="1" t="s">
        <v>26</v>
      </c>
      <c r="F2118" s="1">
        <v>1.0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1">
        <v>54.35</v>
      </c>
      <c r="T2118" s="1">
        <v>54.35</v>
      </c>
      <c r="U2118" s="1">
        <v>0.0</v>
      </c>
      <c r="V2118" s="1">
        <v>0.0</v>
      </c>
      <c r="W2118" s="1" t="s">
        <v>25</v>
      </c>
    </row>
    <row r="2119" ht="15.75" customHeight="1">
      <c r="A2119" s="1" t="s">
        <v>2156</v>
      </c>
      <c r="B2119" s="1" t="s">
        <v>24</v>
      </c>
      <c r="C2119" s="1">
        <v>0.0</v>
      </c>
      <c r="D2119" s="1" t="s">
        <v>25</v>
      </c>
      <c r="E2119" s="1" t="s">
        <v>25</v>
      </c>
      <c r="F2119" s="1">
        <v>72.0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1">
        <v>64.45</v>
      </c>
      <c r="T2119" s="1">
        <v>4528.0</v>
      </c>
      <c r="U2119" s="1">
        <v>0.0</v>
      </c>
      <c r="V2119" s="1">
        <v>0.0</v>
      </c>
      <c r="W2119" s="1" t="s">
        <v>26</v>
      </c>
    </row>
    <row r="2120" ht="15.75" customHeight="1">
      <c r="A2120" s="1" t="s">
        <v>2157</v>
      </c>
      <c r="B2120" s="1" t="s">
        <v>24</v>
      </c>
      <c r="C2120" s="1">
        <v>0.0</v>
      </c>
      <c r="D2120" s="1" t="s">
        <v>25</v>
      </c>
      <c r="E2120" s="1" t="s">
        <v>25</v>
      </c>
      <c r="F2120" s="1">
        <v>22.0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1">
        <v>80.15</v>
      </c>
      <c r="T2120" s="1">
        <v>1790.65</v>
      </c>
      <c r="U2120" s="1">
        <v>0.0</v>
      </c>
      <c r="V2120" s="1">
        <v>0.0</v>
      </c>
      <c r="W2120" s="1" t="s">
        <v>26</v>
      </c>
    </row>
    <row r="2121" ht="15.75" customHeight="1">
      <c r="A2121" s="1" t="s">
        <v>2158</v>
      </c>
      <c r="B2121" s="1" t="s">
        <v>32</v>
      </c>
      <c r="C2121" s="1">
        <v>0.0</v>
      </c>
      <c r="D2121" s="1" t="s">
        <v>25</v>
      </c>
      <c r="E2121" s="1" t="s">
        <v>25</v>
      </c>
      <c r="F2121" s="1">
        <v>46.0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1">
        <v>20.2</v>
      </c>
      <c r="T2121" s="1">
        <v>845.6</v>
      </c>
      <c r="U2121" s="1">
        <v>0.0</v>
      </c>
      <c r="V2121" s="1">
        <v>0.0</v>
      </c>
      <c r="W2121" s="1" t="s">
        <v>26</v>
      </c>
    </row>
    <row r="2122" ht="15.75" customHeight="1">
      <c r="A2122" s="1" t="s">
        <v>2159</v>
      </c>
      <c r="B2122" s="1" t="s">
        <v>24</v>
      </c>
      <c r="C2122" s="1">
        <v>0.0</v>
      </c>
      <c r="D2122" s="1" t="s">
        <v>25</v>
      </c>
      <c r="E2122" s="1" t="s">
        <v>25</v>
      </c>
      <c r="F2122" s="1">
        <v>55.0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1">
        <v>21.0</v>
      </c>
      <c r="T2122" s="1">
        <v>1210.3</v>
      </c>
      <c r="U2122" s="1">
        <v>0.0</v>
      </c>
      <c r="V2122" s="1">
        <v>5.0</v>
      </c>
      <c r="W2122" s="1" t="s">
        <v>26</v>
      </c>
    </row>
    <row r="2123" ht="15.75" customHeight="1">
      <c r="A2123" s="1" t="s">
        <v>2160</v>
      </c>
      <c r="B2123" s="1" t="s">
        <v>32</v>
      </c>
      <c r="C2123" s="1">
        <v>0.0</v>
      </c>
      <c r="D2123" s="1" t="s">
        <v>26</v>
      </c>
      <c r="E2123" s="1" t="s">
        <v>26</v>
      </c>
      <c r="F2123" s="1">
        <v>1.0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1">
        <v>20.45</v>
      </c>
      <c r="T2123" s="1">
        <v>20.45</v>
      </c>
      <c r="U2123" s="1">
        <v>0.0</v>
      </c>
      <c r="V2123" s="1">
        <v>0.0</v>
      </c>
      <c r="W2123" s="1" t="s">
        <v>26</v>
      </c>
    </row>
    <row r="2124" ht="15.75" customHeight="1">
      <c r="A2124" s="1" t="s">
        <v>2161</v>
      </c>
      <c r="B2124" s="1" t="s">
        <v>24</v>
      </c>
      <c r="C2124" s="1">
        <v>0.0</v>
      </c>
      <c r="D2124" s="1" t="s">
        <v>26</v>
      </c>
      <c r="E2124" s="1" t="s">
        <v>26</v>
      </c>
      <c r="F2124" s="1">
        <v>12.0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1">
        <v>75.85</v>
      </c>
      <c r="T2124" s="1">
        <v>854.45</v>
      </c>
      <c r="U2124" s="1">
        <v>5.0</v>
      </c>
      <c r="V2124" s="1">
        <v>0.0</v>
      </c>
      <c r="W2124" s="1" t="s">
        <v>26</v>
      </c>
    </row>
    <row r="2125" ht="15.75" customHeight="1">
      <c r="A2125" s="1" t="s">
        <v>2162</v>
      </c>
      <c r="B2125" s="1" t="s">
        <v>32</v>
      </c>
      <c r="C2125" s="1">
        <v>0.0</v>
      </c>
      <c r="D2125" s="1" t="s">
        <v>26</v>
      </c>
      <c r="E2125" s="1" t="s">
        <v>26</v>
      </c>
      <c r="F2125" s="1">
        <v>31.0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1">
        <v>80.45</v>
      </c>
      <c r="T2125" s="1">
        <v>2429.1</v>
      </c>
      <c r="U2125" s="1">
        <v>0.0</v>
      </c>
      <c r="V2125" s="1">
        <v>0.0</v>
      </c>
      <c r="W2125" s="1" t="s">
        <v>26</v>
      </c>
    </row>
    <row r="2126" ht="15.75" customHeight="1">
      <c r="A2126" s="1" t="s">
        <v>2163</v>
      </c>
      <c r="B2126" s="1" t="s">
        <v>32</v>
      </c>
      <c r="C2126" s="1">
        <v>0.0</v>
      </c>
      <c r="D2126" s="1" t="s">
        <v>25</v>
      </c>
      <c r="E2126" s="1" t="s">
        <v>26</v>
      </c>
      <c r="F2126" s="1">
        <v>5.0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1">
        <v>24.95</v>
      </c>
      <c r="T2126" s="1">
        <v>100.4</v>
      </c>
      <c r="U2126" s="1">
        <v>0.0</v>
      </c>
      <c r="V2126" s="1">
        <v>0.0</v>
      </c>
      <c r="W2126" s="1" t="s">
        <v>25</v>
      </c>
    </row>
    <row r="2127" ht="15.75" customHeight="1">
      <c r="A2127" s="1" t="s">
        <v>2164</v>
      </c>
      <c r="B2127" s="1" t="s">
        <v>24</v>
      </c>
      <c r="C2127" s="1">
        <v>0.0</v>
      </c>
      <c r="D2127" s="1" t="s">
        <v>25</v>
      </c>
      <c r="E2127" s="1" t="s">
        <v>25</v>
      </c>
      <c r="F2127" s="1">
        <v>67.0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1">
        <v>75.5</v>
      </c>
      <c r="T2127" s="1">
        <v>5229.45</v>
      </c>
      <c r="U2127" s="1">
        <v>0.0</v>
      </c>
      <c r="V2127" s="1">
        <v>0.0</v>
      </c>
      <c r="W2127" s="1" t="s">
        <v>26</v>
      </c>
    </row>
    <row r="2128" ht="15.75" customHeight="1">
      <c r="A2128" s="1" t="s">
        <v>2165</v>
      </c>
      <c r="B2128" s="1" t="s">
        <v>32</v>
      </c>
      <c r="C2128" s="1">
        <v>0.0</v>
      </c>
      <c r="D2128" s="1" t="s">
        <v>26</v>
      </c>
      <c r="E2128" s="1" t="s">
        <v>26</v>
      </c>
      <c r="F2128" s="1">
        <v>1.0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1">
        <v>44.45</v>
      </c>
      <c r="T2128" s="1">
        <v>44.45</v>
      </c>
      <c r="U2128" s="1">
        <v>0.0</v>
      </c>
      <c r="V2128" s="1">
        <v>0.0</v>
      </c>
      <c r="W2128" s="1" t="s">
        <v>26</v>
      </c>
    </row>
    <row r="2129" ht="15.75" customHeight="1">
      <c r="A2129" s="1" t="s">
        <v>2166</v>
      </c>
      <c r="B2129" s="1" t="s">
        <v>32</v>
      </c>
      <c r="C2129" s="1">
        <v>0.0</v>
      </c>
      <c r="D2129" s="1" t="s">
        <v>25</v>
      </c>
      <c r="E2129" s="1" t="s">
        <v>26</v>
      </c>
      <c r="F2129" s="1">
        <v>40.0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1">
        <v>42.35</v>
      </c>
      <c r="T2129" s="1">
        <v>1716.45</v>
      </c>
      <c r="U2129" s="1">
        <v>0.0</v>
      </c>
      <c r="V2129" s="1">
        <v>5.0</v>
      </c>
      <c r="W2129" s="1" t="s">
        <v>25</v>
      </c>
    </row>
    <row r="2130" ht="15.75" customHeight="1">
      <c r="A2130" s="1" t="s">
        <v>2167</v>
      </c>
      <c r="B2130" s="1" t="s">
        <v>32</v>
      </c>
      <c r="C2130" s="1">
        <v>0.0</v>
      </c>
      <c r="D2130" s="1" t="s">
        <v>25</v>
      </c>
      <c r="E2130" s="1" t="s">
        <v>25</v>
      </c>
      <c r="F2130" s="1">
        <v>41.0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1">
        <v>74.55</v>
      </c>
      <c r="T2130" s="1">
        <v>3023.55</v>
      </c>
      <c r="U2130" s="1">
        <v>0.0</v>
      </c>
      <c r="V2130" s="1">
        <v>0.0</v>
      </c>
      <c r="W2130" s="1" t="s">
        <v>26</v>
      </c>
    </row>
    <row r="2131" ht="15.75" customHeight="1">
      <c r="A2131" s="1" t="s">
        <v>2168</v>
      </c>
      <c r="B2131" s="1" t="s">
        <v>32</v>
      </c>
      <c r="C2131" s="1">
        <v>0.0</v>
      </c>
      <c r="D2131" s="1" t="s">
        <v>26</v>
      </c>
      <c r="E2131" s="1" t="s">
        <v>26</v>
      </c>
      <c r="F2131" s="1">
        <v>1.0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1">
        <v>75.3</v>
      </c>
      <c r="T2131" s="1">
        <v>75.3</v>
      </c>
      <c r="U2131" s="1">
        <v>0.0</v>
      </c>
      <c r="V2131" s="1">
        <v>0.0</v>
      </c>
      <c r="W2131" s="1" t="s">
        <v>25</v>
      </c>
    </row>
    <row r="2132" ht="15.75" customHeight="1">
      <c r="A2132" s="1" t="s">
        <v>2169</v>
      </c>
      <c r="B2132" s="1" t="s">
        <v>32</v>
      </c>
      <c r="C2132" s="1">
        <v>0.0</v>
      </c>
      <c r="D2132" s="1" t="s">
        <v>26</v>
      </c>
      <c r="E2132" s="1" t="s">
        <v>26</v>
      </c>
      <c r="F2132" s="1">
        <v>51.0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1">
        <v>94.8</v>
      </c>
      <c r="T2132" s="1">
        <v>4837.6</v>
      </c>
      <c r="U2132" s="1">
        <v>0.0</v>
      </c>
      <c r="V2132" s="1">
        <v>4.0</v>
      </c>
      <c r="W2132" s="1" t="s">
        <v>25</v>
      </c>
    </row>
    <row r="2133" ht="15.75" customHeight="1">
      <c r="A2133" s="1" t="s">
        <v>2170</v>
      </c>
      <c r="B2133" s="1" t="s">
        <v>32</v>
      </c>
      <c r="C2133" s="1">
        <v>0.0</v>
      </c>
      <c r="D2133" s="1" t="s">
        <v>25</v>
      </c>
      <c r="E2133" s="1" t="s">
        <v>25</v>
      </c>
      <c r="F2133" s="1">
        <v>42.0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1">
        <v>48.15</v>
      </c>
      <c r="T2133" s="1">
        <v>2032.3</v>
      </c>
      <c r="U2133" s="1">
        <v>0.0</v>
      </c>
      <c r="V2133" s="1">
        <v>0.0</v>
      </c>
      <c r="W2133" s="1" t="s">
        <v>26</v>
      </c>
    </row>
    <row r="2134" ht="15.75" customHeight="1">
      <c r="A2134" s="1" t="s">
        <v>2171</v>
      </c>
      <c r="B2134" s="1" t="s">
        <v>32</v>
      </c>
      <c r="C2134" s="1">
        <v>0.0</v>
      </c>
      <c r="D2134" s="1" t="s">
        <v>25</v>
      </c>
      <c r="E2134" s="1" t="s">
        <v>25</v>
      </c>
      <c r="F2134" s="1">
        <v>23.0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1">
        <v>19.65</v>
      </c>
      <c r="T2134" s="1">
        <v>436.9</v>
      </c>
      <c r="U2134" s="1">
        <v>0.0</v>
      </c>
      <c r="V2134" s="1">
        <v>0.0</v>
      </c>
      <c r="W2134" s="1" t="s">
        <v>26</v>
      </c>
    </row>
    <row r="2135" ht="15.75" customHeight="1">
      <c r="A2135" s="1" t="s">
        <v>2172</v>
      </c>
      <c r="B2135" s="1" t="s">
        <v>24</v>
      </c>
      <c r="C2135" s="1">
        <v>1.0</v>
      </c>
      <c r="D2135" s="1" t="s">
        <v>26</v>
      </c>
      <c r="E2135" s="1" t="s">
        <v>26</v>
      </c>
      <c r="F2135" s="1">
        <v>1.0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1">
        <v>70.55</v>
      </c>
      <c r="T2135" s="1">
        <v>70.55</v>
      </c>
      <c r="U2135" s="1">
        <v>0.0</v>
      </c>
      <c r="V2135" s="1">
        <v>0.0</v>
      </c>
      <c r="W2135" s="1" t="s">
        <v>25</v>
      </c>
    </row>
    <row r="2136" ht="15.75" customHeight="1">
      <c r="A2136" s="1" t="s">
        <v>2173</v>
      </c>
      <c r="B2136" s="1" t="s">
        <v>24</v>
      </c>
      <c r="C2136" s="1">
        <v>0.0</v>
      </c>
      <c r="D2136" s="1" t="s">
        <v>26</v>
      </c>
      <c r="E2136" s="1" t="s">
        <v>26</v>
      </c>
      <c r="F2136" s="1">
        <v>1.0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1">
        <v>20.15</v>
      </c>
      <c r="T2136" s="1">
        <v>20.15</v>
      </c>
      <c r="U2136" s="1">
        <v>1.0</v>
      </c>
      <c r="V2136" s="1">
        <v>0.0</v>
      </c>
      <c r="W2136" s="1" t="s">
        <v>26</v>
      </c>
    </row>
    <row r="2137" ht="15.75" customHeight="1">
      <c r="A2137" s="1" t="s">
        <v>2174</v>
      </c>
      <c r="B2137" s="1" t="s">
        <v>24</v>
      </c>
      <c r="C2137" s="1">
        <v>0.0</v>
      </c>
      <c r="D2137" s="1" t="s">
        <v>26</v>
      </c>
      <c r="E2137" s="1" t="s">
        <v>26</v>
      </c>
      <c r="F2137" s="1">
        <v>56.0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1">
        <v>106.6</v>
      </c>
      <c r="T2137" s="1">
        <v>5893.95</v>
      </c>
      <c r="U2137" s="1">
        <v>0.0</v>
      </c>
      <c r="V2137" s="1">
        <v>0.0</v>
      </c>
      <c r="W2137" s="1" t="s">
        <v>26</v>
      </c>
    </row>
    <row r="2138" ht="15.75" customHeight="1">
      <c r="A2138" s="1" t="s">
        <v>2175</v>
      </c>
      <c r="B2138" s="1" t="s">
        <v>32</v>
      </c>
      <c r="C2138" s="1">
        <v>0.0</v>
      </c>
      <c r="D2138" s="1" t="s">
        <v>26</v>
      </c>
      <c r="E2138" s="1" t="s">
        <v>25</v>
      </c>
      <c r="F2138" s="1">
        <v>15.0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1">
        <v>91.0</v>
      </c>
      <c r="T2138" s="1">
        <v>1430.05</v>
      </c>
      <c r="U2138" s="1">
        <v>0.0</v>
      </c>
      <c r="V2138" s="1">
        <v>0.0</v>
      </c>
      <c r="W2138" s="1" t="s">
        <v>26</v>
      </c>
    </row>
    <row r="2139" ht="15.75" customHeight="1">
      <c r="A2139" s="1" t="s">
        <v>2176</v>
      </c>
      <c r="B2139" s="1" t="s">
        <v>32</v>
      </c>
      <c r="C2139" s="1">
        <v>0.0</v>
      </c>
      <c r="D2139" s="1" t="s">
        <v>25</v>
      </c>
      <c r="E2139" s="1" t="s">
        <v>25</v>
      </c>
      <c r="F2139" s="1">
        <v>12.0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1">
        <v>25.4</v>
      </c>
      <c r="T2139" s="1">
        <v>313.0</v>
      </c>
      <c r="U2139" s="1">
        <v>1.0</v>
      </c>
      <c r="V2139" s="1">
        <v>0.0</v>
      </c>
      <c r="W2139" s="1" t="s">
        <v>26</v>
      </c>
    </row>
    <row r="2140" ht="15.75" customHeight="1">
      <c r="A2140" s="1" t="s">
        <v>2177</v>
      </c>
      <c r="B2140" s="1" t="s">
        <v>24</v>
      </c>
      <c r="C2140" s="1">
        <v>0.0</v>
      </c>
      <c r="D2140" s="1" t="s">
        <v>25</v>
      </c>
      <c r="E2140" s="1" t="s">
        <v>25</v>
      </c>
      <c r="F2140" s="1">
        <v>54.0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1">
        <v>69.95</v>
      </c>
      <c r="T2140" s="1">
        <v>3871.85</v>
      </c>
      <c r="U2140" s="1">
        <v>3.0</v>
      </c>
      <c r="V2140" s="1">
        <v>0.0</v>
      </c>
      <c r="W2140" s="1" t="s">
        <v>26</v>
      </c>
    </row>
    <row r="2141" ht="15.75" customHeight="1">
      <c r="A2141" s="1" t="s">
        <v>2178</v>
      </c>
      <c r="B2141" s="1" t="s">
        <v>24</v>
      </c>
      <c r="C2141" s="1">
        <v>0.0</v>
      </c>
      <c r="D2141" s="1" t="s">
        <v>26</v>
      </c>
      <c r="E2141" s="1" t="s">
        <v>26</v>
      </c>
      <c r="F2141" s="1">
        <v>7.0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1">
        <v>66.85</v>
      </c>
      <c r="T2141" s="1">
        <v>458.1</v>
      </c>
      <c r="U2141" s="1">
        <v>0.0</v>
      </c>
      <c r="V2141" s="1">
        <v>0.0</v>
      </c>
      <c r="W2141" s="1" t="s">
        <v>26</v>
      </c>
    </row>
    <row r="2142" ht="15.75" customHeight="1">
      <c r="A2142" s="1" t="s">
        <v>2179</v>
      </c>
      <c r="B2142" s="1" t="s">
        <v>24</v>
      </c>
      <c r="C2142" s="1">
        <v>0.0</v>
      </c>
      <c r="D2142" s="1" t="s">
        <v>25</v>
      </c>
      <c r="E2142" s="1" t="s">
        <v>25</v>
      </c>
      <c r="F2142" s="1">
        <v>33.0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1">
        <v>86.15</v>
      </c>
      <c r="T2142" s="1">
        <v>2745.7</v>
      </c>
      <c r="U2142" s="1">
        <v>0.0</v>
      </c>
      <c r="V2142" s="1">
        <v>0.0</v>
      </c>
      <c r="W2142" s="1" t="s">
        <v>25</v>
      </c>
    </row>
    <row r="2143" ht="15.75" customHeight="1">
      <c r="A2143" s="1" t="s">
        <v>2180</v>
      </c>
      <c r="B2143" s="1" t="s">
        <v>32</v>
      </c>
      <c r="C2143" s="1">
        <v>0.0</v>
      </c>
      <c r="D2143" s="1" t="s">
        <v>25</v>
      </c>
      <c r="E2143" s="1" t="s">
        <v>25</v>
      </c>
      <c r="F2143" s="1">
        <v>16.0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1">
        <v>20.15</v>
      </c>
      <c r="T2143" s="1">
        <v>341.35</v>
      </c>
      <c r="U2143" s="1">
        <v>0.0</v>
      </c>
      <c r="V2143" s="1">
        <v>0.0</v>
      </c>
      <c r="W2143" s="1" t="s">
        <v>26</v>
      </c>
    </row>
    <row r="2144" ht="15.75" customHeight="1">
      <c r="A2144" s="1" t="s">
        <v>2181</v>
      </c>
      <c r="B2144" s="1" t="s">
        <v>24</v>
      </c>
      <c r="C2144" s="1">
        <v>0.0</v>
      </c>
      <c r="D2144" s="1" t="s">
        <v>26</v>
      </c>
      <c r="E2144" s="1" t="s">
        <v>25</v>
      </c>
      <c r="F2144" s="1">
        <v>21.0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1">
        <v>64.85</v>
      </c>
      <c r="T2144" s="1">
        <v>1336.8</v>
      </c>
      <c r="U2144" s="1">
        <v>0.0</v>
      </c>
      <c r="V2144" s="1">
        <v>0.0</v>
      </c>
      <c r="W2144" s="1" t="s">
        <v>26</v>
      </c>
    </row>
    <row r="2145" ht="15.75" customHeight="1">
      <c r="A2145" s="1" t="s">
        <v>2182</v>
      </c>
      <c r="B2145" s="1" t="s">
        <v>32</v>
      </c>
      <c r="C2145" s="1">
        <v>1.0</v>
      </c>
      <c r="D2145" s="1" t="s">
        <v>25</v>
      </c>
      <c r="E2145" s="1" t="s">
        <v>26</v>
      </c>
      <c r="F2145" s="1">
        <v>30.0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1">
        <v>74.85</v>
      </c>
      <c r="T2145" s="1">
        <v>2181.75</v>
      </c>
      <c r="U2145" s="1">
        <v>0.0</v>
      </c>
      <c r="V2145" s="1">
        <v>0.0</v>
      </c>
      <c r="W2145" s="1" t="s">
        <v>26</v>
      </c>
    </row>
    <row r="2146" ht="15.75" customHeight="1">
      <c r="A2146" s="1" t="s">
        <v>2183</v>
      </c>
      <c r="B2146" s="1" t="s">
        <v>32</v>
      </c>
      <c r="C2146" s="1">
        <v>0.0</v>
      </c>
      <c r="D2146" s="1" t="s">
        <v>26</v>
      </c>
      <c r="E2146" s="1" t="s">
        <v>26</v>
      </c>
      <c r="F2146" s="1">
        <v>3.0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1">
        <v>50.5</v>
      </c>
      <c r="T2146" s="1">
        <v>147.75</v>
      </c>
      <c r="U2146" s="1">
        <v>0.0</v>
      </c>
      <c r="V2146" s="1">
        <v>0.0</v>
      </c>
      <c r="W2146" s="1" t="s">
        <v>26</v>
      </c>
    </row>
    <row r="2147" ht="15.75" customHeight="1">
      <c r="A2147" s="1" t="s">
        <v>2184</v>
      </c>
      <c r="B2147" s="1" t="s">
        <v>32</v>
      </c>
      <c r="C2147" s="1">
        <v>0.0</v>
      </c>
      <c r="D2147" s="1" t="s">
        <v>26</v>
      </c>
      <c r="E2147" s="1" t="s">
        <v>26</v>
      </c>
      <c r="F2147" s="1">
        <v>11.0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1">
        <v>72.9</v>
      </c>
      <c r="T2147" s="1">
        <v>818.45</v>
      </c>
      <c r="U2147" s="1">
        <v>0.0</v>
      </c>
      <c r="V2147" s="1">
        <v>0.0</v>
      </c>
      <c r="W2147" s="1" t="s">
        <v>26</v>
      </c>
    </row>
    <row r="2148" ht="15.75" customHeight="1">
      <c r="A2148" s="1" t="s">
        <v>2185</v>
      </c>
      <c r="B2148" s="1" t="s">
        <v>24</v>
      </c>
      <c r="C2148" s="1">
        <v>0.0</v>
      </c>
      <c r="D2148" s="1" t="s">
        <v>26</v>
      </c>
      <c r="E2148" s="1" t="s">
        <v>26</v>
      </c>
      <c r="F2148" s="1">
        <v>62.0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1">
        <v>115.05</v>
      </c>
      <c r="T2148" s="1">
        <v>7133.45</v>
      </c>
      <c r="U2148" s="1">
        <v>0.0</v>
      </c>
      <c r="V2148" s="1">
        <v>0.0</v>
      </c>
      <c r="W2148" s="1" t="s">
        <v>26</v>
      </c>
    </row>
    <row r="2149" ht="15.75" customHeight="1">
      <c r="A2149" s="1" t="s">
        <v>2186</v>
      </c>
      <c r="B2149" s="1" t="s">
        <v>32</v>
      </c>
      <c r="C2149" s="1">
        <v>0.0</v>
      </c>
      <c r="D2149" s="1" t="s">
        <v>26</v>
      </c>
      <c r="E2149" s="1" t="s">
        <v>26</v>
      </c>
      <c r="F2149" s="1">
        <v>18.0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1">
        <v>19.0</v>
      </c>
      <c r="T2149" s="1">
        <v>348.8</v>
      </c>
      <c r="U2149" s="1">
        <v>0.0</v>
      </c>
      <c r="V2149" s="1">
        <v>0.0</v>
      </c>
      <c r="W2149" s="1" t="s">
        <v>26</v>
      </c>
    </row>
    <row r="2150" ht="15.75" customHeight="1">
      <c r="A2150" s="1" t="s">
        <v>2187</v>
      </c>
      <c r="B2150" s="1" t="s">
        <v>32</v>
      </c>
      <c r="C2150" s="1">
        <v>0.0</v>
      </c>
      <c r="D2150" s="1" t="s">
        <v>26</v>
      </c>
      <c r="E2150" s="1" t="s">
        <v>25</v>
      </c>
      <c r="F2150" s="1">
        <v>6.0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1">
        <v>19.55</v>
      </c>
      <c r="T2150" s="1">
        <v>128.6</v>
      </c>
      <c r="U2150" s="1">
        <v>0.0</v>
      </c>
      <c r="V2150" s="1">
        <v>0.0</v>
      </c>
      <c r="W2150" s="1" t="s">
        <v>26</v>
      </c>
    </row>
    <row r="2151" ht="15.75" customHeight="1">
      <c r="A2151" s="1" t="s">
        <v>2188</v>
      </c>
      <c r="B2151" s="1" t="s">
        <v>24</v>
      </c>
      <c r="C2151" s="1">
        <v>0.0</v>
      </c>
      <c r="D2151" s="1" t="s">
        <v>26</v>
      </c>
      <c r="E2151" s="1" t="s">
        <v>26</v>
      </c>
      <c r="F2151" s="1">
        <v>46.0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1">
        <v>101.1</v>
      </c>
      <c r="T2151" s="1">
        <v>4674.4</v>
      </c>
      <c r="U2151" s="1">
        <v>3.0</v>
      </c>
      <c r="V2151" s="1">
        <v>0.0</v>
      </c>
      <c r="W2151" s="1" t="s">
        <v>26</v>
      </c>
    </row>
    <row r="2152" ht="15.75" customHeight="1">
      <c r="A2152" s="1" t="s">
        <v>2189</v>
      </c>
      <c r="B2152" s="1" t="s">
        <v>32</v>
      </c>
      <c r="C2152" s="1">
        <v>0.0</v>
      </c>
      <c r="D2152" s="1" t="s">
        <v>26</v>
      </c>
      <c r="E2152" s="1" t="s">
        <v>26</v>
      </c>
      <c r="F2152" s="1">
        <v>21.0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1">
        <v>84.1</v>
      </c>
      <c r="T2152" s="1">
        <v>1737.45</v>
      </c>
      <c r="U2152" s="1">
        <v>0.0</v>
      </c>
      <c r="V2152" s="1">
        <v>0.0</v>
      </c>
      <c r="W2152" s="1" t="s">
        <v>26</v>
      </c>
    </row>
    <row r="2153" ht="15.75" customHeight="1">
      <c r="A2153" s="1" t="s">
        <v>2190</v>
      </c>
      <c r="B2153" s="1" t="s">
        <v>32</v>
      </c>
      <c r="C2153" s="1">
        <v>0.0</v>
      </c>
      <c r="D2153" s="1" t="s">
        <v>26</v>
      </c>
      <c r="E2153" s="1" t="s">
        <v>26</v>
      </c>
      <c r="F2153" s="1">
        <v>68.0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1">
        <v>24.15</v>
      </c>
      <c r="T2153" s="1">
        <v>1498.85</v>
      </c>
      <c r="U2153" s="1">
        <v>0.0</v>
      </c>
      <c r="V2153" s="1">
        <v>0.0</v>
      </c>
      <c r="W2153" s="1" t="s">
        <v>26</v>
      </c>
    </row>
    <row r="2154" ht="15.75" customHeight="1">
      <c r="A2154" s="1" t="s">
        <v>2191</v>
      </c>
      <c r="B2154" s="1" t="s">
        <v>24</v>
      </c>
      <c r="C2154" s="1">
        <v>0.0</v>
      </c>
      <c r="D2154" s="1" t="s">
        <v>26</v>
      </c>
      <c r="E2154" s="1" t="s">
        <v>26</v>
      </c>
      <c r="F2154" s="1">
        <v>1.0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1">
        <v>50.1</v>
      </c>
      <c r="T2154" s="1">
        <v>50.1</v>
      </c>
      <c r="U2154" s="1">
        <v>0.0</v>
      </c>
      <c r="V2154" s="1">
        <v>0.0</v>
      </c>
      <c r="W2154" s="1" t="s">
        <v>26</v>
      </c>
    </row>
    <row r="2155" ht="15.75" customHeight="1">
      <c r="A2155" s="1" t="s">
        <v>2192</v>
      </c>
      <c r="B2155" s="1" t="s">
        <v>24</v>
      </c>
      <c r="C2155" s="1">
        <v>0.0</v>
      </c>
      <c r="D2155" s="1" t="s">
        <v>25</v>
      </c>
      <c r="E2155" s="1" t="s">
        <v>26</v>
      </c>
      <c r="F2155" s="1">
        <v>25.0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1">
        <v>74.6</v>
      </c>
      <c r="T2155" s="1">
        <v>1797.75</v>
      </c>
      <c r="U2155" s="1">
        <v>0.0</v>
      </c>
      <c r="V2155" s="1">
        <v>0.0</v>
      </c>
      <c r="W2155" s="1" t="s">
        <v>26</v>
      </c>
    </row>
    <row r="2156" ht="15.75" customHeight="1">
      <c r="A2156" s="1" t="s">
        <v>2193</v>
      </c>
      <c r="B2156" s="1" t="s">
        <v>24</v>
      </c>
      <c r="C2156" s="1">
        <v>0.0</v>
      </c>
      <c r="D2156" s="1" t="s">
        <v>26</v>
      </c>
      <c r="E2156" s="1" t="s">
        <v>25</v>
      </c>
      <c r="F2156" s="1">
        <v>24.0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1">
        <v>19.75</v>
      </c>
      <c r="T2156" s="1">
        <v>498.1</v>
      </c>
      <c r="U2156" s="1">
        <v>0.0</v>
      </c>
      <c r="V2156" s="1">
        <v>0.0</v>
      </c>
      <c r="W2156" s="1" t="s">
        <v>26</v>
      </c>
    </row>
    <row r="2157" ht="15.75" customHeight="1">
      <c r="A2157" s="1" t="s">
        <v>2194</v>
      </c>
      <c r="B2157" s="1" t="s">
        <v>24</v>
      </c>
      <c r="C2157" s="1">
        <v>0.0</v>
      </c>
      <c r="D2157" s="1" t="s">
        <v>25</v>
      </c>
      <c r="E2157" s="1" t="s">
        <v>26</v>
      </c>
      <c r="F2157" s="1">
        <v>30.0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1">
        <v>85.0</v>
      </c>
      <c r="T2157" s="1">
        <v>2624.25</v>
      </c>
      <c r="U2157" s="1">
        <v>0.0</v>
      </c>
      <c r="V2157" s="1">
        <v>0.0</v>
      </c>
      <c r="W2157" s="1" t="s">
        <v>25</v>
      </c>
    </row>
    <row r="2158" ht="15.75" customHeight="1">
      <c r="A2158" s="1" t="s">
        <v>2195</v>
      </c>
      <c r="B2158" s="1" t="s">
        <v>24</v>
      </c>
      <c r="C2158" s="1">
        <v>0.0</v>
      </c>
      <c r="D2158" s="1" t="s">
        <v>26</v>
      </c>
      <c r="E2158" s="1" t="s">
        <v>26</v>
      </c>
      <c r="F2158" s="1">
        <v>2.0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1">
        <v>80.55</v>
      </c>
      <c r="T2158" s="1">
        <v>184.1</v>
      </c>
      <c r="U2158" s="1">
        <v>0.0</v>
      </c>
      <c r="V2158" s="1">
        <v>0.0</v>
      </c>
      <c r="W2158" s="1" t="s">
        <v>25</v>
      </c>
    </row>
    <row r="2159" ht="15.75" customHeight="1">
      <c r="A2159" s="1" t="s">
        <v>2196</v>
      </c>
      <c r="B2159" s="1" t="s">
        <v>32</v>
      </c>
      <c r="C2159" s="1">
        <v>0.0</v>
      </c>
      <c r="D2159" s="1" t="s">
        <v>25</v>
      </c>
      <c r="E2159" s="1" t="s">
        <v>26</v>
      </c>
      <c r="F2159" s="1">
        <v>51.0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1">
        <v>106.8</v>
      </c>
      <c r="T2159" s="1">
        <v>5498.8</v>
      </c>
      <c r="U2159" s="1">
        <v>0.0</v>
      </c>
      <c r="V2159" s="1">
        <v>0.0</v>
      </c>
      <c r="W2159" s="1" t="s">
        <v>26</v>
      </c>
    </row>
    <row r="2160" ht="15.75" customHeight="1">
      <c r="A2160" s="1" t="s">
        <v>2197</v>
      </c>
      <c r="B2160" s="1" t="s">
        <v>24</v>
      </c>
      <c r="C2160" s="1">
        <v>0.0</v>
      </c>
      <c r="D2160" s="1" t="s">
        <v>25</v>
      </c>
      <c r="E2160" s="1" t="s">
        <v>25</v>
      </c>
      <c r="F2160" s="1">
        <v>57.0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1">
        <v>84.5</v>
      </c>
      <c r="T2160" s="1">
        <v>4845.4</v>
      </c>
      <c r="U2160" s="1">
        <v>5.0</v>
      </c>
      <c r="V2160" s="1">
        <v>0.0</v>
      </c>
      <c r="W2160" s="1" t="s">
        <v>26</v>
      </c>
    </row>
    <row r="2161" ht="15.75" customHeight="1">
      <c r="A2161" s="1" t="s">
        <v>2198</v>
      </c>
      <c r="B2161" s="1" t="s">
        <v>24</v>
      </c>
      <c r="C2161" s="1">
        <v>0.0</v>
      </c>
      <c r="D2161" s="1" t="s">
        <v>26</v>
      </c>
      <c r="E2161" s="1" t="s">
        <v>26</v>
      </c>
      <c r="F2161" s="1">
        <v>15.0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1">
        <v>25.05</v>
      </c>
      <c r="T2161" s="1">
        <v>369.1</v>
      </c>
      <c r="U2161" s="1">
        <v>0.0</v>
      </c>
      <c r="V2161" s="1">
        <v>0.0</v>
      </c>
      <c r="W2161" s="1" t="s">
        <v>26</v>
      </c>
    </row>
    <row r="2162" ht="15.75" customHeight="1">
      <c r="A2162" s="1" t="s">
        <v>2199</v>
      </c>
      <c r="B2162" s="1" t="s">
        <v>24</v>
      </c>
      <c r="C2162" s="1">
        <v>0.0</v>
      </c>
      <c r="D2162" s="1" t="s">
        <v>25</v>
      </c>
      <c r="E2162" s="1" t="s">
        <v>25</v>
      </c>
      <c r="F2162" s="1">
        <v>72.0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1">
        <v>83.7</v>
      </c>
      <c r="T2162" s="1">
        <v>6096.9</v>
      </c>
      <c r="U2162" s="1">
        <v>0.0</v>
      </c>
      <c r="V2162" s="1">
        <v>0.0</v>
      </c>
      <c r="W2162" s="1" t="s">
        <v>26</v>
      </c>
    </row>
    <row r="2163" ht="15.75" customHeight="1">
      <c r="A2163" s="1" t="s">
        <v>2200</v>
      </c>
      <c r="B2163" s="1" t="s">
        <v>24</v>
      </c>
      <c r="C2163" s="1">
        <v>0.0</v>
      </c>
      <c r="D2163" s="1" t="s">
        <v>26</v>
      </c>
      <c r="E2163" s="1" t="s">
        <v>26</v>
      </c>
      <c r="F2163" s="1">
        <v>2.0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1">
        <v>75.8</v>
      </c>
      <c r="T2163" s="1">
        <v>160.75</v>
      </c>
      <c r="U2163" s="1">
        <v>0.0</v>
      </c>
      <c r="V2163" s="1">
        <v>0.0</v>
      </c>
      <c r="W2163" s="1" t="s">
        <v>25</v>
      </c>
    </row>
    <row r="2164" ht="15.75" customHeight="1">
      <c r="A2164" s="1" t="s">
        <v>2201</v>
      </c>
      <c r="B2164" s="1" t="s">
        <v>32</v>
      </c>
      <c r="C2164" s="1">
        <v>0.0</v>
      </c>
      <c r="D2164" s="1" t="s">
        <v>25</v>
      </c>
      <c r="E2164" s="1" t="s">
        <v>26</v>
      </c>
      <c r="F2164" s="1">
        <v>28.0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1">
        <v>96.6</v>
      </c>
      <c r="T2164" s="1">
        <v>2684.35</v>
      </c>
      <c r="U2164" s="1">
        <v>0.0</v>
      </c>
      <c r="V2164" s="1">
        <v>0.0</v>
      </c>
      <c r="W2164" s="1" t="s">
        <v>26</v>
      </c>
    </row>
    <row r="2165" ht="15.75" customHeight="1">
      <c r="A2165" s="1" t="s">
        <v>2202</v>
      </c>
      <c r="B2165" s="1" t="s">
        <v>32</v>
      </c>
      <c r="C2165" s="1">
        <v>1.0</v>
      </c>
      <c r="D2165" s="1" t="s">
        <v>25</v>
      </c>
      <c r="E2165" s="1" t="s">
        <v>26</v>
      </c>
      <c r="F2165" s="1">
        <v>29.0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1">
        <v>98.5</v>
      </c>
      <c r="T2165" s="1">
        <v>3004.15</v>
      </c>
      <c r="U2165" s="1">
        <v>0.0</v>
      </c>
      <c r="V2165" s="1">
        <v>4.0</v>
      </c>
      <c r="W2165" s="1" t="s">
        <v>25</v>
      </c>
    </row>
    <row r="2166" ht="15.75" customHeight="1">
      <c r="A2166" s="1" t="s">
        <v>2203</v>
      </c>
      <c r="B2166" s="1" t="s">
        <v>32</v>
      </c>
      <c r="C2166" s="1">
        <v>0.0</v>
      </c>
      <c r="D2166" s="1" t="s">
        <v>25</v>
      </c>
      <c r="E2166" s="1" t="s">
        <v>25</v>
      </c>
      <c r="F2166" s="1">
        <v>70.0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1">
        <v>101.1</v>
      </c>
      <c r="T2166" s="1">
        <v>6994.8</v>
      </c>
      <c r="U2166" s="1">
        <v>0.0</v>
      </c>
      <c r="V2166" s="1">
        <v>0.0</v>
      </c>
      <c r="W2166" s="1" t="s">
        <v>26</v>
      </c>
    </row>
    <row r="2167" ht="15.75" customHeight="1">
      <c r="A2167" s="1" t="s">
        <v>2204</v>
      </c>
      <c r="B2167" s="1" t="s">
        <v>24</v>
      </c>
      <c r="C2167" s="1">
        <v>0.0</v>
      </c>
      <c r="D2167" s="1" t="s">
        <v>26</v>
      </c>
      <c r="E2167" s="1" t="s">
        <v>26</v>
      </c>
      <c r="F2167" s="1">
        <v>13.0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1">
        <v>20.2</v>
      </c>
      <c r="T2167" s="1">
        <v>273.25</v>
      </c>
      <c r="U2167" s="1">
        <v>0.0</v>
      </c>
      <c r="V2167" s="1">
        <v>0.0</v>
      </c>
      <c r="W2167" s="1" t="s">
        <v>26</v>
      </c>
    </row>
    <row r="2168" ht="15.75" customHeight="1">
      <c r="A2168" s="1" t="s">
        <v>2205</v>
      </c>
      <c r="B2168" s="1" t="s">
        <v>24</v>
      </c>
      <c r="C2168" s="1">
        <v>1.0</v>
      </c>
      <c r="D2168" s="1" t="s">
        <v>25</v>
      </c>
      <c r="E2168" s="1" t="s">
        <v>26</v>
      </c>
      <c r="F2168" s="1">
        <v>59.0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1">
        <v>94.05</v>
      </c>
      <c r="T2168" s="1">
        <v>5483.9</v>
      </c>
      <c r="U2168" s="1">
        <v>0.0</v>
      </c>
      <c r="V2168" s="1">
        <v>5.0</v>
      </c>
      <c r="W2168" s="1" t="s">
        <v>26</v>
      </c>
    </row>
    <row r="2169" ht="15.75" customHeight="1">
      <c r="A2169" s="1" t="s">
        <v>2206</v>
      </c>
      <c r="B2169" s="1" t="s">
        <v>32</v>
      </c>
      <c r="C2169" s="1">
        <v>1.0</v>
      </c>
      <c r="D2169" s="1" t="s">
        <v>25</v>
      </c>
      <c r="E2169" s="1" t="s">
        <v>26</v>
      </c>
      <c r="F2169" s="1">
        <v>13.0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1">
        <v>95.25</v>
      </c>
      <c r="T2169" s="1">
        <v>1233.65</v>
      </c>
      <c r="U2169" s="1">
        <v>0.0</v>
      </c>
      <c r="V2169" s="1">
        <v>0.0</v>
      </c>
      <c r="W2169" s="1" t="s">
        <v>25</v>
      </c>
    </row>
    <row r="2170" ht="15.75" customHeight="1">
      <c r="A2170" s="1" t="s">
        <v>2207</v>
      </c>
      <c r="B2170" s="1" t="s">
        <v>32</v>
      </c>
      <c r="C2170" s="1">
        <v>1.0</v>
      </c>
      <c r="D2170" s="1" t="s">
        <v>25</v>
      </c>
      <c r="E2170" s="1" t="s">
        <v>26</v>
      </c>
      <c r="F2170" s="1">
        <v>7.0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1">
        <v>74.4</v>
      </c>
      <c r="T2170" s="1">
        <v>527.9</v>
      </c>
      <c r="U2170" s="1">
        <v>0.0</v>
      </c>
      <c r="V2170" s="1">
        <v>0.0</v>
      </c>
      <c r="W2170" s="1" t="s">
        <v>25</v>
      </c>
    </row>
    <row r="2171" ht="15.75" customHeight="1">
      <c r="A2171" s="1" t="s">
        <v>2208</v>
      </c>
      <c r="B2171" s="1" t="s">
        <v>24</v>
      </c>
      <c r="C2171" s="1">
        <v>0.0</v>
      </c>
      <c r="D2171" s="1" t="s">
        <v>25</v>
      </c>
      <c r="E2171" s="1" t="s">
        <v>26</v>
      </c>
      <c r="F2171" s="1">
        <v>62.0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1">
        <v>81.0</v>
      </c>
      <c r="T2171" s="1">
        <v>4985.9</v>
      </c>
      <c r="U2171" s="1">
        <v>0.0</v>
      </c>
      <c r="V2171" s="1">
        <v>2.0</v>
      </c>
      <c r="W2171" s="1" t="s">
        <v>26</v>
      </c>
    </row>
    <row r="2172" ht="15.75" customHeight="1">
      <c r="A2172" s="1" t="s">
        <v>2209</v>
      </c>
      <c r="B2172" s="1" t="s">
        <v>24</v>
      </c>
      <c r="C2172" s="1">
        <v>0.0</v>
      </c>
      <c r="D2172" s="1" t="s">
        <v>26</v>
      </c>
      <c r="E2172" s="1" t="s">
        <v>26</v>
      </c>
      <c r="F2172" s="1">
        <v>21.0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1">
        <v>60.25</v>
      </c>
      <c r="T2172" s="1">
        <v>1258.35</v>
      </c>
      <c r="U2172" s="1">
        <v>0.0</v>
      </c>
      <c r="V2172" s="1">
        <v>0.0</v>
      </c>
      <c r="W2172" s="1" t="s">
        <v>26</v>
      </c>
    </row>
    <row r="2173" ht="15.75" customHeight="1">
      <c r="A2173" s="1" t="s">
        <v>2210</v>
      </c>
      <c r="B2173" s="1" t="s">
        <v>24</v>
      </c>
      <c r="C2173" s="1">
        <v>0.0</v>
      </c>
      <c r="D2173" s="1" t="s">
        <v>26</v>
      </c>
      <c r="E2173" s="1" t="s">
        <v>26</v>
      </c>
      <c r="F2173" s="1">
        <v>2.0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1">
        <v>60.85</v>
      </c>
      <c r="T2173" s="1">
        <v>111.4</v>
      </c>
      <c r="U2173" s="1">
        <v>0.0</v>
      </c>
      <c r="V2173" s="1">
        <v>0.0</v>
      </c>
      <c r="W2173" s="1" t="s">
        <v>26</v>
      </c>
    </row>
    <row r="2174" ht="15.75" customHeight="1">
      <c r="A2174" s="1" t="s">
        <v>2211</v>
      </c>
      <c r="B2174" s="1" t="s">
        <v>24</v>
      </c>
      <c r="C2174" s="1">
        <v>0.0</v>
      </c>
      <c r="D2174" s="1" t="s">
        <v>26</v>
      </c>
      <c r="E2174" s="1" t="s">
        <v>26</v>
      </c>
      <c r="F2174" s="1">
        <v>1.0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1">
        <v>43.95</v>
      </c>
      <c r="T2174" s="1">
        <v>43.95</v>
      </c>
      <c r="U2174" s="1">
        <v>0.0</v>
      </c>
      <c r="V2174" s="1">
        <v>0.0</v>
      </c>
      <c r="W2174" s="1" t="s">
        <v>26</v>
      </c>
    </row>
    <row r="2175" ht="15.75" customHeight="1">
      <c r="A2175" s="1" t="s">
        <v>2212</v>
      </c>
      <c r="B2175" s="1" t="s">
        <v>32</v>
      </c>
      <c r="C2175" s="1">
        <v>0.0</v>
      </c>
      <c r="D2175" s="1" t="s">
        <v>26</v>
      </c>
      <c r="E2175" s="1" t="s">
        <v>26</v>
      </c>
      <c r="F2175" s="1">
        <v>4.0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1">
        <v>86.05</v>
      </c>
      <c r="T2175" s="1">
        <v>308.1</v>
      </c>
      <c r="U2175" s="1">
        <v>3.0</v>
      </c>
      <c r="V2175" s="1">
        <v>0.0</v>
      </c>
      <c r="W2175" s="1" t="s">
        <v>26</v>
      </c>
    </row>
    <row r="2176" ht="15.75" customHeight="1">
      <c r="A2176" s="1" t="s">
        <v>2213</v>
      </c>
      <c r="B2176" s="1" t="s">
        <v>24</v>
      </c>
      <c r="C2176" s="1">
        <v>0.0</v>
      </c>
      <c r="D2176" s="1" t="s">
        <v>26</v>
      </c>
      <c r="E2176" s="1" t="s">
        <v>26</v>
      </c>
      <c r="F2176" s="1">
        <v>19.0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1">
        <v>20.25</v>
      </c>
      <c r="T2176" s="1">
        <v>383.65</v>
      </c>
      <c r="U2176" s="1">
        <v>1.0</v>
      </c>
      <c r="V2176" s="1">
        <v>0.0</v>
      </c>
      <c r="W2176" s="1" t="s">
        <v>26</v>
      </c>
    </row>
    <row r="2177" ht="15.75" customHeight="1">
      <c r="A2177" s="1" t="s">
        <v>2214</v>
      </c>
      <c r="B2177" s="1" t="s">
        <v>24</v>
      </c>
      <c r="C2177" s="1">
        <v>0.0</v>
      </c>
      <c r="D2177" s="1" t="s">
        <v>26</v>
      </c>
      <c r="E2177" s="1" t="s">
        <v>26</v>
      </c>
      <c r="F2177" s="1">
        <v>30.0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1">
        <v>85.15</v>
      </c>
      <c r="T2177" s="1">
        <v>2555.9</v>
      </c>
      <c r="U2177" s="1">
        <v>0.0</v>
      </c>
      <c r="V2177" s="1">
        <v>0.0</v>
      </c>
      <c r="W2177" s="1" t="s">
        <v>25</v>
      </c>
    </row>
    <row r="2178" ht="15.75" customHeight="1">
      <c r="A2178" s="1" t="s">
        <v>2215</v>
      </c>
      <c r="B2178" s="1" t="s">
        <v>32</v>
      </c>
      <c r="C2178" s="1">
        <v>0.0</v>
      </c>
      <c r="D2178" s="1" t="s">
        <v>25</v>
      </c>
      <c r="E2178" s="1" t="s">
        <v>25</v>
      </c>
      <c r="F2178" s="1">
        <v>67.0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1">
        <v>19.4</v>
      </c>
      <c r="T2178" s="1">
        <v>1284.2</v>
      </c>
      <c r="U2178" s="1">
        <v>0.0</v>
      </c>
      <c r="V2178" s="1">
        <v>0.0</v>
      </c>
      <c r="W2178" s="1" t="s">
        <v>26</v>
      </c>
    </row>
    <row r="2179" ht="15.75" customHeight="1">
      <c r="A2179" s="1" t="s">
        <v>2216</v>
      </c>
      <c r="B2179" s="1" t="s">
        <v>32</v>
      </c>
      <c r="C2179" s="1">
        <v>1.0</v>
      </c>
      <c r="D2179" s="1" t="s">
        <v>25</v>
      </c>
      <c r="E2179" s="1" t="s">
        <v>26</v>
      </c>
      <c r="F2179" s="1">
        <v>72.0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1">
        <v>102.65</v>
      </c>
      <c r="T2179" s="1">
        <v>7550.3</v>
      </c>
      <c r="U2179" s="1">
        <v>1.0</v>
      </c>
      <c r="V2179" s="1">
        <v>0.0</v>
      </c>
      <c r="W2179" s="1" t="s">
        <v>26</v>
      </c>
    </row>
    <row r="2180" ht="15.75" customHeight="1">
      <c r="A2180" s="1" t="s">
        <v>2217</v>
      </c>
      <c r="B2180" s="1" t="s">
        <v>32</v>
      </c>
      <c r="C2180" s="1">
        <v>0.0</v>
      </c>
      <c r="D2180" s="1" t="s">
        <v>25</v>
      </c>
      <c r="E2180" s="1" t="s">
        <v>26</v>
      </c>
      <c r="F2180" s="1">
        <v>53.0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1">
        <v>19.9</v>
      </c>
      <c r="T2180" s="1">
        <v>1110.05</v>
      </c>
      <c r="U2180" s="1">
        <v>0.0</v>
      </c>
      <c r="V2180" s="1">
        <v>0.0</v>
      </c>
      <c r="W2180" s="1" t="s">
        <v>26</v>
      </c>
    </row>
    <row r="2181" ht="15.75" customHeight="1">
      <c r="A2181" s="1" t="s">
        <v>2218</v>
      </c>
      <c r="B2181" s="1" t="s">
        <v>24</v>
      </c>
      <c r="C2181" s="1">
        <v>0.0</v>
      </c>
      <c r="D2181" s="1" t="s">
        <v>26</v>
      </c>
      <c r="E2181" s="1" t="s">
        <v>26</v>
      </c>
      <c r="F2181" s="1">
        <v>5.0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1">
        <v>19.55</v>
      </c>
      <c r="T2181" s="1">
        <v>99.6</v>
      </c>
      <c r="U2181" s="1">
        <v>0.0</v>
      </c>
      <c r="V2181" s="1">
        <v>0.0</v>
      </c>
      <c r="W2181" s="1" t="s">
        <v>26</v>
      </c>
    </row>
    <row r="2182" ht="15.75" customHeight="1">
      <c r="A2182" s="1" t="s">
        <v>2219</v>
      </c>
      <c r="B2182" s="1" t="s">
        <v>32</v>
      </c>
      <c r="C2182" s="1">
        <v>1.0</v>
      </c>
      <c r="D2182" s="1" t="s">
        <v>25</v>
      </c>
      <c r="E2182" s="1" t="s">
        <v>26</v>
      </c>
      <c r="F2182" s="1">
        <v>71.0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1">
        <v>95.5</v>
      </c>
      <c r="T2182" s="1">
        <v>6707.15</v>
      </c>
      <c r="U2182" s="1">
        <v>0.0</v>
      </c>
      <c r="V2182" s="1">
        <v>0.0</v>
      </c>
      <c r="W2182" s="1" t="s">
        <v>26</v>
      </c>
    </row>
    <row r="2183" ht="15.75" customHeight="1">
      <c r="A2183" s="1" t="s">
        <v>2220</v>
      </c>
      <c r="B2183" s="1" t="s">
        <v>24</v>
      </c>
      <c r="C2183" s="1">
        <v>0.0</v>
      </c>
      <c r="D2183" s="1" t="s">
        <v>25</v>
      </c>
      <c r="E2183" s="1" t="s">
        <v>25</v>
      </c>
      <c r="F2183" s="1">
        <v>50.0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1">
        <v>84.15</v>
      </c>
      <c r="T2183" s="1">
        <v>4164.4</v>
      </c>
      <c r="U2183" s="1">
        <v>0.0</v>
      </c>
      <c r="V2183" s="1">
        <v>0.0</v>
      </c>
      <c r="W2183" s="1" t="s">
        <v>26</v>
      </c>
    </row>
    <row r="2184" ht="15.75" customHeight="1">
      <c r="A2184" s="1" t="s">
        <v>2221</v>
      </c>
      <c r="B2184" s="1" t="s">
        <v>32</v>
      </c>
      <c r="C2184" s="1">
        <v>0.0</v>
      </c>
      <c r="D2184" s="1" t="s">
        <v>25</v>
      </c>
      <c r="E2184" s="1" t="s">
        <v>25</v>
      </c>
      <c r="F2184" s="1">
        <v>56.0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1">
        <v>103.2</v>
      </c>
      <c r="T2184" s="1">
        <v>5873.75</v>
      </c>
      <c r="U2184" s="1">
        <v>0.0</v>
      </c>
      <c r="V2184" s="1">
        <v>0.0</v>
      </c>
      <c r="W2184" s="1" t="s">
        <v>26</v>
      </c>
    </row>
    <row r="2185" ht="15.75" customHeight="1">
      <c r="A2185" s="1" t="s">
        <v>2222</v>
      </c>
      <c r="B2185" s="1" t="s">
        <v>32</v>
      </c>
      <c r="C2185" s="1">
        <v>0.0</v>
      </c>
      <c r="D2185" s="1" t="s">
        <v>26</v>
      </c>
      <c r="E2185" s="1" t="s">
        <v>26</v>
      </c>
      <c r="F2185" s="1">
        <v>2.0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1">
        <v>50.2</v>
      </c>
      <c r="T2185" s="1">
        <v>109.25</v>
      </c>
      <c r="U2185" s="1">
        <v>4.0</v>
      </c>
      <c r="V2185" s="1">
        <v>0.0</v>
      </c>
      <c r="W2185" s="1" t="s">
        <v>26</v>
      </c>
    </row>
    <row r="2186" ht="15.75" customHeight="1">
      <c r="A2186" s="1" t="s">
        <v>2223</v>
      </c>
      <c r="B2186" s="1" t="s">
        <v>24</v>
      </c>
      <c r="C2186" s="1">
        <v>1.0</v>
      </c>
      <c r="D2186" s="1" t="s">
        <v>26</v>
      </c>
      <c r="E2186" s="1" t="s">
        <v>26</v>
      </c>
      <c r="F2186" s="1">
        <v>2.0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1">
        <v>88.55</v>
      </c>
      <c r="T2186" s="1">
        <v>179.25</v>
      </c>
      <c r="U2186" s="1">
        <v>0.0</v>
      </c>
      <c r="V2186" s="1">
        <v>0.0</v>
      </c>
      <c r="W2186" s="1" t="s">
        <v>25</v>
      </c>
    </row>
    <row r="2187" ht="15.75" customHeight="1">
      <c r="A2187" s="1" t="s">
        <v>2224</v>
      </c>
      <c r="B2187" s="1" t="s">
        <v>32</v>
      </c>
      <c r="C2187" s="1">
        <v>0.0</v>
      </c>
      <c r="D2187" s="1" t="s">
        <v>25</v>
      </c>
      <c r="E2187" s="1" t="s">
        <v>25</v>
      </c>
      <c r="F2187" s="1">
        <v>24.0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1">
        <v>54.75</v>
      </c>
      <c r="T2187" s="1">
        <v>1338.15</v>
      </c>
      <c r="U2187" s="1">
        <v>0.0</v>
      </c>
      <c r="V2187" s="1">
        <v>0.0</v>
      </c>
      <c r="W2187" s="1" t="s">
        <v>25</v>
      </c>
    </row>
    <row r="2188" ht="15.75" customHeight="1">
      <c r="A2188" s="1" t="s">
        <v>2225</v>
      </c>
      <c r="B2188" s="1" t="s">
        <v>32</v>
      </c>
      <c r="C2188" s="1">
        <v>0.0</v>
      </c>
      <c r="D2188" s="1" t="s">
        <v>25</v>
      </c>
      <c r="E2188" s="1" t="s">
        <v>25</v>
      </c>
      <c r="F2188" s="1">
        <v>46.0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1">
        <v>19.95</v>
      </c>
      <c r="T2188" s="1">
        <v>862.4</v>
      </c>
      <c r="U2188" s="1">
        <v>0.0</v>
      </c>
      <c r="V2188" s="1">
        <v>0.0</v>
      </c>
      <c r="W2188" s="1" t="s">
        <v>26</v>
      </c>
    </row>
    <row r="2189" ht="15.75" customHeight="1">
      <c r="A2189" s="1" t="s">
        <v>2226</v>
      </c>
      <c r="B2189" s="1" t="s">
        <v>32</v>
      </c>
      <c r="C2189" s="1">
        <v>0.0</v>
      </c>
      <c r="D2189" s="1" t="s">
        <v>25</v>
      </c>
      <c r="E2189" s="1" t="s">
        <v>26</v>
      </c>
      <c r="F2189" s="1">
        <v>71.0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1">
        <v>116.25</v>
      </c>
      <c r="T2189" s="1">
        <v>8564.75</v>
      </c>
      <c r="U2189" s="1">
        <v>0.0</v>
      </c>
      <c r="V2189" s="1">
        <v>0.0</v>
      </c>
      <c r="W2189" s="1" t="s">
        <v>26</v>
      </c>
    </row>
    <row r="2190" ht="15.75" customHeight="1">
      <c r="A2190" s="1" t="s">
        <v>2227</v>
      </c>
      <c r="B2190" s="1" t="s">
        <v>24</v>
      </c>
      <c r="C2190" s="1">
        <v>0.0</v>
      </c>
      <c r="D2190" s="1" t="s">
        <v>26</v>
      </c>
      <c r="E2190" s="1" t="s">
        <v>26</v>
      </c>
      <c r="F2190" s="1">
        <v>29.0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1">
        <v>31.2</v>
      </c>
      <c r="T2190" s="1">
        <v>926.2</v>
      </c>
      <c r="U2190" s="1">
        <v>0.0</v>
      </c>
      <c r="V2190" s="1">
        <v>2.0</v>
      </c>
      <c r="W2190" s="1" t="s">
        <v>26</v>
      </c>
    </row>
    <row r="2191" ht="15.75" customHeight="1">
      <c r="A2191" s="1" t="s">
        <v>2228</v>
      </c>
      <c r="B2191" s="1" t="s">
        <v>32</v>
      </c>
      <c r="C2191" s="1">
        <v>0.0</v>
      </c>
      <c r="D2191" s="1" t="s">
        <v>25</v>
      </c>
      <c r="E2191" s="1" t="s">
        <v>25</v>
      </c>
      <c r="F2191" s="1">
        <v>69.0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1">
        <v>24.45</v>
      </c>
      <c r="T2191" s="1">
        <v>1718.2</v>
      </c>
      <c r="U2191" s="1">
        <v>0.0</v>
      </c>
      <c r="V2191" s="1">
        <v>0.0</v>
      </c>
      <c r="W2191" s="1" t="s">
        <v>26</v>
      </c>
    </row>
    <row r="2192" ht="15.75" customHeight="1">
      <c r="A2192" s="1" t="s">
        <v>2229</v>
      </c>
      <c r="B2192" s="1" t="s">
        <v>32</v>
      </c>
      <c r="C2192" s="1">
        <v>0.0</v>
      </c>
      <c r="D2192" s="1" t="s">
        <v>25</v>
      </c>
      <c r="E2192" s="1" t="s">
        <v>26</v>
      </c>
      <c r="F2192" s="1">
        <v>71.0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1">
        <v>84.2</v>
      </c>
      <c r="T2192" s="1">
        <v>5956.85</v>
      </c>
      <c r="U2192" s="1">
        <v>0.0</v>
      </c>
      <c r="V2192" s="1">
        <v>0.0</v>
      </c>
      <c r="W2192" s="1" t="s">
        <v>26</v>
      </c>
    </row>
    <row r="2193" ht="15.75" customHeight="1">
      <c r="A2193" s="1" t="s">
        <v>2230</v>
      </c>
      <c r="B2193" s="1" t="s">
        <v>24</v>
      </c>
      <c r="C2193" s="1">
        <v>1.0</v>
      </c>
      <c r="D2193" s="1" t="s">
        <v>26</v>
      </c>
      <c r="E2193" s="1" t="s">
        <v>26</v>
      </c>
      <c r="F2193" s="1">
        <v>1.0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1">
        <v>91.3</v>
      </c>
      <c r="T2193" s="1">
        <v>91.3</v>
      </c>
      <c r="U2193" s="1">
        <v>0.0</v>
      </c>
      <c r="V2193" s="1">
        <v>1.0</v>
      </c>
      <c r="W2193" s="1" t="s">
        <v>25</v>
      </c>
    </row>
    <row r="2194" ht="15.75" customHeight="1">
      <c r="A2194" s="1" t="s">
        <v>2231</v>
      </c>
      <c r="B2194" s="1" t="s">
        <v>32</v>
      </c>
      <c r="C2194" s="1">
        <v>1.0</v>
      </c>
      <c r="D2194" s="1" t="s">
        <v>25</v>
      </c>
      <c r="E2194" s="1" t="s">
        <v>26</v>
      </c>
      <c r="F2194" s="1">
        <v>56.0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1">
        <v>85.65</v>
      </c>
      <c r="T2194" s="1">
        <v>4824.45</v>
      </c>
      <c r="U2194" s="1">
        <v>0.0</v>
      </c>
      <c r="V2194" s="1">
        <v>5.0</v>
      </c>
      <c r="W2194" s="1" t="s">
        <v>26</v>
      </c>
    </row>
    <row r="2195" ht="15.75" customHeight="1">
      <c r="A2195" s="1" t="s">
        <v>2232</v>
      </c>
      <c r="B2195" s="1" t="s">
        <v>32</v>
      </c>
      <c r="C2195" s="1">
        <v>0.0</v>
      </c>
      <c r="D2195" s="1" t="s">
        <v>26</v>
      </c>
      <c r="E2195" s="1" t="s">
        <v>25</v>
      </c>
      <c r="F2195" s="1">
        <v>56.0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1">
        <v>21.2</v>
      </c>
      <c r="T2195" s="1">
        <v>1238.65</v>
      </c>
      <c r="U2195" s="1">
        <v>0.0</v>
      </c>
      <c r="V2195" s="1">
        <v>0.0</v>
      </c>
      <c r="W2195" s="1" t="s">
        <v>26</v>
      </c>
    </row>
    <row r="2196" ht="15.75" customHeight="1">
      <c r="A2196" s="1" t="s">
        <v>2233</v>
      </c>
      <c r="B2196" s="1" t="s">
        <v>32</v>
      </c>
      <c r="C2196" s="1">
        <v>0.0</v>
      </c>
      <c r="D2196" s="1" t="s">
        <v>26</v>
      </c>
      <c r="E2196" s="1" t="s">
        <v>26</v>
      </c>
      <c r="F2196" s="1">
        <v>1.0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1">
        <v>79.5</v>
      </c>
      <c r="T2196" s="1">
        <v>79.5</v>
      </c>
      <c r="U2196" s="1">
        <v>5.0</v>
      </c>
      <c r="V2196" s="1">
        <v>0.0</v>
      </c>
      <c r="W2196" s="1" t="s">
        <v>25</v>
      </c>
    </row>
    <row r="2197" ht="15.75" customHeight="1">
      <c r="A2197" s="1" t="s">
        <v>2234</v>
      </c>
      <c r="B2197" s="1" t="s">
        <v>24</v>
      </c>
      <c r="C2197" s="1">
        <v>0.0</v>
      </c>
      <c r="D2197" s="1" t="s">
        <v>25</v>
      </c>
      <c r="E2197" s="1" t="s">
        <v>26</v>
      </c>
      <c r="F2197" s="1">
        <v>28.0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1">
        <v>25.55</v>
      </c>
      <c r="T2197" s="1">
        <v>672.2</v>
      </c>
      <c r="U2197" s="1">
        <v>0.0</v>
      </c>
      <c r="V2197" s="1">
        <v>0.0</v>
      </c>
      <c r="W2197" s="1" t="s">
        <v>26</v>
      </c>
    </row>
    <row r="2198" ht="15.75" customHeight="1">
      <c r="A2198" s="1" t="s">
        <v>2235</v>
      </c>
      <c r="B2198" s="1" t="s">
        <v>24</v>
      </c>
      <c r="C2198" s="1">
        <v>0.0</v>
      </c>
      <c r="D2198" s="1" t="s">
        <v>25</v>
      </c>
      <c r="E2198" s="1" t="s">
        <v>25</v>
      </c>
      <c r="F2198" s="1">
        <v>19.0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1">
        <v>20.2</v>
      </c>
      <c r="T2198" s="1">
        <v>382.2</v>
      </c>
      <c r="U2198" s="1">
        <v>0.0</v>
      </c>
      <c r="V2198" s="1">
        <v>0.0</v>
      </c>
      <c r="W2198" s="1" t="s">
        <v>26</v>
      </c>
    </row>
    <row r="2199" ht="15.75" customHeight="1">
      <c r="A2199" s="1" t="s">
        <v>2236</v>
      </c>
      <c r="B2199" s="1" t="s">
        <v>32</v>
      </c>
      <c r="C2199" s="1">
        <v>0.0</v>
      </c>
      <c r="D2199" s="1" t="s">
        <v>25</v>
      </c>
      <c r="E2199" s="1" t="s">
        <v>26</v>
      </c>
      <c r="F2199" s="1">
        <v>66.0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1">
        <v>63.85</v>
      </c>
      <c r="T2199" s="1">
        <v>4264.6</v>
      </c>
      <c r="U2199" s="1">
        <v>3.0</v>
      </c>
      <c r="V2199" s="1">
        <v>0.0</v>
      </c>
      <c r="W2199" s="1" t="s">
        <v>26</v>
      </c>
    </row>
    <row r="2200" ht="15.75" customHeight="1">
      <c r="A2200" s="1" t="s">
        <v>2237</v>
      </c>
      <c r="B2200" s="1" t="s">
        <v>24</v>
      </c>
      <c r="C2200" s="1">
        <v>0.0</v>
      </c>
      <c r="D2200" s="1" t="s">
        <v>25</v>
      </c>
      <c r="E2200" s="1" t="s">
        <v>25</v>
      </c>
      <c r="F2200" s="1">
        <v>17.0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1">
        <v>61.95</v>
      </c>
      <c r="T2200" s="1">
        <v>1070.7</v>
      </c>
      <c r="U2200" s="1">
        <v>0.0</v>
      </c>
      <c r="V2200" s="1">
        <v>0.0</v>
      </c>
      <c r="W2200" s="1" t="s">
        <v>26</v>
      </c>
    </row>
    <row r="2201" ht="15.75" customHeight="1">
      <c r="A2201" s="1" t="s">
        <v>2238</v>
      </c>
      <c r="B2201" s="1" t="s">
        <v>32</v>
      </c>
      <c r="C2201" s="1">
        <v>0.0</v>
      </c>
      <c r="D2201" s="1" t="s">
        <v>25</v>
      </c>
      <c r="E2201" s="1" t="s">
        <v>25</v>
      </c>
      <c r="F2201" s="1">
        <v>52.0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1">
        <v>25.75</v>
      </c>
      <c r="T2201" s="1">
        <v>1345.85</v>
      </c>
      <c r="U2201" s="1">
        <v>0.0</v>
      </c>
      <c r="V2201" s="1">
        <v>0.0</v>
      </c>
      <c r="W2201" s="1" t="s">
        <v>26</v>
      </c>
    </row>
    <row r="2202" ht="15.75" customHeight="1">
      <c r="A2202" s="1" t="s">
        <v>2239</v>
      </c>
      <c r="B2202" s="1" t="s">
        <v>24</v>
      </c>
      <c r="C2202" s="1">
        <v>0.0</v>
      </c>
      <c r="D2202" s="1" t="s">
        <v>26</v>
      </c>
      <c r="E2202" s="1" t="s">
        <v>26</v>
      </c>
      <c r="F2202" s="1">
        <v>19.0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1">
        <v>58.2</v>
      </c>
      <c r="T2202" s="1">
        <v>1045.25</v>
      </c>
      <c r="U2202" s="1">
        <v>0.0</v>
      </c>
      <c r="V2202" s="1">
        <v>0.0</v>
      </c>
      <c r="W2202" s="1" t="s">
        <v>26</v>
      </c>
    </row>
    <row r="2203" ht="15.75" customHeight="1">
      <c r="A2203" s="1" t="s">
        <v>2240</v>
      </c>
      <c r="B2203" s="1" t="s">
        <v>24</v>
      </c>
      <c r="C2203" s="1">
        <v>0.0</v>
      </c>
      <c r="D2203" s="1" t="s">
        <v>26</v>
      </c>
      <c r="E2203" s="1" t="s">
        <v>26</v>
      </c>
      <c r="F2203" s="1">
        <v>36.0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1">
        <v>85.85</v>
      </c>
      <c r="T2203" s="1">
        <v>3003.55</v>
      </c>
      <c r="U2203" s="1">
        <v>0.0</v>
      </c>
      <c r="V2203" s="1">
        <v>0.0</v>
      </c>
      <c r="W2203" s="1" t="s">
        <v>26</v>
      </c>
    </row>
    <row r="2204" ht="15.75" customHeight="1">
      <c r="A2204" s="1" t="s">
        <v>2241</v>
      </c>
      <c r="B2204" s="1" t="s">
        <v>32</v>
      </c>
      <c r="C2204" s="1">
        <v>1.0</v>
      </c>
      <c r="D2204" s="1" t="s">
        <v>25</v>
      </c>
      <c r="E2204" s="1" t="s">
        <v>26</v>
      </c>
      <c r="F2204" s="1">
        <v>7.0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1">
        <v>70.1</v>
      </c>
      <c r="T2204" s="1">
        <v>467.55</v>
      </c>
      <c r="U2204" s="1">
        <v>0.0</v>
      </c>
      <c r="V2204" s="1">
        <v>0.0</v>
      </c>
      <c r="W2204" s="1" t="s">
        <v>25</v>
      </c>
    </row>
    <row r="2205" ht="15.75" customHeight="1">
      <c r="A2205" s="1" t="s">
        <v>2242</v>
      </c>
      <c r="B2205" s="1" t="s">
        <v>32</v>
      </c>
      <c r="C2205" s="1">
        <v>0.0</v>
      </c>
      <c r="D2205" s="1" t="s">
        <v>25</v>
      </c>
      <c r="E2205" s="1" t="s">
        <v>25</v>
      </c>
      <c r="F2205" s="1">
        <v>72.0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1">
        <v>104.9</v>
      </c>
      <c r="T2205" s="1">
        <v>7537.5</v>
      </c>
      <c r="U2205" s="1">
        <v>0.0</v>
      </c>
      <c r="V2205" s="1">
        <v>0.0</v>
      </c>
      <c r="W2205" s="1" t="s">
        <v>26</v>
      </c>
    </row>
    <row r="2206" ht="15.75" customHeight="1">
      <c r="A2206" s="1" t="s">
        <v>2243</v>
      </c>
      <c r="B2206" s="1" t="s">
        <v>32</v>
      </c>
      <c r="C2206" s="1">
        <v>0.0</v>
      </c>
      <c r="D2206" s="1" t="s">
        <v>25</v>
      </c>
      <c r="E2206" s="1" t="s">
        <v>25</v>
      </c>
      <c r="F2206" s="1">
        <v>67.0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1">
        <v>111.3</v>
      </c>
      <c r="T2206" s="1">
        <v>7482.1</v>
      </c>
      <c r="U2206" s="1">
        <v>0.0</v>
      </c>
      <c r="V2206" s="1">
        <v>7.0</v>
      </c>
      <c r="W2206" s="1" t="s">
        <v>25</v>
      </c>
    </row>
    <row r="2207" ht="15.75" customHeight="1">
      <c r="A2207" s="1" t="s">
        <v>2244</v>
      </c>
      <c r="B2207" s="1" t="s">
        <v>32</v>
      </c>
      <c r="C2207" s="1">
        <v>1.0</v>
      </c>
      <c r="D2207" s="1" t="s">
        <v>26</v>
      </c>
      <c r="E2207" s="1" t="s">
        <v>26</v>
      </c>
      <c r="F2207" s="1">
        <v>34.0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1">
        <v>99.85</v>
      </c>
      <c r="T2207" s="1">
        <v>3343.15</v>
      </c>
      <c r="U2207" s="1">
        <v>0.0</v>
      </c>
      <c r="V2207" s="1">
        <v>0.0</v>
      </c>
      <c r="W2207" s="1" t="s">
        <v>26</v>
      </c>
    </row>
    <row r="2208" ht="15.75" customHeight="1">
      <c r="A2208" s="1" t="s">
        <v>2245</v>
      </c>
      <c r="B2208" s="1" t="s">
        <v>32</v>
      </c>
      <c r="C2208" s="1">
        <v>1.0</v>
      </c>
      <c r="D2208" s="1" t="s">
        <v>25</v>
      </c>
      <c r="E2208" s="1" t="s">
        <v>26</v>
      </c>
      <c r="F2208" s="1">
        <v>57.0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1">
        <v>95.25</v>
      </c>
      <c r="T2208" s="1">
        <v>5427.05</v>
      </c>
      <c r="U2208" s="1">
        <v>0.0</v>
      </c>
      <c r="V2208" s="1">
        <v>6.0</v>
      </c>
      <c r="W2208" s="1" t="s">
        <v>25</v>
      </c>
    </row>
    <row r="2209" ht="15.75" customHeight="1">
      <c r="A2209" s="1" t="s">
        <v>2246</v>
      </c>
      <c r="B2209" s="1" t="s">
        <v>24</v>
      </c>
      <c r="C2209" s="1">
        <v>0.0</v>
      </c>
      <c r="D2209" s="1" t="s">
        <v>25</v>
      </c>
      <c r="E2209" s="1" t="s">
        <v>26</v>
      </c>
      <c r="F2209" s="1">
        <v>7.0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1">
        <v>86.25</v>
      </c>
      <c r="T2209" s="1">
        <v>587.1</v>
      </c>
      <c r="U2209" s="1">
        <v>0.0</v>
      </c>
      <c r="V2209" s="1">
        <v>1.0</v>
      </c>
      <c r="W2209" s="1" t="s">
        <v>25</v>
      </c>
    </row>
    <row r="2210" ht="15.75" customHeight="1">
      <c r="A2210" s="1" t="s">
        <v>2247</v>
      </c>
      <c r="B2210" s="1" t="s">
        <v>24</v>
      </c>
      <c r="C2210" s="1">
        <v>1.0</v>
      </c>
      <c r="D2210" s="1" t="s">
        <v>25</v>
      </c>
      <c r="E2210" s="1" t="s">
        <v>26</v>
      </c>
      <c r="F2210" s="1">
        <v>1.0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1">
        <v>100.8</v>
      </c>
      <c r="T2210" s="1">
        <v>100.8</v>
      </c>
      <c r="U2210" s="1">
        <v>4.0</v>
      </c>
      <c r="V2210" s="1">
        <v>0.0</v>
      </c>
      <c r="W2210" s="1" t="s">
        <v>25</v>
      </c>
    </row>
    <row r="2211" ht="15.75" customHeight="1">
      <c r="A2211" s="1" t="s">
        <v>2248</v>
      </c>
      <c r="B2211" s="1" t="s">
        <v>32</v>
      </c>
      <c r="C2211" s="1">
        <v>0.0</v>
      </c>
      <c r="D2211" s="1" t="s">
        <v>25</v>
      </c>
      <c r="E2211" s="1" t="s">
        <v>26</v>
      </c>
      <c r="F2211" s="1">
        <v>8.0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1">
        <v>19.55</v>
      </c>
      <c r="T2211" s="1">
        <v>161.15</v>
      </c>
      <c r="U2211" s="1">
        <v>0.0</v>
      </c>
      <c r="V2211" s="1">
        <v>0.0</v>
      </c>
      <c r="W2211" s="1" t="s">
        <v>26</v>
      </c>
    </row>
    <row r="2212" ht="15.75" customHeight="1">
      <c r="A2212" s="1" t="s">
        <v>2249</v>
      </c>
      <c r="B2212" s="1" t="s">
        <v>24</v>
      </c>
      <c r="C2212" s="1">
        <v>0.0</v>
      </c>
      <c r="D2212" s="1" t="s">
        <v>26</v>
      </c>
      <c r="E2212" s="1" t="s">
        <v>26</v>
      </c>
      <c r="F2212" s="1">
        <v>69.0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1">
        <v>104.0</v>
      </c>
      <c r="T2212" s="1">
        <v>7028.5</v>
      </c>
      <c r="U2212" s="1">
        <v>0.0</v>
      </c>
      <c r="V2212" s="1">
        <v>0.0</v>
      </c>
      <c r="W2212" s="1" t="s">
        <v>26</v>
      </c>
    </row>
    <row r="2213" ht="15.75" customHeight="1">
      <c r="A2213" s="1" t="s">
        <v>2250</v>
      </c>
      <c r="B2213" s="1" t="s">
        <v>24</v>
      </c>
      <c r="C2213" s="1">
        <v>0.0</v>
      </c>
      <c r="D2213" s="1" t="s">
        <v>25</v>
      </c>
      <c r="E2213" s="1" t="s">
        <v>26</v>
      </c>
      <c r="F2213" s="1">
        <v>50.0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1">
        <v>104.4</v>
      </c>
      <c r="T2213" s="1">
        <v>5232.9</v>
      </c>
      <c r="U2213" s="1">
        <v>0.0</v>
      </c>
      <c r="V2213" s="1">
        <v>0.0</v>
      </c>
      <c r="W2213" s="1" t="s">
        <v>26</v>
      </c>
    </row>
    <row r="2214" ht="15.75" customHeight="1">
      <c r="A2214" s="1" t="s">
        <v>2251</v>
      </c>
      <c r="B2214" s="1" t="s">
        <v>32</v>
      </c>
      <c r="C2214" s="1">
        <v>0.0</v>
      </c>
      <c r="D2214" s="1" t="s">
        <v>26</v>
      </c>
      <c r="E2214" s="1" t="s">
        <v>26</v>
      </c>
      <c r="F2214" s="1">
        <v>10.0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1">
        <v>19.5</v>
      </c>
      <c r="T2214" s="1">
        <v>225.85</v>
      </c>
      <c r="U2214" s="1">
        <v>0.0</v>
      </c>
      <c r="V2214" s="1">
        <v>0.0</v>
      </c>
      <c r="W2214" s="1" t="s">
        <v>26</v>
      </c>
    </row>
    <row r="2215" ht="15.75" customHeight="1">
      <c r="A2215" s="1" t="s">
        <v>2252</v>
      </c>
      <c r="B2215" s="1" t="s">
        <v>24</v>
      </c>
      <c r="C2215" s="1">
        <v>0.0</v>
      </c>
      <c r="D2215" s="1" t="s">
        <v>25</v>
      </c>
      <c r="E2215" s="1" t="s">
        <v>25</v>
      </c>
      <c r="F2215" s="1">
        <v>12.0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1">
        <v>25.25</v>
      </c>
      <c r="T2215" s="1">
        <v>274.7</v>
      </c>
      <c r="U2215" s="1">
        <v>2.0</v>
      </c>
      <c r="V2215" s="1">
        <v>0.0</v>
      </c>
      <c r="W2215" s="1" t="s">
        <v>26</v>
      </c>
    </row>
    <row r="2216" ht="15.75" customHeight="1">
      <c r="A2216" s="1" t="s">
        <v>2253</v>
      </c>
      <c r="B2216" s="1" t="s">
        <v>24</v>
      </c>
      <c r="C2216" s="1">
        <v>0.0</v>
      </c>
      <c r="D2216" s="1" t="s">
        <v>26</v>
      </c>
      <c r="E2216" s="1" t="s">
        <v>26</v>
      </c>
      <c r="F2216" s="1">
        <v>14.0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1">
        <v>86.3</v>
      </c>
      <c r="T2216" s="1">
        <v>1180.95</v>
      </c>
      <c r="U2216" s="1">
        <v>3.0</v>
      </c>
      <c r="V2216" s="1">
        <v>1.0</v>
      </c>
      <c r="W2216" s="1" t="s">
        <v>25</v>
      </c>
    </row>
    <row r="2217" ht="15.75" customHeight="1">
      <c r="A2217" s="1" t="s">
        <v>2254</v>
      </c>
      <c r="B2217" s="1" t="s">
        <v>24</v>
      </c>
      <c r="C2217" s="1">
        <v>0.0</v>
      </c>
      <c r="D2217" s="1" t="s">
        <v>25</v>
      </c>
      <c r="E2217" s="1" t="s">
        <v>26</v>
      </c>
      <c r="F2217" s="1">
        <v>70.0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1">
        <v>49.85</v>
      </c>
      <c r="T2217" s="1">
        <v>3370.2</v>
      </c>
      <c r="U2217" s="1">
        <v>0.0</v>
      </c>
      <c r="V2217" s="1">
        <v>0.0</v>
      </c>
      <c r="W2217" s="1" t="s">
        <v>26</v>
      </c>
    </row>
    <row r="2218" ht="15.75" customHeight="1">
      <c r="A2218" s="1" t="s">
        <v>2255</v>
      </c>
      <c r="B2218" s="1" t="s">
        <v>24</v>
      </c>
      <c r="C2218" s="1">
        <v>1.0</v>
      </c>
      <c r="D2218" s="1" t="s">
        <v>26</v>
      </c>
      <c r="E2218" s="1" t="s">
        <v>26</v>
      </c>
      <c r="F2218" s="1">
        <v>64.0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1">
        <v>108.95</v>
      </c>
      <c r="T2218" s="1">
        <v>7111.3</v>
      </c>
      <c r="U2218" s="1">
        <v>0.0</v>
      </c>
      <c r="V2218" s="1">
        <v>0.0</v>
      </c>
      <c r="W2218" s="1" t="s">
        <v>26</v>
      </c>
    </row>
    <row r="2219" ht="15.75" customHeight="1">
      <c r="A2219" s="1" t="s">
        <v>2256</v>
      </c>
      <c r="B2219" s="1" t="s">
        <v>24</v>
      </c>
      <c r="C2219" s="1">
        <v>0.0</v>
      </c>
      <c r="D2219" s="1" t="s">
        <v>25</v>
      </c>
      <c r="E2219" s="1" t="s">
        <v>25</v>
      </c>
      <c r="F2219" s="1">
        <v>66.0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1">
        <v>89.9</v>
      </c>
      <c r="T2219" s="1">
        <v>5958.85</v>
      </c>
      <c r="U2219" s="1">
        <v>0.0</v>
      </c>
      <c r="V2219" s="1">
        <v>0.0</v>
      </c>
      <c r="W2219" s="1" t="s">
        <v>26</v>
      </c>
    </row>
    <row r="2220" ht="15.75" customHeight="1">
      <c r="A2220" s="1" t="s">
        <v>2257</v>
      </c>
      <c r="B2220" s="1" t="s">
        <v>24</v>
      </c>
      <c r="C2220" s="1">
        <v>0.0</v>
      </c>
      <c r="D2220" s="1" t="s">
        <v>25</v>
      </c>
      <c r="E2220" s="1" t="s">
        <v>25</v>
      </c>
      <c r="F2220" s="1">
        <v>71.0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1">
        <v>82.0</v>
      </c>
      <c r="T2220" s="1">
        <v>5999.85</v>
      </c>
      <c r="U2220" s="1">
        <v>0.0</v>
      </c>
      <c r="V2220" s="1">
        <v>0.0</v>
      </c>
      <c r="W2220" s="1" t="s">
        <v>26</v>
      </c>
    </row>
    <row r="2221" ht="15.75" customHeight="1">
      <c r="A2221" s="1" t="s">
        <v>2258</v>
      </c>
      <c r="B2221" s="1" t="s">
        <v>32</v>
      </c>
      <c r="C2221" s="1">
        <v>1.0</v>
      </c>
      <c r="D2221" s="1" t="s">
        <v>26</v>
      </c>
      <c r="E2221" s="1" t="s">
        <v>26</v>
      </c>
      <c r="F2221" s="1">
        <v>20.0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1">
        <v>89.95</v>
      </c>
      <c r="T2221" s="1">
        <v>1648.45</v>
      </c>
      <c r="U2221" s="1">
        <v>0.0</v>
      </c>
      <c r="V2221" s="1">
        <v>0.0</v>
      </c>
      <c r="W2221" s="1" t="s">
        <v>26</v>
      </c>
    </row>
    <row r="2222" ht="15.75" customHeight="1">
      <c r="A2222" s="1" t="s">
        <v>2259</v>
      </c>
      <c r="B2222" s="1" t="s">
        <v>32</v>
      </c>
      <c r="C2222" s="1">
        <v>0.0</v>
      </c>
      <c r="D2222" s="1" t="s">
        <v>25</v>
      </c>
      <c r="E2222" s="1" t="s">
        <v>26</v>
      </c>
      <c r="F2222" s="1">
        <v>72.0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1">
        <v>79.35</v>
      </c>
      <c r="T2222" s="1">
        <v>5753.25</v>
      </c>
      <c r="U2222" s="1">
        <v>0.0</v>
      </c>
      <c r="V2222" s="1">
        <v>0.0</v>
      </c>
      <c r="W2222" s="1" t="s">
        <v>26</v>
      </c>
    </row>
    <row r="2223" ht="15.75" customHeight="1">
      <c r="A2223" s="1" t="s">
        <v>2260</v>
      </c>
      <c r="B2223" s="1" t="s">
        <v>24</v>
      </c>
      <c r="C2223" s="1">
        <v>0.0</v>
      </c>
      <c r="D2223" s="1" t="s">
        <v>25</v>
      </c>
      <c r="E2223" s="1" t="s">
        <v>25</v>
      </c>
      <c r="F2223" s="1">
        <v>71.0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1">
        <v>64.05</v>
      </c>
      <c r="T2223" s="1">
        <v>4492.9</v>
      </c>
      <c r="U2223" s="1">
        <v>0.0</v>
      </c>
      <c r="V2223" s="1">
        <v>0.0</v>
      </c>
      <c r="W2223" s="1" t="s">
        <v>26</v>
      </c>
    </row>
    <row r="2224" ht="15.75" customHeight="1">
      <c r="A2224" s="1" t="s">
        <v>2261</v>
      </c>
      <c r="B2224" s="1" t="s">
        <v>32</v>
      </c>
      <c r="C2224" s="1">
        <v>0.0</v>
      </c>
      <c r="D2224" s="1" t="s">
        <v>25</v>
      </c>
      <c r="E2224" s="1" t="s">
        <v>25</v>
      </c>
      <c r="F2224" s="1">
        <v>38.0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1">
        <v>101.15</v>
      </c>
      <c r="T2224" s="1">
        <v>3956.7</v>
      </c>
      <c r="U2224" s="1">
        <v>0.0</v>
      </c>
      <c r="V2224" s="1">
        <v>0.0</v>
      </c>
      <c r="W2224" s="1" t="s">
        <v>26</v>
      </c>
    </row>
    <row r="2225" ht="15.75" customHeight="1">
      <c r="A2225" s="1" t="s">
        <v>2262</v>
      </c>
      <c r="B2225" s="1" t="s">
        <v>24</v>
      </c>
      <c r="C2225" s="1">
        <v>0.0</v>
      </c>
      <c r="D2225" s="1" t="s">
        <v>26</v>
      </c>
      <c r="E2225" s="1" t="s">
        <v>26</v>
      </c>
      <c r="F2225" s="1">
        <v>28.0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1">
        <v>89.95</v>
      </c>
      <c r="T2225" s="1">
        <v>2625.55</v>
      </c>
      <c r="U2225" s="1">
        <v>0.0</v>
      </c>
      <c r="V2225" s="1">
        <v>2.0</v>
      </c>
      <c r="W2225" s="1" t="s">
        <v>25</v>
      </c>
    </row>
    <row r="2226" ht="15.75" customHeight="1">
      <c r="A2226" s="1" t="s">
        <v>2263</v>
      </c>
      <c r="B2226" s="1" t="s">
        <v>32</v>
      </c>
      <c r="C2226" s="1">
        <v>1.0</v>
      </c>
      <c r="D2226" s="1" t="s">
        <v>25</v>
      </c>
      <c r="E2226" s="1" t="s">
        <v>26</v>
      </c>
      <c r="F2226" s="1">
        <v>17.0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1">
        <v>76.45</v>
      </c>
      <c r="T2226" s="1">
        <v>1233.4</v>
      </c>
      <c r="U2226" s="1">
        <v>0.0</v>
      </c>
      <c r="V2226" s="1">
        <v>0.0</v>
      </c>
      <c r="W2226" s="1" t="s">
        <v>25</v>
      </c>
    </row>
    <row r="2227" ht="15.75" customHeight="1">
      <c r="A2227" s="1" t="s">
        <v>2264</v>
      </c>
      <c r="B2227" s="1" t="s">
        <v>32</v>
      </c>
      <c r="C2227" s="1">
        <v>0.0</v>
      </c>
      <c r="D2227" s="1" t="s">
        <v>26</v>
      </c>
      <c r="E2227" s="1" t="s">
        <v>26</v>
      </c>
      <c r="F2227" s="1">
        <v>33.0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1">
        <v>39.1</v>
      </c>
      <c r="T2227" s="1">
        <v>1309.0</v>
      </c>
      <c r="U2227" s="1">
        <v>0.0</v>
      </c>
      <c r="V2227" s="1">
        <v>0.0</v>
      </c>
      <c r="W2227" s="1" t="s">
        <v>26</v>
      </c>
    </row>
    <row r="2228" ht="15.75" customHeight="1">
      <c r="A2228" s="1" t="s">
        <v>2265</v>
      </c>
      <c r="B2228" s="1" t="s">
        <v>24</v>
      </c>
      <c r="C2228" s="1">
        <v>0.0</v>
      </c>
      <c r="D2228" s="1" t="s">
        <v>25</v>
      </c>
      <c r="E2228" s="1" t="s">
        <v>25</v>
      </c>
      <c r="F2228" s="1">
        <v>23.0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1">
        <v>34.6</v>
      </c>
      <c r="T2228" s="1">
        <v>813.45</v>
      </c>
      <c r="U2228" s="1">
        <v>0.0</v>
      </c>
      <c r="V2228" s="1">
        <v>1.0</v>
      </c>
      <c r="W2228" s="1" t="s">
        <v>26</v>
      </c>
    </row>
    <row r="2229" ht="15.75" customHeight="1">
      <c r="A2229" s="1" t="s">
        <v>2266</v>
      </c>
      <c r="B2229" s="1" t="s">
        <v>32</v>
      </c>
      <c r="C2229" s="1">
        <v>0.0</v>
      </c>
      <c r="D2229" s="1" t="s">
        <v>25</v>
      </c>
      <c r="E2229" s="1" t="s">
        <v>25</v>
      </c>
      <c r="F2229" s="1">
        <v>58.0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1">
        <v>19.55</v>
      </c>
      <c r="T2229" s="1">
        <v>1108.8</v>
      </c>
      <c r="U2229" s="1">
        <v>3.0</v>
      </c>
      <c r="V2229" s="1">
        <v>0.0</v>
      </c>
      <c r="W2229" s="1" t="s">
        <v>26</v>
      </c>
    </row>
    <row r="2230" ht="15.75" customHeight="1">
      <c r="A2230" s="1" t="s">
        <v>2267</v>
      </c>
      <c r="B2230" s="1" t="s">
        <v>24</v>
      </c>
      <c r="C2230" s="1">
        <v>1.0</v>
      </c>
      <c r="D2230" s="1" t="s">
        <v>25</v>
      </c>
      <c r="E2230" s="1" t="s">
        <v>26</v>
      </c>
      <c r="F2230" s="1">
        <v>70.0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1">
        <v>104.45</v>
      </c>
      <c r="T2230" s="1">
        <v>7349.35</v>
      </c>
      <c r="U2230" s="1">
        <v>0.0</v>
      </c>
      <c r="V2230" s="1">
        <v>0.0</v>
      </c>
      <c r="W2230" s="1" t="s">
        <v>26</v>
      </c>
    </row>
    <row r="2231" ht="15.75" customHeight="1">
      <c r="A2231" s="1" t="s">
        <v>2268</v>
      </c>
      <c r="B2231" s="1" t="s">
        <v>32</v>
      </c>
      <c r="C2231" s="1">
        <v>0.0</v>
      </c>
      <c r="D2231" s="1" t="s">
        <v>25</v>
      </c>
      <c r="E2231" s="1" t="s">
        <v>26</v>
      </c>
      <c r="F2231" s="1">
        <v>4.0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1">
        <v>70.5</v>
      </c>
      <c r="T2231" s="1">
        <v>294.2</v>
      </c>
      <c r="U2231" s="1">
        <v>0.0</v>
      </c>
      <c r="V2231" s="1">
        <v>0.0</v>
      </c>
      <c r="W2231" s="1" t="s">
        <v>26</v>
      </c>
    </row>
    <row r="2232" ht="15.75" customHeight="1">
      <c r="A2232" s="1" t="s">
        <v>2269</v>
      </c>
      <c r="B2232" s="1" t="s">
        <v>32</v>
      </c>
      <c r="C2232" s="1">
        <v>0.0</v>
      </c>
      <c r="D2232" s="1" t="s">
        <v>25</v>
      </c>
      <c r="E2232" s="1" t="s">
        <v>25</v>
      </c>
      <c r="F2232" s="1">
        <v>45.0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1">
        <v>20.35</v>
      </c>
      <c r="T2232" s="1">
        <v>929.2</v>
      </c>
      <c r="U2232" s="1">
        <v>0.0</v>
      </c>
      <c r="V2232" s="1">
        <v>0.0</v>
      </c>
      <c r="W2232" s="1" t="s">
        <v>26</v>
      </c>
    </row>
    <row r="2233" ht="15.75" customHeight="1">
      <c r="A2233" s="1" t="s">
        <v>2270</v>
      </c>
      <c r="B2233" s="1" t="s">
        <v>32</v>
      </c>
      <c r="C2233" s="1">
        <v>0.0</v>
      </c>
      <c r="D2233" s="1" t="s">
        <v>26</v>
      </c>
      <c r="E2233" s="1" t="s">
        <v>26</v>
      </c>
      <c r="F2233" s="1">
        <v>10.0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1">
        <v>70.0</v>
      </c>
      <c r="T2233" s="1">
        <v>740.0</v>
      </c>
      <c r="U2233" s="1">
        <v>0.0</v>
      </c>
      <c r="V2233" s="1">
        <v>0.0</v>
      </c>
      <c r="W2233" s="1" t="s">
        <v>25</v>
      </c>
    </row>
    <row r="2234" ht="15.75" customHeight="1">
      <c r="A2234" s="1" t="s">
        <v>2271</v>
      </c>
      <c r="B2234" s="1" t="s">
        <v>32</v>
      </c>
      <c r="C2234" s="1">
        <v>0.0</v>
      </c>
      <c r="D2234" s="1" t="s">
        <v>25</v>
      </c>
      <c r="E2234" s="1" t="s">
        <v>25</v>
      </c>
      <c r="F2234" s="1">
        <v>36.0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1">
        <v>19.45</v>
      </c>
      <c r="T2234" s="1">
        <v>754.5</v>
      </c>
      <c r="U2234" s="1">
        <v>0.0</v>
      </c>
      <c r="V2234" s="1">
        <v>0.0</v>
      </c>
      <c r="W2234" s="1" t="s">
        <v>26</v>
      </c>
    </row>
    <row r="2235" ht="15.75" customHeight="1">
      <c r="A2235" s="1" t="s">
        <v>2272</v>
      </c>
      <c r="B2235" s="1" t="s">
        <v>32</v>
      </c>
      <c r="C2235" s="1">
        <v>0.0</v>
      </c>
      <c r="D2235" s="1" t="s">
        <v>26</v>
      </c>
      <c r="E2235" s="1" t="s">
        <v>26</v>
      </c>
      <c r="F2235" s="1">
        <v>54.0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1">
        <v>69.9</v>
      </c>
      <c r="T2235" s="1">
        <v>3883.3</v>
      </c>
      <c r="U2235" s="1">
        <v>0.0</v>
      </c>
      <c r="V2235" s="1">
        <v>4.0</v>
      </c>
      <c r="W2235" s="1" t="s">
        <v>26</v>
      </c>
    </row>
    <row r="2236" ht="15.75" customHeight="1">
      <c r="A2236" s="1" t="s">
        <v>2273</v>
      </c>
      <c r="B2236" s="1" t="s">
        <v>32</v>
      </c>
      <c r="C2236" s="1">
        <v>0.0</v>
      </c>
      <c r="D2236" s="1" t="s">
        <v>25</v>
      </c>
      <c r="E2236" s="1" t="s">
        <v>25</v>
      </c>
      <c r="F2236" s="1">
        <v>23.0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1">
        <v>59.7</v>
      </c>
      <c r="T2236" s="1">
        <v>1414.2</v>
      </c>
      <c r="U2236" s="1">
        <v>0.0</v>
      </c>
      <c r="V2236" s="1">
        <v>0.0</v>
      </c>
      <c r="W2236" s="1" t="s">
        <v>26</v>
      </c>
    </row>
    <row r="2237" ht="15.75" customHeight="1">
      <c r="A2237" s="1" t="s">
        <v>2274</v>
      </c>
      <c r="B2237" s="1" t="s">
        <v>24</v>
      </c>
      <c r="C2237" s="1">
        <v>0.0</v>
      </c>
      <c r="D2237" s="1" t="s">
        <v>25</v>
      </c>
      <c r="E2237" s="1" t="s">
        <v>25</v>
      </c>
      <c r="F2237" s="1">
        <v>41.0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1">
        <v>78.35</v>
      </c>
      <c r="T2237" s="1">
        <v>3211.2</v>
      </c>
      <c r="U2237" s="1">
        <v>0.0</v>
      </c>
      <c r="V2237" s="1">
        <v>0.0</v>
      </c>
      <c r="W2237" s="1" t="s">
        <v>26</v>
      </c>
    </row>
    <row r="2238" ht="15.75" customHeight="1">
      <c r="A2238" s="1" t="s">
        <v>2275</v>
      </c>
      <c r="B2238" s="1" t="s">
        <v>32</v>
      </c>
      <c r="C2238" s="1">
        <v>1.0</v>
      </c>
      <c r="D2238" s="1" t="s">
        <v>26</v>
      </c>
      <c r="E2238" s="1" t="s">
        <v>26</v>
      </c>
      <c r="F2238" s="1">
        <v>5.0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1">
        <v>71.45</v>
      </c>
      <c r="T2238" s="1">
        <v>371.6</v>
      </c>
      <c r="U2238" s="1">
        <v>5.0</v>
      </c>
      <c r="V2238" s="1">
        <v>0.0</v>
      </c>
      <c r="W2238" s="1" t="s">
        <v>26</v>
      </c>
    </row>
    <row r="2239" ht="15.75" customHeight="1">
      <c r="A2239" s="1" t="s">
        <v>2276</v>
      </c>
      <c r="B2239" s="1" t="s">
        <v>32</v>
      </c>
      <c r="C2239" s="1">
        <v>0.0</v>
      </c>
      <c r="D2239" s="1" t="s">
        <v>25</v>
      </c>
      <c r="E2239" s="1" t="s">
        <v>25</v>
      </c>
      <c r="F2239" s="1">
        <v>27.0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1">
        <v>45.85</v>
      </c>
      <c r="T2239" s="1">
        <v>1246.4</v>
      </c>
      <c r="U2239" s="1">
        <v>3.0</v>
      </c>
      <c r="V2239" s="1">
        <v>0.0</v>
      </c>
      <c r="W2239" s="1" t="s">
        <v>26</v>
      </c>
    </row>
    <row r="2240" ht="15.75" customHeight="1">
      <c r="A2240" s="1" t="s">
        <v>2277</v>
      </c>
      <c r="B2240" s="1" t="s">
        <v>24</v>
      </c>
      <c r="C2240" s="1">
        <v>0.0</v>
      </c>
      <c r="D2240" s="1" t="s">
        <v>26</v>
      </c>
      <c r="E2240" s="1" t="s">
        <v>26</v>
      </c>
      <c r="F2240" s="1">
        <v>1.0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1">
        <v>95.85</v>
      </c>
      <c r="T2240" s="1">
        <v>95.85</v>
      </c>
      <c r="U2240" s="1">
        <v>5.0</v>
      </c>
      <c r="V2240" s="1">
        <v>0.0</v>
      </c>
      <c r="W2240" s="1" t="s">
        <v>26</v>
      </c>
    </row>
    <row r="2241" ht="15.75" customHeight="1">
      <c r="A2241" s="1" t="s">
        <v>2278</v>
      </c>
      <c r="B2241" s="1" t="s">
        <v>24</v>
      </c>
      <c r="C2241" s="1">
        <v>0.0</v>
      </c>
      <c r="D2241" s="1" t="s">
        <v>25</v>
      </c>
      <c r="E2241" s="1" t="s">
        <v>25</v>
      </c>
      <c r="F2241" s="1">
        <v>67.0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1">
        <v>35.7</v>
      </c>
      <c r="T2241" s="1">
        <v>2545.7</v>
      </c>
      <c r="U2241" s="1">
        <v>0.0</v>
      </c>
      <c r="V2241" s="1">
        <v>3.0</v>
      </c>
      <c r="W2241" s="1" t="s">
        <v>26</v>
      </c>
    </row>
    <row r="2242" ht="15.75" customHeight="1">
      <c r="A2242" s="1" t="s">
        <v>2279</v>
      </c>
      <c r="B2242" s="1" t="s">
        <v>24</v>
      </c>
      <c r="C2242" s="1">
        <v>1.0</v>
      </c>
      <c r="D2242" s="1" t="s">
        <v>25</v>
      </c>
      <c r="E2242" s="1" t="s">
        <v>25</v>
      </c>
      <c r="F2242" s="1">
        <v>72.0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1">
        <v>89.55</v>
      </c>
      <c r="T2242" s="1">
        <v>6448.85</v>
      </c>
      <c r="U2242" s="1">
        <v>0.0</v>
      </c>
      <c r="V2242" s="1">
        <v>1.0</v>
      </c>
      <c r="W2242" s="1" t="s">
        <v>26</v>
      </c>
    </row>
    <row r="2243" ht="15.75" customHeight="1">
      <c r="A2243" s="1" t="s">
        <v>2280</v>
      </c>
      <c r="B2243" s="1" t="s">
        <v>24</v>
      </c>
      <c r="C2243" s="1">
        <v>0.0</v>
      </c>
      <c r="D2243" s="1" t="s">
        <v>25</v>
      </c>
      <c r="E2243" s="1" t="s">
        <v>25</v>
      </c>
      <c r="F2243" s="1">
        <v>56.0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1">
        <v>24.95</v>
      </c>
      <c r="T2243" s="1">
        <v>1468.9</v>
      </c>
      <c r="U2243" s="1">
        <v>0.0</v>
      </c>
      <c r="V2243" s="1">
        <v>2.0</v>
      </c>
      <c r="W2243" s="1" t="s">
        <v>26</v>
      </c>
    </row>
    <row r="2244" ht="15.75" customHeight="1">
      <c r="A2244" s="1" t="s">
        <v>2281</v>
      </c>
      <c r="B2244" s="1" t="s">
        <v>32</v>
      </c>
      <c r="C2244" s="1">
        <v>0.0</v>
      </c>
      <c r="D2244" s="1" t="s">
        <v>25</v>
      </c>
      <c r="E2244" s="1" t="s">
        <v>25</v>
      </c>
      <c r="F2244" s="1">
        <v>44.0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1">
        <v>24.85</v>
      </c>
      <c r="T2244" s="1">
        <v>1013.6</v>
      </c>
      <c r="U2244" s="1">
        <v>0.0</v>
      </c>
      <c r="V2244" s="1">
        <v>0.0</v>
      </c>
      <c r="W2244" s="1" t="s">
        <v>26</v>
      </c>
    </row>
    <row r="2245" ht="15.75" customHeight="1">
      <c r="A2245" s="1" t="s">
        <v>2282</v>
      </c>
      <c r="B2245" s="1" t="s">
        <v>24</v>
      </c>
      <c r="C2245" s="1">
        <v>1.0</v>
      </c>
      <c r="D2245" s="1" t="s">
        <v>25</v>
      </c>
      <c r="E2245" s="1" t="s">
        <v>26</v>
      </c>
      <c r="F2245" s="1">
        <v>66.0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1">
        <v>100.8</v>
      </c>
      <c r="T2245" s="1">
        <v>6690.75</v>
      </c>
      <c r="U2245" s="1">
        <v>4.0</v>
      </c>
      <c r="V2245" s="1">
        <v>0.0</v>
      </c>
      <c r="W2245" s="1" t="s">
        <v>26</v>
      </c>
    </row>
    <row r="2246" ht="15.75" customHeight="1">
      <c r="A2246" s="1" t="s">
        <v>2283</v>
      </c>
      <c r="B2246" s="1" t="s">
        <v>24</v>
      </c>
      <c r="C2246" s="1">
        <v>0.0</v>
      </c>
      <c r="D2246" s="1" t="s">
        <v>26</v>
      </c>
      <c r="E2246" s="1" t="s">
        <v>26</v>
      </c>
      <c r="F2246" s="1">
        <v>34.0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1">
        <v>64.4</v>
      </c>
      <c r="T2246" s="1">
        <v>2088.75</v>
      </c>
      <c r="U2246" s="1">
        <v>0.0</v>
      </c>
      <c r="V2246" s="1">
        <v>5.0</v>
      </c>
      <c r="W2246" s="1" t="s">
        <v>25</v>
      </c>
    </row>
    <row r="2247" ht="15.75" customHeight="1">
      <c r="A2247" s="1" t="s">
        <v>2284</v>
      </c>
      <c r="B2247" s="1" t="s">
        <v>24</v>
      </c>
      <c r="C2247" s="1">
        <v>0.0</v>
      </c>
      <c r="D2247" s="1" t="s">
        <v>25</v>
      </c>
      <c r="E2247" s="1" t="s">
        <v>26</v>
      </c>
      <c r="F2247" s="1">
        <v>69.0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1">
        <v>105.35</v>
      </c>
      <c r="T2247" s="1">
        <v>7240.65</v>
      </c>
      <c r="U2247" s="1">
        <v>1.0</v>
      </c>
      <c r="V2247" s="1">
        <v>0.0</v>
      </c>
      <c r="W2247" s="1" t="s">
        <v>26</v>
      </c>
    </row>
    <row r="2248" ht="15.75" customHeight="1">
      <c r="A2248" s="1" t="s">
        <v>2285</v>
      </c>
      <c r="B2248" s="1" t="s">
        <v>24</v>
      </c>
      <c r="C2248" s="1">
        <v>0.0</v>
      </c>
      <c r="D2248" s="1" t="s">
        <v>25</v>
      </c>
      <c r="E2248" s="1" t="s">
        <v>25</v>
      </c>
      <c r="F2248" s="1">
        <v>1.0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1">
        <v>102.45</v>
      </c>
      <c r="T2248" s="1">
        <v>102.45</v>
      </c>
      <c r="U2248" s="1">
        <v>0.0</v>
      </c>
      <c r="V2248" s="1">
        <v>0.0</v>
      </c>
      <c r="W2248" s="1" t="s">
        <v>25</v>
      </c>
    </row>
    <row r="2249" ht="15.75" customHeight="1">
      <c r="A2249" s="1" t="s">
        <v>2286</v>
      </c>
      <c r="B2249" s="1" t="s">
        <v>24</v>
      </c>
      <c r="C2249" s="1">
        <v>0.0</v>
      </c>
      <c r="D2249" s="1" t="s">
        <v>26</v>
      </c>
      <c r="E2249" s="1" t="s">
        <v>26</v>
      </c>
      <c r="F2249" s="1">
        <v>40.0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1">
        <v>19.65</v>
      </c>
      <c r="T2249" s="1">
        <v>830.25</v>
      </c>
      <c r="U2249" s="1">
        <v>0.0</v>
      </c>
      <c r="V2249" s="1">
        <v>0.0</v>
      </c>
      <c r="W2249" s="1" t="s">
        <v>26</v>
      </c>
    </row>
    <row r="2250" ht="15.75" customHeight="1">
      <c r="A2250" s="1" t="s">
        <v>2287</v>
      </c>
      <c r="B2250" s="1" t="s">
        <v>32</v>
      </c>
      <c r="C2250" s="1">
        <v>0.0</v>
      </c>
      <c r="D2250" s="1" t="s">
        <v>25</v>
      </c>
      <c r="E2250" s="1" t="s">
        <v>25</v>
      </c>
      <c r="F2250" s="1">
        <v>30.0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1">
        <v>54.45</v>
      </c>
      <c r="T2250" s="1">
        <v>1588.7</v>
      </c>
      <c r="U2250" s="1">
        <v>0.0</v>
      </c>
      <c r="V2250" s="1">
        <v>0.0</v>
      </c>
      <c r="W2250" s="1" t="s">
        <v>26</v>
      </c>
    </row>
    <row r="2251" ht="15.75" customHeight="1">
      <c r="A2251" s="1" t="s">
        <v>2288</v>
      </c>
      <c r="B2251" s="1" t="s">
        <v>24</v>
      </c>
      <c r="C2251" s="1">
        <v>0.0</v>
      </c>
      <c r="D2251" s="1" t="s">
        <v>26</v>
      </c>
      <c r="E2251" s="1" t="s">
        <v>26</v>
      </c>
      <c r="F2251" s="1">
        <v>11.0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1">
        <v>70.5</v>
      </c>
      <c r="T2251" s="1">
        <v>829.3</v>
      </c>
      <c r="U2251" s="1">
        <v>0.0</v>
      </c>
      <c r="V2251" s="1">
        <v>0.0</v>
      </c>
      <c r="W2251" s="1" t="s">
        <v>26</v>
      </c>
    </row>
    <row r="2252" ht="15.75" customHeight="1">
      <c r="A2252" s="1" t="s">
        <v>2289</v>
      </c>
      <c r="B2252" s="1" t="s">
        <v>24</v>
      </c>
      <c r="C2252" s="1">
        <v>0.0</v>
      </c>
      <c r="D2252" s="1" t="s">
        <v>26</v>
      </c>
      <c r="E2252" s="1" t="s">
        <v>26</v>
      </c>
      <c r="F2252" s="1">
        <v>15.0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1">
        <v>20.1</v>
      </c>
      <c r="T2252" s="1">
        <v>302.45</v>
      </c>
      <c r="U2252" s="1">
        <v>5.0</v>
      </c>
      <c r="V2252" s="1">
        <v>0.0</v>
      </c>
      <c r="W2252" s="1" t="s">
        <v>26</v>
      </c>
    </row>
    <row r="2253" ht="15.75" customHeight="1">
      <c r="A2253" s="1" t="s">
        <v>2290</v>
      </c>
      <c r="B2253" s="1" t="s">
        <v>32</v>
      </c>
      <c r="C2253" s="1">
        <v>0.0</v>
      </c>
      <c r="D2253" s="1" t="s">
        <v>26</v>
      </c>
      <c r="E2253" s="1" t="s">
        <v>26</v>
      </c>
      <c r="F2253" s="1">
        <v>11.0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1">
        <v>69.35</v>
      </c>
      <c r="T2253" s="1">
        <v>712.25</v>
      </c>
      <c r="U2253" s="1">
        <v>0.0</v>
      </c>
      <c r="V2253" s="1">
        <v>0.0</v>
      </c>
      <c r="W2253" s="1" t="s">
        <v>26</v>
      </c>
    </row>
    <row r="2254" ht="15.75" customHeight="1">
      <c r="A2254" s="1" t="s">
        <v>2291</v>
      </c>
      <c r="B2254" s="1" t="s">
        <v>24</v>
      </c>
      <c r="C2254" s="1">
        <v>0.0</v>
      </c>
      <c r="D2254" s="1" t="s">
        <v>25</v>
      </c>
      <c r="E2254" s="1" t="s">
        <v>25</v>
      </c>
      <c r="F2254" s="1">
        <v>64.0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1">
        <v>19.8</v>
      </c>
      <c r="T2254" s="1">
        <v>1336.65</v>
      </c>
      <c r="U2254" s="1">
        <v>0.0</v>
      </c>
      <c r="V2254" s="1">
        <v>0.0</v>
      </c>
      <c r="W2254" s="1" t="s">
        <v>26</v>
      </c>
    </row>
    <row r="2255" ht="15.75" customHeight="1">
      <c r="A2255" s="1" t="s">
        <v>2292</v>
      </c>
      <c r="B2255" s="1" t="s">
        <v>32</v>
      </c>
      <c r="C2255" s="1">
        <v>1.0</v>
      </c>
      <c r="D2255" s="1" t="s">
        <v>25</v>
      </c>
      <c r="E2255" s="1" t="s">
        <v>26</v>
      </c>
      <c r="F2255" s="1">
        <v>72.0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1">
        <v>74.4</v>
      </c>
      <c r="T2255" s="1">
        <v>5360.75</v>
      </c>
      <c r="U2255" s="1">
        <v>0.0</v>
      </c>
      <c r="V2255" s="1">
        <v>0.0</v>
      </c>
      <c r="W2255" s="1" t="s">
        <v>26</v>
      </c>
    </row>
    <row r="2256" ht="15.75" customHeight="1">
      <c r="A2256" s="1" t="s">
        <v>2293</v>
      </c>
      <c r="B2256" s="1" t="s">
        <v>32</v>
      </c>
      <c r="C2256" s="1">
        <v>1.0</v>
      </c>
      <c r="D2256" s="1" t="s">
        <v>25</v>
      </c>
      <c r="E2256" s="1" t="s">
        <v>26</v>
      </c>
      <c r="F2256" s="1">
        <v>72.0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1">
        <v>93.05</v>
      </c>
      <c r="T2256" s="1">
        <v>6735.05</v>
      </c>
      <c r="U2256" s="1">
        <v>5.0</v>
      </c>
      <c r="V2256" s="1">
        <v>0.0</v>
      </c>
      <c r="W2256" s="1" t="s">
        <v>26</v>
      </c>
    </row>
    <row r="2257" ht="15.75" customHeight="1">
      <c r="A2257" s="1" t="s">
        <v>2294</v>
      </c>
      <c r="B2257" s="1" t="s">
        <v>24</v>
      </c>
      <c r="C2257" s="1">
        <v>0.0</v>
      </c>
      <c r="D2257" s="1" t="s">
        <v>26</v>
      </c>
      <c r="E2257" s="1" t="s">
        <v>25</v>
      </c>
      <c r="F2257" s="1">
        <v>1.0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1">
        <v>51.2</v>
      </c>
      <c r="T2257" s="1">
        <v>51.2</v>
      </c>
      <c r="U2257" s="1">
        <v>0.0</v>
      </c>
      <c r="V2257" s="1">
        <v>0.0</v>
      </c>
      <c r="W2257" s="1" t="s">
        <v>26</v>
      </c>
    </row>
    <row r="2258" ht="15.75" customHeight="1">
      <c r="A2258" s="1" t="s">
        <v>2295</v>
      </c>
      <c r="B2258" s="1" t="s">
        <v>24</v>
      </c>
      <c r="C2258" s="1">
        <v>0.0</v>
      </c>
      <c r="D2258" s="1" t="s">
        <v>26</v>
      </c>
      <c r="E2258" s="1" t="s">
        <v>25</v>
      </c>
      <c r="F2258" s="1">
        <v>15.0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1">
        <v>65.6</v>
      </c>
      <c r="T2258" s="1">
        <v>1010.0</v>
      </c>
      <c r="U2258" s="1">
        <v>0.0</v>
      </c>
      <c r="V2258" s="1">
        <v>0.0</v>
      </c>
      <c r="W2258" s="1" t="s">
        <v>26</v>
      </c>
    </row>
    <row r="2259" ht="15.75" customHeight="1">
      <c r="A2259" s="1" t="s">
        <v>2296</v>
      </c>
      <c r="B2259" s="1" t="s">
        <v>24</v>
      </c>
      <c r="C2259" s="1">
        <v>0.0</v>
      </c>
      <c r="D2259" s="1" t="s">
        <v>26</v>
      </c>
      <c r="E2259" s="1" t="s">
        <v>26</v>
      </c>
      <c r="F2259" s="1">
        <v>60.0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1">
        <v>80.55</v>
      </c>
      <c r="T2259" s="1">
        <v>4847.05</v>
      </c>
      <c r="U2259" s="1">
        <v>0.0</v>
      </c>
      <c r="V2259" s="1">
        <v>0.0</v>
      </c>
      <c r="W2259" s="1" t="s">
        <v>26</v>
      </c>
    </row>
    <row r="2260" ht="15.75" customHeight="1">
      <c r="A2260" s="1" t="s">
        <v>2297</v>
      </c>
      <c r="B2260" s="1" t="s">
        <v>32</v>
      </c>
      <c r="C2260" s="1">
        <v>0.0</v>
      </c>
      <c r="D2260" s="1" t="s">
        <v>26</v>
      </c>
      <c r="E2260" s="1" t="s">
        <v>26</v>
      </c>
      <c r="F2260" s="1">
        <v>56.0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1">
        <v>52.7</v>
      </c>
      <c r="T2260" s="1">
        <v>3019.7</v>
      </c>
      <c r="U2260" s="1">
        <v>0.0</v>
      </c>
      <c r="V2260" s="1">
        <v>0.0</v>
      </c>
      <c r="W2260" s="1" t="s">
        <v>26</v>
      </c>
    </row>
    <row r="2261" ht="15.75" customHeight="1">
      <c r="A2261" s="1" t="s">
        <v>2298</v>
      </c>
      <c r="B2261" s="1" t="s">
        <v>24</v>
      </c>
      <c r="C2261" s="1">
        <v>0.0</v>
      </c>
      <c r="D2261" s="1" t="s">
        <v>26</v>
      </c>
      <c r="E2261" s="1" t="s">
        <v>26</v>
      </c>
      <c r="F2261" s="1">
        <v>8.0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1">
        <v>20.85</v>
      </c>
      <c r="T2261" s="1">
        <v>161.65</v>
      </c>
      <c r="U2261" s="1">
        <v>5.0</v>
      </c>
      <c r="V2261" s="1">
        <v>0.0</v>
      </c>
      <c r="W2261" s="1" t="s">
        <v>26</v>
      </c>
    </row>
    <row r="2262" ht="15.75" customHeight="1">
      <c r="A2262" s="1" t="s">
        <v>2299</v>
      </c>
      <c r="B2262" s="1" t="s">
        <v>24</v>
      </c>
      <c r="C2262" s="1">
        <v>0.0</v>
      </c>
      <c r="D2262" s="1" t="s">
        <v>26</v>
      </c>
      <c r="E2262" s="1" t="s">
        <v>26</v>
      </c>
      <c r="F2262" s="1">
        <v>3.0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1">
        <v>80.1</v>
      </c>
      <c r="T2262" s="1">
        <v>217.55</v>
      </c>
      <c r="U2262" s="1">
        <v>0.0</v>
      </c>
      <c r="V2262" s="1">
        <v>0.0</v>
      </c>
      <c r="W2262" s="1" t="s">
        <v>25</v>
      </c>
    </row>
    <row r="2263" ht="15.75" customHeight="1">
      <c r="A2263" s="1" t="s">
        <v>2300</v>
      </c>
      <c r="B2263" s="1" t="s">
        <v>24</v>
      </c>
      <c r="C2263" s="1">
        <v>0.0</v>
      </c>
      <c r="D2263" s="1" t="s">
        <v>25</v>
      </c>
      <c r="E2263" s="1" t="s">
        <v>26</v>
      </c>
      <c r="F2263" s="1">
        <v>49.0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1">
        <v>52.15</v>
      </c>
      <c r="T2263" s="1">
        <v>2583.75</v>
      </c>
      <c r="U2263" s="1">
        <v>0.0</v>
      </c>
      <c r="V2263" s="1">
        <v>0.0</v>
      </c>
      <c r="W2263" s="1" t="s">
        <v>26</v>
      </c>
    </row>
    <row r="2264" ht="15.75" customHeight="1">
      <c r="A2264" s="1" t="s">
        <v>2301</v>
      </c>
      <c r="B2264" s="1" t="s">
        <v>24</v>
      </c>
      <c r="C2264" s="1">
        <v>0.0</v>
      </c>
      <c r="D2264" s="1" t="s">
        <v>26</v>
      </c>
      <c r="E2264" s="1" t="s">
        <v>26</v>
      </c>
      <c r="F2264" s="1">
        <v>2.0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1">
        <v>80.2</v>
      </c>
      <c r="T2264" s="1">
        <v>146.05</v>
      </c>
      <c r="U2264" s="1">
        <v>0.0</v>
      </c>
      <c r="V2264" s="1">
        <v>0.0</v>
      </c>
      <c r="W2264" s="1" t="s">
        <v>25</v>
      </c>
    </row>
    <row r="2265" ht="15.75" customHeight="1">
      <c r="A2265" s="1" t="s">
        <v>2302</v>
      </c>
      <c r="B2265" s="1" t="s">
        <v>24</v>
      </c>
      <c r="C2265" s="1">
        <v>0.0</v>
      </c>
      <c r="D2265" s="1" t="s">
        <v>26</v>
      </c>
      <c r="E2265" s="1" t="s">
        <v>26</v>
      </c>
      <c r="F2265" s="1">
        <v>6.0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1">
        <v>98.15</v>
      </c>
      <c r="T2265" s="1">
        <v>567.45</v>
      </c>
      <c r="U2265" s="1">
        <v>0.0</v>
      </c>
      <c r="V2265" s="1">
        <v>0.0</v>
      </c>
      <c r="W2265" s="1" t="s">
        <v>25</v>
      </c>
    </row>
    <row r="2266" ht="15.75" customHeight="1">
      <c r="A2266" s="1" t="s">
        <v>2303</v>
      </c>
      <c r="B2266" s="1" t="s">
        <v>32</v>
      </c>
      <c r="C2266" s="1">
        <v>0.0</v>
      </c>
      <c r="D2266" s="1" t="s">
        <v>26</v>
      </c>
      <c r="E2266" s="1" t="s">
        <v>26</v>
      </c>
      <c r="F2266" s="1">
        <v>70.0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1">
        <v>114.95</v>
      </c>
      <c r="T2266" s="1">
        <v>7711.25</v>
      </c>
      <c r="U2266" s="1">
        <v>0.0</v>
      </c>
      <c r="V2266" s="1">
        <v>0.0</v>
      </c>
      <c r="W2266" s="1" t="s">
        <v>26</v>
      </c>
    </row>
    <row r="2267" ht="15.75" customHeight="1">
      <c r="A2267" s="1" t="s">
        <v>2304</v>
      </c>
      <c r="B2267" s="1" t="s">
        <v>32</v>
      </c>
      <c r="C2267" s="1">
        <v>0.0</v>
      </c>
      <c r="D2267" s="1" t="s">
        <v>26</v>
      </c>
      <c r="E2267" s="1" t="s">
        <v>26</v>
      </c>
      <c r="F2267" s="1">
        <v>12.0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1">
        <v>112.95</v>
      </c>
      <c r="T2267" s="1">
        <v>1384.75</v>
      </c>
      <c r="U2267" s="1">
        <v>0.0</v>
      </c>
      <c r="V2267" s="1">
        <v>0.0</v>
      </c>
      <c r="W2267" s="1" t="s">
        <v>25</v>
      </c>
    </row>
    <row r="2268" ht="15.75" customHeight="1">
      <c r="A2268" s="1" t="s">
        <v>2305</v>
      </c>
      <c r="B2268" s="1" t="s">
        <v>32</v>
      </c>
      <c r="C2268" s="1">
        <v>1.0</v>
      </c>
      <c r="D2268" s="1" t="s">
        <v>25</v>
      </c>
      <c r="E2268" s="1" t="s">
        <v>26</v>
      </c>
      <c r="F2268" s="1">
        <v>52.0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1">
        <v>104.45</v>
      </c>
      <c r="T2268" s="1">
        <v>5481.25</v>
      </c>
      <c r="U2268" s="1">
        <v>0.0</v>
      </c>
      <c r="V2268" s="1">
        <v>4.0</v>
      </c>
      <c r="W2268" s="1" t="s">
        <v>26</v>
      </c>
    </row>
    <row r="2269" ht="15.75" customHeight="1">
      <c r="A2269" s="1" t="s">
        <v>2306</v>
      </c>
      <c r="B2269" s="1" t="s">
        <v>24</v>
      </c>
      <c r="C2269" s="1">
        <v>0.0</v>
      </c>
      <c r="D2269" s="1" t="s">
        <v>25</v>
      </c>
      <c r="E2269" s="1" t="s">
        <v>26</v>
      </c>
      <c r="F2269" s="1">
        <v>72.0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1">
        <v>113.65</v>
      </c>
      <c r="T2269" s="1">
        <v>8124.2</v>
      </c>
      <c r="U2269" s="1">
        <v>0.0</v>
      </c>
      <c r="V2269" s="1">
        <v>0.0</v>
      </c>
      <c r="W2269" s="1" t="s">
        <v>26</v>
      </c>
    </row>
    <row r="2270" ht="15.75" customHeight="1">
      <c r="A2270" s="1" t="s">
        <v>2307</v>
      </c>
      <c r="B2270" s="1" t="s">
        <v>24</v>
      </c>
      <c r="C2270" s="1">
        <v>0.0</v>
      </c>
      <c r="D2270" s="1" t="s">
        <v>26</v>
      </c>
      <c r="E2270" s="1" t="s">
        <v>26</v>
      </c>
      <c r="F2270" s="1">
        <v>40.0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1">
        <v>20.6</v>
      </c>
      <c r="T2270" s="1">
        <v>827.3</v>
      </c>
      <c r="U2270" s="1">
        <v>0.0</v>
      </c>
      <c r="V2270" s="1">
        <v>0.0</v>
      </c>
      <c r="W2270" s="1" t="s">
        <v>26</v>
      </c>
    </row>
    <row r="2271" ht="15.75" customHeight="1">
      <c r="A2271" s="1" t="s">
        <v>2308</v>
      </c>
      <c r="B2271" s="1" t="s">
        <v>24</v>
      </c>
      <c r="C2271" s="1">
        <v>0.0</v>
      </c>
      <c r="D2271" s="1" t="s">
        <v>26</v>
      </c>
      <c r="E2271" s="1" t="s">
        <v>26</v>
      </c>
      <c r="F2271" s="1">
        <v>1.0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1">
        <v>70.9</v>
      </c>
      <c r="T2271" s="1">
        <v>70.9</v>
      </c>
      <c r="U2271" s="1">
        <v>0.0</v>
      </c>
      <c r="V2271" s="1">
        <v>0.0</v>
      </c>
      <c r="W2271" s="1" t="s">
        <v>25</v>
      </c>
    </row>
    <row r="2272" ht="15.75" customHeight="1">
      <c r="A2272" s="1" t="s">
        <v>2309</v>
      </c>
      <c r="B2272" s="1" t="s">
        <v>24</v>
      </c>
      <c r="C2272" s="1">
        <v>1.0</v>
      </c>
      <c r="D2272" s="1" t="s">
        <v>26</v>
      </c>
      <c r="E2272" s="1" t="s">
        <v>26</v>
      </c>
      <c r="F2272" s="1">
        <v>3.0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1">
        <v>86.85</v>
      </c>
      <c r="T2272" s="1">
        <v>220.95</v>
      </c>
      <c r="U2272" s="1">
        <v>1.0</v>
      </c>
      <c r="V2272" s="1">
        <v>0.0</v>
      </c>
      <c r="W2272" s="1" t="s">
        <v>25</v>
      </c>
    </row>
    <row r="2273" ht="15.75" customHeight="1">
      <c r="A2273" s="1" t="s">
        <v>2310</v>
      </c>
      <c r="B2273" s="1" t="s">
        <v>24</v>
      </c>
      <c r="C2273" s="1">
        <v>1.0</v>
      </c>
      <c r="D2273" s="1" t="s">
        <v>26</v>
      </c>
      <c r="E2273" s="1" t="s">
        <v>26</v>
      </c>
      <c r="F2273" s="1">
        <v>40.0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1">
        <v>91.55</v>
      </c>
      <c r="T2273" s="1">
        <v>3673.6</v>
      </c>
      <c r="U2273" s="1">
        <v>0.0</v>
      </c>
      <c r="V2273" s="1">
        <v>0.0</v>
      </c>
      <c r="W2273" s="1" t="s">
        <v>26</v>
      </c>
    </row>
    <row r="2274" ht="15.75" customHeight="1">
      <c r="A2274" s="1" t="s">
        <v>2311</v>
      </c>
      <c r="B2274" s="1" t="s">
        <v>32</v>
      </c>
      <c r="C2274" s="1">
        <v>0.0</v>
      </c>
      <c r="D2274" s="1" t="s">
        <v>26</v>
      </c>
      <c r="E2274" s="1" t="s">
        <v>25</v>
      </c>
      <c r="F2274" s="1">
        <v>1.0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1">
        <v>49.85</v>
      </c>
      <c r="T2274" s="1">
        <v>49.85</v>
      </c>
      <c r="U2274" s="1">
        <v>0.0</v>
      </c>
      <c r="V2274" s="1">
        <v>0.0</v>
      </c>
      <c r="W2274" s="1" t="s">
        <v>26</v>
      </c>
    </row>
    <row r="2275" ht="15.75" customHeight="1">
      <c r="A2275" s="1" t="s">
        <v>2312</v>
      </c>
      <c r="B2275" s="1" t="s">
        <v>32</v>
      </c>
      <c r="C2275" s="1">
        <v>0.0</v>
      </c>
      <c r="D2275" s="1" t="s">
        <v>25</v>
      </c>
      <c r="E2275" s="1" t="s">
        <v>26</v>
      </c>
      <c r="F2275" s="1">
        <v>30.0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1">
        <v>19.8</v>
      </c>
      <c r="T2275" s="1">
        <v>576.65</v>
      </c>
      <c r="U2275" s="1">
        <v>0.0</v>
      </c>
      <c r="V2275" s="1">
        <v>0.0</v>
      </c>
      <c r="W2275" s="1" t="s">
        <v>26</v>
      </c>
    </row>
    <row r="2276" ht="15.75" customHeight="1">
      <c r="A2276" s="1" t="s">
        <v>2313</v>
      </c>
      <c r="B2276" s="1" t="s">
        <v>32</v>
      </c>
      <c r="C2276" s="1">
        <v>0.0</v>
      </c>
      <c r="D2276" s="1" t="s">
        <v>25</v>
      </c>
      <c r="E2276" s="1" t="s">
        <v>25</v>
      </c>
      <c r="F2276" s="1">
        <v>23.0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1">
        <v>99.85</v>
      </c>
      <c r="T2276" s="1">
        <v>2331.3</v>
      </c>
      <c r="U2276" s="1">
        <v>0.0</v>
      </c>
      <c r="V2276" s="1">
        <v>4.0</v>
      </c>
      <c r="W2276" s="1" t="s">
        <v>25</v>
      </c>
    </row>
    <row r="2277" ht="15.75" customHeight="1">
      <c r="A2277" s="1" t="s">
        <v>2314</v>
      </c>
      <c r="B2277" s="1" t="s">
        <v>32</v>
      </c>
      <c r="C2277" s="1">
        <v>0.0</v>
      </c>
      <c r="D2277" s="1" t="s">
        <v>25</v>
      </c>
      <c r="E2277" s="1" t="s">
        <v>25</v>
      </c>
      <c r="F2277" s="1">
        <v>1.0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1">
        <v>74.5</v>
      </c>
      <c r="T2277" s="1">
        <v>74.5</v>
      </c>
      <c r="U2277" s="1">
        <v>0.0</v>
      </c>
      <c r="V2277" s="1">
        <v>0.0</v>
      </c>
      <c r="W2277" s="1" t="s">
        <v>25</v>
      </c>
    </row>
    <row r="2278" ht="15.75" customHeight="1">
      <c r="A2278" s="1" t="s">
        <v>2315</v>
      </c>
      <c r="B2278" s="1" t="s">
        <v>24</v>
      </c>
      <c r="C2278" s="1">
        <v>1.0</v>
      </c>
      <c r="D2278" s="1" t="s">
        <v>25</v>
      </c>
      <c r="E2278" s="1" t="s">
        <v>26</v>
      </c>
      <c r="F2278" s="1">
        <v>44.0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1">
        <v>104.15</v>
      </c>
      <c r="T2278" s="1">
        <v>4495.65</v>
      </c>
      <c r="U2278" s="1">
        <v>0.0</v>
      </c>
      <c r="V2278" s="1">
        <v>0.0</v>
      </c>
      <c r="W2278" s="1" t="s">
        <v>26</v>
      </c>
    </row>
    <row r="2279" ht="15.75" customHeight="1">
      <c r="A2279" s="1" t="s">
        <v>2316</v>
      </c>
      <c r="B2279" s="1" t="s">
        <v>32</v>
      </c>
      <c r="C2279" s="1">
        <v>0.0</v>
      </c>
      <c r="D2279" s="1" t="s">
        <v>26</v>
      </c>
      <c r="E2279" s="1" t="s">
        <v>26</v>
      </c>
      <c r="F2279" s="1">
        <v>65.0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1">
        <v>109.15</v>
      </c>
      <c r="T2279" s="1">
        <v>6941.2</v>
      </c>
      <c r="U2279" s="1">
        <v>0.0</v>
      </c>
      <c r="V2279" s="1">
        <v>6.0</v>
      </c>
      <c r="W2279" s="1" t="s">
        <v>25</v>
      </c>
    </row>
    <row r="2280" ht="15.75" customHeight="1">
      <c r="A2280" s="1" t="s">
        <v>2317</v>
      </c>
      <c r="B2280" s="1" t="s">
        <v>24</v>
      </c>
      <c r="C2280" s="1">
        <v>1.0</v>
      </c>
      <c r="D2280" s="1" t="s">
        <v>26</v>
      </c>
      <c r="E2280" s="1" t="s">
        <v>26</v>
      </c>
      <c r="F2280" s="1">
        <v>7.0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1">
        <v>48.2</v>
      </c>
      <c r="T2280" s="1">
        <v>340.35</v>
      </c>
      <c r="U2280" s="1">
        <v>0.0</v>
      </c>
      <c r="V2280" s="1">
        <v>0.0</v>
      </c>
      <c r="W2280" s="1" t="s">
        <v>26</v>
      </c>
    </row>
    <row r="2281" ht="15.75" customHeight="1">
      <c r="A2281" s="1" t="s">
        <v>2318</v>
      </c>
      <c r="B2281" s="1" t="s">
        <v>32</v>
      </c>
      <c r="C2281" s="1">
        <v>1.0</v>
      </c>
      <c r="D2281" s="1" t="s">
        <v>26</v>
      </c>
      <c r="E2281" s="1" t="s">
        <v>26</v>
      </c>
      <c r="F2281" s="1">
        <v>72.0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1">
        <v>25.1</v>
      </c>
      <c r="T2281" s="1">
        <v>1789.9</v>
      </c>
      <c r="U2281" s="1">
        <v>0.0</v>
      </c>
      <c r="V2281" s="1">
        <v>0.0</v>
      </c>
      <c r="W2281" s="1" t="s">
        <v>26</v>
      </c>
    </row>
    <row r="2282" ht="15.75" customHeight="1">
      <c r="A2282" s="1" t="s">
        <v>2319</v>
      </c>
      <c r="B2282" s="1" t="s">
        <v>24</v>
      </c>
      <c r="C2282" s="1">
        <v>1.0</v>
      </c>
      <c r="D2282" s="1" t="s">
        <v>26</v>
      </c>
      <c r="E2282" s="1" t="s">
        <v>26</v>
      </c>
      <c r="F2282" s="1">
        <v>8.0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1">
        <v>100.15</v>
      </c>
      <c r="T2282" s="1">
        <v>908.55</v>
      </c>
      <c r="U2282" s="1">
        <v>5.0</v>
      </c>
      <c r="V2282" s="1">
        <v>0.0</v>
      </c>
      <c r="W2282" s="1" t="s">
        <v>26</v>
      </c>
    </row>
    <row r="2283" ht="15.75" customHeight="1">
      <c r="A2283" s="1" t="s">
        <v>2320</v>
      </c>
      <c r="B2283" s="1" t="s">
        <v>24</v>
      </c>
      <c r="C2283" s="1">
        <v>0.0</v>
      </c>
      <c r="D2283" s="1" t="s">
        <v>26</v>
      </c>
      <c r="E2283" s="1" t="s">
        <v>26</v>
      </c>
      <c r="F2283" s="1">
        <v>16.0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1">
        <v>65.2</v>
      </c>
      <c r="T2283" s="1">
        <v>1043.35</v>
      </c>
      <c r="U2283" s="1">
        <v>0.0</v>
      </c>
      <c r="V2283" s="1">
        <v>2.0</v>
      </c>
      <c r="W2283" s="1" t="s">
        <v>25</v>
      </c>
    </row>
    <row r="2284" ht="15.75" customHeight="1">
      <c r="A2284" s="1" t="s">
        <v>2321</v>
      </c>
      <c r="B2284" s="1" t="s">
        <v>32</v>
      </c>
      <c r="C2284" s="1">
        <v>1.0</v>
      </c>
      <c r="D2284" s="1" t="s">
        <v>25</v>
      </c>
      <c r="E2284" s="1" t="s">
        <v>25</v>
      </c>
      <c r="F2284" s="1">
        <v>66.0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1">
        <v>99.5</v>
      </c>
      <c r="T2284" s="1">
        <v>6822.15</v>
      </c>
      <c r="U2284" s="1">
        <v>0.0</v>
      </c>
      <c r="V2284" s="1">
        <v>5.0</v>
      </c>
      <c r="W2284" s="1" t="s">
        <v>25</v>
      </c>
    </row>
    <row r="2285" ht="15.75" customHeight="1">
      <c r="A2285" s="1" t="s">
        <v>2322</v>
      </c>
      <c r="B2285" s="1" t="s">
        <v>32</v>
      </c>
      <c r="C2285" s="1">
        <v>0.0</v>
      </c>
      <c r="D2285" s="1" t="s">
        <v>26</v>
      </c>
      <c r="E2285" s="1" t="s">
        <v>26</v>
      </c>
      <c r="F2285" s="1">
        <v>1.0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1">
        <v>71.55</v>
      </c>
      <c r="T2285" s="1">
        <v>71.55</v>
      </c>
      <c r="U2285" s="1">
        <v>0.0</v>
      </c>
      <c r="V2285" s="1">
        <v>0.0</v>
      </c>
      <c r="W2285" s="1" t="s">
        <v>25</v>
      </c>
    </row>
    <row r="2286" ht="15.75" customHeight="1">
      <c r="A2286" s="1" t="s">
        <v>2323</v>
      </c>
      <c r="B2286" s="1" t="s">
        <v>32</v>
      </c>
      <c r="C2286" s="1">
        <v>0.0</v>
      </c>
      <c r="D2286" s="1" t="s">
        <v>26</v>
      </c>
      <c r="E2286" s="1" t="s">
        <v>25</v>
      </c>
      <c r="F2286" s="1">
        <v>3.0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1">
        <v>55.9</v>
      </c>
      <c r="T2286" s="1">
        <v>157.55</v>
      </c>
      <c r="U2286" s="1">
        <v>0.0</v>
      </c>
      <c r="V2286" s="1">
        <v>0.0</v>
      </c>
      <c r="W2286" s="1" t="s">
        <v>26</v>
      </c>
    </row>
    <row r="2287" ht="15.75" customHeight="1">
      <c r="A2287" s="1" t="s">
        <v>2324</v>
      </c>
      <c r="B2287" s="1" t="s">
        <v>32</v>
      </c>
      <c r="C2287" s="1">
        <v>0.0</v>
      </c>
      <c r="D2287" s="1" t="s">
        <v>25</v>
      </c>
      <c r="E2287" s="1" t="s">
        <v>26</v>
      </c>
      <c r="F2287" s="1">
        <v>53.0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1">
        <v>93.9</v>
      </c>
      <c r="T2287" s="1">
        <v>5029.2</v>
      </c>
      <c r="U2287" s="1">
        <v>0.0</v>
      </c>
      <c r="V2287" s="1">
        <v>5.0</v>
      </c>
      <c r="W2287" s="1" t="s">
        <v>25</v>
      </c>
    </row>
    <row r="2288" ht="15.75" customHeight="1">
      <c r="A2288" s="1" t="s">
        <v>2325</v>
      </c>
      <c r="B2288" s="1" t="s">
        <v>32</v>
      </c>
      <c r="C2288" s="1">
        <v>1.0</v>
      </c>
      <c r="D2288" s="1" t="s">
        <v>25</v>
      </c>
      <c r="E2288" s="1" t="s">
        <v>26</v>
      </c>
      <c r="F2288" s="1">
        <v>8.0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1">
        <v>64.4</v>
      </c>
      <c r="T2288" s="1">
        <v>581.7</v>
      </c>
      <c r="U2288" s="1">
        <v>0.0</v>
      </c>
      <c r="V2288" s="1">
        <v>0.0</v>
      </c>
      <c r="W2288" s="1" t="s">
        <v>26</v>
      </c>
    </row>
    <row r="2289" ht="15.75" customHeight="1">
      <c r="A2289" s="1" t="s">
        <v>2326</v>
      </c>
      <c r="B2289" s="1" t="s">
        <v>32</v>
      </c>
      <c r="C2289" s="1">
        <v>1.0</v>
      </c>
      <c r="D2289" s="1" t="s">
        <v>25</v>
      </c>
      <c r="E2289" s="1" t="s">
        <v>26</v>
      </c>
      <c r="F2289" s="1">
        <v>69.0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1">
        <v>108.4</v>
      </c>
      <c r="T2289" s="1">
        <v>7318.2</v>
      </c>
      <c r="U2289" s="1">
        <v>0.0</v>
      </c>
      <c r="V2289" s="1">
        <v>7.0</v>
      </c>
      <c r="W2289" s="1" t="s">
        <v>25</v>
      </c>
    </row>
    <row r="2290" ht="15.75" customHeight="1">
      <c r="A2290" s="1" t="s">
        <v>2327</v>
      </c>
      <c r="B2290" s="1" t="s">
        <v>24</v>
      </c>
      <c r="C2290" s="1">
        <v>0.0</v>
      </c>
      <c r="D2290" s="1" t="s">
        <v>26</v>
      </c>
      <c r="E2290" s="1" t="s">
        <v>26</v>
      </c>
      <c r="F2290" s="1">
        <v>5.0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1">
        <v>85.3</v>
      </c>
      <c r="T2290" s="1">
        <v>420.45</v>
      </c>
      <c r="U2290" s="1">
        <v>0.0</v>
      </c>
      <c r="V2290" s="1">
        <v>0.0</v>
      </c>
      <c r="W2290" s="1" t="s">
        <v>26</v>
      </c>
    </row>
    <row r="2291" ht="15.75" customHeight="1">
      <c r="A2291" s="1" t="s">
        <v>2328</v>
      </c>
      <c r="B2291" s="1" t="s">
        <v>24</v>
      </c>
      <c r="C2291" s="1">
        <v>0.0</v>
      </c>
      <c r="D2291" s="1" t="s">
        <v>25</v>
      </c>
      <c r="E2291" s="1" t="s">
        <v>25</v>
      </c>
      <c r="F2291" s="1">
        <v>72.0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1">
        <v>107.45</v>
      </c>
      <c r="T2291" s="1">
        <v>7576.7</v>
      </c>
      <c r="U2291" s="1">
        <v>0.0</v>
      </c>
      <c r="V2291" s="1">
        <v>0.0</v>
      </c>
      <c r="W2291" s="1" t="s">
        <v>26</v>
      </c>
    </row>
    <row r="2292" ht="15.75" customHeight="1">
      <c r="A2292" s="1" t="s">
        <v>2329</v>
      </c>
      <c r="B2292" s="1" t="s">
        <v>24</v>
      </c>
      <c r="C2292" s="1">
        <v>0.0</v>
      </c>
      <c r="D2292" s="1" t="s">
        <v>25</v>
      </c>
      <c r="E2292" s="1" t="s">
        <v>26</v>
      </c>
      <c r="F2292" s="1">
        <v>13.0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1">
        <v>48.75</v>
      </c>
      <c r="T2292" s="1">
        <v>633.4</v>
      </c>
      <c r="U2292" s="1">
        <v>0.0</v>
      </c>
      <c r="V2292" s="1">
        <v>1.0</v>
      </c>
      <c r="W2292" s="1" t="s">
        <v>25</v>
      </c>
    </row>
    <row r="2293" ht="15.75" customHeight="1">
      <c r="A2293" s="1" t="s">
        <v>2330</v>
      </c>
      <c r="B2293" s="1" t="s">
        <v>24</v>
      </c>
      <c r="C2293" s="1">
        <v>0.0</v>
      </c>
      <c r="D2293" s="1" t="s">
        <v>26</v>
      </c>
      <c r="E2293" s="1" t="s">
        <v>26</v>
      </c>
      <c r="F2293" s="1">
        <v>4.0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1">
        <v>85.65</v>
      </c>
      <c r="T2293" s="1">
        <v>321.65</v>
      </c>
      <c r="U2293" s="1">
        <v>0.0</v>
      </c>
      <c r="V2293" s="1">
        <v>0.0</v>
      </c>
      <c r="W2293" s="1" t="s">
        <v>25</v>
      </c>
    </row>
    <row r="2294" ht="15.75" customHeight="1">
      <c r="A2294" s="1" t="s">
        <v>2331</v>
      </c>
      <c r="B2294" s="1" t="s">
        <v>24</v>
      </c>
      <c r="C2294" s="1">
        <v>0.0</v>
      </c>
      <c r="D2294" s="1" t="s">
        <v>25</v>
      </c>
      <c r="E2294" s="1" t="s">
        <v>25</v>
      </c>
      <c r="F2294" s="1">
        <v>54.0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1">
        <v>91.3</v>
      </c>
      <c r="T2294" s="1">
        <v>4965.0</v>
      </c>
      <c r="U2294" s="1">
        <v>0.0</v>
      </c>
      <c r="V2294" s="1">
        <v>0.0</v>
      </c>
      <c r="W2294" s="1" t="s">
        <v>26</v>
      </c>
    </row>
    <row r="2295" ht="15.75" customHeight="1">
      <c r="A2295" s="1" t="s">
        <v>2332</v>
      </c>
      <c r="B2295" s="1" t="s">
        <v>32</v>
      </c>
      <c r="C2295" s="1">
        <v>0.0</v>
      </c>
      <c r="D2295" s="1" t="s">
        <v>25</v>
      </c>
      <c r="E2295" s="1" t="s">
        <v>26</v>
      </c>
      <c r="F2295" s="1">
        <v>72.0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1">
        <v>85.95</v>
      </c>
      <c r="T2295" s="1">
        <v>6151.9</v>
      </c>
      <c r="U2295" s="1">
        <v>0.0</v>
      </c>
      <c r="V2295" s="1">
        <v>0.0</v>
      </c>
      <c r="W2295" s="1" t="s">
        <v>26</v>
      </c>
    </row>
    <row r="2296" ht="15.75" customHeight="1">
      <c r="A2296" s="1" t="s">
        <v>2333</v>
      </c>
      <c r="B2296" s="1" t="s">
        <v>32</v>
      </c>
      <c r="C2296" s="1">
        <v>0.0</v>
      </c>
      <c r="D2296" s="1" t="s">
        <v>26</v>
      </c>
      <c r="E2296" s="1" t="s">
        <v>26</v>
      </c>
      <c r="F2296" s="1">
        <v>12.0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1">
        <v>106.7</v>
      </c>
      <c r="T2296" s="1">
        <v>1253.9</v>
      </c>
      <c r="U2296" s="1">
        <v>0.0</v>
      </c>
      <c r="V2296" s="1">
        <v>2.0</v>
      </c>
      <c r="W2296" s="1" t="s">
        <v>25</v>
      </c>
    </row>
    <row r="2297" ht="15.75" customHeight="1">
      <c r="A2297" s="1" t="s">
        <v>2334</v>
      </c>
      <c r="B2297" s="1" t="s">
        <v>32</v>
      </c>
      <c r="C2297" s="1">
        <v>0.0</v>
      </c>
      <c r="D2297" s="1" t="s">
        <v>26</v>
      </c>
      <c r="E2297" s="1" t="s">
        <v>26</v>
      </c>
      <c r="F2297" s="1">
        <v>1.0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1">
        <v>25.15</v>
      </c>
      <c r="T2297" s="1">
        <v>25.15</v>
      </c>
      <c r="U2297" s="1">
        <v>0.0</v>
      </c>
      <c r="V2297" s="1">
        <v>0.0</v>
      </c>
      <c r="W2297" s="1" t="s">
        <v>25</v>
      </c>
    </row>
    <row r="2298" ht="15.75" customHeight="1">
      <c r="A2298" s="1" t="s">
        <v>2335</v>
      </c>
      <c r="B2298" s="1" t="s">
        <v>32</v>
      </c>
      <c r="C2298" s="1">
        <v>1.0</v>
      </c>
      <c r="D2298" s="1" t="s">
        <v>26</v>
      </c>
      <c r="E2298" s="1" t="s">
        <v>26</v>
      </c>
      <c r="F2298" s="1">
        <v>1.0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1">
        <v>45.2</v>
      </c>
      <c r="T2298" s="1">
        <v>45.2</v>
      </c>
      <c r="U2298" s="1">
        <v>5.0</v>
      </c>
      <c r="V2298" s="1">
        <v>0.0</v>
      </c>
      <c r="W2298" s="1" t="s">
        <v>26</v>
      </c>
    </row>
    <row r="2299" ht="15.75" customHeight="1">
      <c r="A2299" s="1" t="s">
        <v>2336</v>
      </c>
      <c r="B2299" s="1" t="s">
        <v>24</v>
      </c>
      <c r="C2299" s="1">
        <v>0.0</v>
      </c>
      <c r="D2299" s="1" t="s">
        <v>25</v>
      </c>
      <c r="E2299" s="1" t="s">
        <v>26</v>
      </c>
      <c r="F2299" s="1">
        <v>54.0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1">
        <v>110.35</v>
      </c>
      <c r="T2299" s="1">
        <v>5893.15</v>
      </c>
      <c r="U2299" s="1">
        <v>0.0</v>
      </c>
      <c r="V2299" s="1">
        <v>5.0</v>
      </c>
      <c r="W2299" s="1" t="s">
        <v>25</v>
      </c>
    </row>
    <row r="2300" ht="15.75" customHeight="1">
      <c r="A2300" s="1" t="s">
        <v>2337</v>
      </c>
      <c r="B2300" s="1" t="s">
        <v>32</v>
      </c>
      <c r="C2300" s="1">
        <v>0.0</v>
      </c>
      <c r="D2300" s="1" t="s">
        <v>25</v>
      </c>
      <c r="E2300" s="1" t="s">
        <v>25</v>
      </c>
      <c r="F2300" s="1">
        <v>69.0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1">
        <v>79.2</v>
      </c>
      <c r="T2300" s="1">
        <v>5420.65</v>
      </c>
      <c r="U2300" s="1">
        <v>5.0</v>
      </c>
      <c r="V2300" s="1">
        <v>0.0</v>
      </c>
      <c r="W2300" s="1" t="s">
        <v>26</v>
      </c>
    </row>
    <row r="2301" ht="15.75" customHeight="1">
      <c r="A2301" s="1" t="s">
        <v>2338</v>
      </c>
      <c r="B2301" s="1" t="s">
        <v>24</v>
      </c>
      <c r="C2301" s="1">
        <v>0.0</v>
      </c>
      <c r="D2301" s="1" t="s">
        <v>26</v>
      </c>
      <c r="E2301" s="1" t="s">
        <v>26</v>
      </c>
      <c r="F2301" s="1">
        <v>48.0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1">
        <v>55.5</v>
      </c>
      <c r="T2301" s="1">
        <v>2627.35</v>
      </c>
      <c r="U2301" s="1">
        <v>0.0</v>
      </c>
      <c r="V2301" s="1">
        <v>0.0</v>
      </c>
      <c r="W2301" s="1" t="s">
        <v>26</v>
      </c>
    </row>
    <row r="2302" ht="15.75" customHeight="1">
      <c r="A2302" s="1" t="s">
        <v>2339</v>
      </c>
      <c r="B2302" s="1" t="s">
        <v>24</v>
      </c>
      <c r="C2302" s="1">
        <v>0.0</v>
      </c>
      <c r="D2302" s="1" t="s">
        <v>25</v>
      </c>
      <c r="E2302" s="1" t="s">
        <v>25</v>
      </c>
      <c r="F2302" s="1">
        <v>48.0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1">
        <v>103.25</v>
      </c>
      <c r="T2302" s="1">
        <v>5037.55</v>
      </c>
      <c r="U2302" s="1">
        <v>0.0</v>
      </c>
      <c r="V2302" s="1">
        <v>3.0</v>
      </c>
      <c r="W2302" s="1" t="s">
        <v>25</v>
      </c>
    </row>
    <row r="2303" ht="15.75" customHeight="1">
      <c r="A2303" s="1" t="s">
        <v>2340</v>
      </c>
      <c r="B2303" s="1" t="s">
        <v>24</v>
      </c>
      <c r="C2303" s="1">
        <v>0.0</v>
      </c>
      <c r="D2303" s="1" t="s">
        <v>25</v>
      </c>
      <c r="E2303" s="1" t="s">
        <v>26</v>
      </c>
      <c r="F2303" s="1">
        <v>8.0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1">
        <v>90.25</v>
      </c>
      <c r="T2303" s="1">
        <v>743.75</v>
      </c>
      <c r="U2303" s="1">
        <v>0.0</v>
      </c>
      <c r="V2303" s="1">
        <v>0.0</v>
      </c>
      <c r="W2303" s="1" t="s">
        <v>26</v>
      </c>
    </row>
    <row r="2304" ht="15.75" customHeight="1">
      <c r="A2304" s="1" t="s">
        <v>2341</v>
      </c>
      <c r="B2304" s="1" t="s">
        <v>32</v>
      </c>
      <c r="C2304" s="1">
        <v>0.0</v>
      </c>
      <c r="D2304" s="1" t="s">
        <v>25</v>
      </c>
      <c r="E2304" s="1" t="s">
        <v>25</v>
      </c>
      <c r="F2304" s="1">
        <v>71.0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1">
        <v>91.25</v>
      </c>
      <c r="T2304" s="1">
        <v>6589.6</v>
      </c>
      <c r="U2304" s="1">
        <v>0.0</v>
      </c>
      <c r="V2304" s="1">
        <v>0.0</v>
      </c>
      <c r="W2304" s="1" t="s">
        <v>26</v>
      </c>
    </row>
    <row r="2305" ht="15.75" customHeight="1">
      <c r="A2305" s="1" t="s">
        <v>2342</v>
      </c>
      <c r="B2305" s="1" t="s">
        <v>32</v>
      </c>
      <c r="C2305" s="1">
        <v>0.0</v>
      </c>
      <c r="D2305" s="1" t="s">
        <v>26</v>
      </c>
      <c r="E2305" s="1" t="s">
        <v>26</v>
      </c>
      <c r="F2305" s="1">
        <v>2.0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1">
        <v>47.8</v>
      </c>
      <c r="T2305" s="1">
        <v>92.45</v>
      </c>
      <c r="U2305" s="1">
        <v>0.0</v>
      </c>
      <c r="V2305" s="1">
        <v>0.0</v>
      </c>
      <c r="W2305" s="1" t="s">
        <v>25</v>
      </c>
    </row>
    <row r="2306" ht="15.75" customHeight="1">
      <c r="A2306" s="1" t="s">
        <v>2343</v>
      </c>
      <c r="B2306" s="1" t="s">
        <v>32</v>
      </c>
      <c r="C2306" s="1">
        <v>0.0</v>
      </c>
      <c r="D2306" s="1" t="s">
        <v>25</v>
      </c>
      <c r="E2306" s="1" t="s">
        <v>26</v>
      </c>
      <c r="F2306" s="1">
        <v>67.0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1">
        <v>100.9</v>
      </c>
      <c r="T2306" s="1">
        <v>6733.15</v>
      </c>
      <c r="U2306" s="1">
        <v>0.0</v>
      </c>
      <c r="V2306" s="1">
        <v>0.0</v>
      </c>
      <c r="W2306" s="1" t="s">
        <v>26</v>
      </c>
    </row>
    <row r="2307" ht="15.75" customHeight="1">
      <c r="A2307" s="1" t="s">
        <v>2344</v>
      </c>
      <c r="B2307" s="1" t="s">
        <v>32</v>
      </c>
      <c r="C2307" s="1">
        <v>0.0</v>
      </c>
      <c r="D2307" s="1" t="s">
        <v>25</v>
      </c>
      <c r="E2307" s="1" t="s">
        <v>25</v>
      </c>
      <c r="F2307" s="1">
        <v>34.0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1">
        <v>97.7</v>
      </c>
      <c r="T2307" s="1">
        <v>3410.0</v>
      </c>
      <c r="U2307" s="1">
        <v>1.0</v>
      </c>
      <c r="V2307" s="1">
        <v>0.0</v>
      </c>
      <c r="W2307" s="1" t="s">
        <v>26</v>
      </c>
    </row>
    <row r="2308" ht="15.75" customHeight="1">
      <c r="A2308" s="1" t="s">
        <v>2345</v>
      </c>
      <c r="B2308" s="1" t="s">
        <v>24</v>
      </c>
      <c r="C2308" s="1">
        <v>0.0</v>
      </c>
      <c r="D2308" s="1" t="s">
        <v>26</v>
      </c>
      <c r="E2308" s="1" t="s">
        <v>26</v>
      </c>
      <c r="F2308" s="1">
        <v>3.0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1">
        <v>69.85</v>
      </c>
      <c r="T2308" s="1">
        <v>199.85</v>
      </c>
      <c r="U2308" s="1">
        <v>0.0</v>
      </c>
      <c r="V2308" s="1">
        <v>0.0</v>
      </c>
      <c r="W2308" s="1" t="s">
        <v>26</v>
      </c>
    </row>
    <row r="2309" ht="15.75" customHeight="1">
      <c r="A2309" s="1" t="s">
        <v>2346</v>
      </c>
      <c r="B2309" s="1" t="s">
        <v>24</v>
      </c>
      <c r="C2309" s="1">
        <v>0.0</v>
      </c>
      <c r="D2309" s="1" t="s">
        <v>25</v>
      </c>
      <c r="E2309" s="1" t="s">
        <v>25</v>
      </c>
      <c r="F2309" s="1">
        <v>9.0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1">
        <v>65.6</v>
      </c>
      <c r="T2309" s="1">
        <v>593.3</v>
      </c>
      <c r="U2309" s="1">
        <v>0.0</v>
      </c>
      <c r="V2309" s="1">
        <v>0.0</v>
      </c>
      <c r="W2309" s="1" t="s">
        <v>26</v>
      </c>
    </row>
    <row r="2310" ht="15.75" customHeight="1">
      <c r="A2310" s="1" t="s">
        <v>2347</v>
      </c>
      <c r="B2310" s="1" t="s">
        <v>32</v>
      </c>
      <c r="C2310" s="1">
        <v>0.0</v>
      </c>
      <c r="D2310" s="1" t="s">
        <v>25</v>
      </c>
      <c r="E2310" s="1" t="s">
        <v>25</v>
      </c>
      <c r="F2310" s="1">
        <v>71.0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1">
        <v>104.65</v>
      </c>
      <c r="T2310" s="1">
        <v>7288.4</v>
      </c>
      <c r="U2310" s="1">
        <v>0.0</v>
      </c>
      <c r="V2310" s="1">
        <v>0.0</v>
      </c>
      <c r="W2310" s="1" t="s">
        <v>26</v>
      </c>
    </row>
    <row r="2311" ht="15.75" customHeight="1">
      <c r="A2311" s="1" t="s">
        <v>2348</v>
      </c>
      <c r="B2311" s="1" t="s">
        <v>32</v>
      </c>
      <c r="C2311" s="1">
        <v>0.0</v>
      </c>
      <c r="D2311" s="1" t="s">
        <v>26</v>
      </c>
      <c r="E2311" s="1" t="s">
        <v>26</v>
      </c>
      <c r="F2311" s="1">
        <v>57.0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1">
        <v>90.45</v>
      </c>
      <c r="T2311" s="1">
        <v>5229.8</v>
      </c>
      <c r="U2311" s="1">
        <v>0.0</v>
      </c>
      <c r="V2311" s="1">
        <v>0.0</v>
      </c>
      <c r="W2311" s="1" t="s">
        <v>26</v>
      </c>
    </row>
    <row r="2312" ht="15.75" customHeight="1">
      <c r="A2312" s="1" t="s">
        <v>2349</v>
      </c>
      <c r="B2312" s="1" t="s">
        <v>32</v>
      </c>
      <c r="C2312" s="1">
        <v>0.0</v>
      </c>
      <c r="D2312" s="1" t="s">
        <v>26</v>
      </c>
      <c r="E2312" s="1" t="s">
        <v>26</v>
      </c>
      <c r="F2312" s="1">
        <v>72.0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1">
        <v>63.7</v>
      </c>
      <c r="T2312" s="1">
        <v>4464.8</v>
      </c>
      <c r="U2312" s="1">
        <v>2.0</v>
      </c>
      <c r="V2312" s="1">
        <v>0.0</v>
      </c>
      <c r="W2312" s="1" t="s">
        <v>26</v>
      </c>
    </row>
    <row r="2313" ht="15.75" customHeight="1">
      <c r="A2313" s="1" t="s">
        <v>2350</v>
      </c>
      <c r="B2313" s="1" t="s">
        <v>24</v>
      </c>
      <c r="C2313" s="1">
        <v>1.0</v>
      </c>
      <c r="D2313" s="1" t="s">
        <v>25</v>
      </c>
      <c r="E2313" s="1" t="s">
        <v>25</v>
      </c>
      <c r="F2313" s="1">
        <v>48.0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1">
        <v>104.5</v>
      </c>
      <c r="T2313" s="1">
        <v>5068.05</v>
      </c>
      <c r="U2313" s="1">
        <v>0.0</v>
      </c>
      <c r="V2313" s="1">
        <v>0.0</v>
      </c>
      <c r="W2313" s="1" t="s">
        <v>26</v>
      </c>
    </row>
    <row r="2314" ht="15.75" customHeight="1">
      <c r="A2314" s="1" t="s">
        <v>2351</v>
      </c>
      <c r="B2314" s="1" t="s">
        <v>32</v>
      </c>
      <c r="C2314" s="1">
        <v>0.0</v>
      </c>
      <c r="D2314" s="1" t="s">
        <v>26</v>
      </c>
      <c r="E2314" s="1" t="s">
        <v>26</v>
      </c>
      <c r="F2314" s="1">
        <v>18.0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1">
        <v>20.1</v>
      </c>
      <c r="T2314" s="1">
        <v>401.85</v>
      </c>
      <c r="U2314" s="1">
        <v>0.0</v>
      </c>
      <c r="V2314" s="1">
        <v>0.0</v>
      </c>
      <c r="W2314" s="1" t="s">
        <v>26</v>
      </c>
    </row>
    <row r="2315" ht="15.75" customHeight="1">
      <c r="A2315" s="1" t="s">
        <v>2352</v>
      </c>
      <c r="B2315" s="1" t="s">
        <v>32</v>
      </c>
      <c r="C2315" s="1">
        <v>0.0</v>
      </c>
      <c r="D2315" s="1" t="s">
        <v>25</v>
      </c>
      <c r="E2315" s="1" t="s">
        <v>25</v>
      </c>
      <c r="F2315" s="1">
        <v>43.0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1">
        <v>104.3</v>
      </c>
      <c r="T2315" s="1">
        <v>4451.85</v>
      </c>
      <c r="U2315" s="1">
        <v>0.0</v>
      </c>
      <c r="V2315" s="1">
        <v>0.0</v>
      </c>
      <c r="W2315" s="1" t="s">
        <v>26</v>
      </c>
    </row>
    <row r="2316" ht="15.75" customHeight="1">
      <c r="A2316" s="1" t="s">
        <v>2353</v>
      </c>
      <c r="B2316" s="1" t="s">
        <v>24</v>
      </c>
      <c r="C2316" s="1">
        <v>0.0</v>
      </c>
      <c r="D2316" s="1" t="s">
        <v>25</v>
      </c>
      <c r="E2316" s="1" t="s">
        <v>25</v>
      </c>
      <c r="F2316" s="1">
        <v>72.0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1">
        <v>93.25</v>
      </c>
      <c r="T2316" s="1">
        <v>6688.95</v>
      </c>
      <c r="U2316" s="1">
        <v>0.0</v>
      </c>
      <c r="V2316" s="1">
        <v>0.0</v>
      </c>
      <c r="W2316" s="1" t="s">
        <v>26</v>
      </c>
    </row>
    <row r="2317" ht="15.75" customHeight="1">
      <c r="A2317" s="1" t="s">
        <v>2354</v>
      </c>
      <c r="B2317" s="1" t="s">
        <v>32</v>
      </c>
      <c r="C2317" s="1">
        <v>0.0</v>
      </c>
      <c r="D2317" s="1" t="s">
        <v>25</v>
      </c>
      <c r="E2317" s="1" t="s">
        <v>25</v>
      </c>
      <c r="F2317" s="1">
        <v>35.0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1">
        <v>73.45</v>
      </c>
      <c r="T2317" s="1">
        <v>2661.1</v>
      </c>
      <c r="U2317" s="1">
        <v>2.0</v>
      </c>
      <c r="V2317" s="1">
        <v>0.0</v>
      </c>
      <c r="W2317" s="1" t="s">
        <v>26</v>
      </c>
    </row>
    <row r="2318" ht="15.75" customHeight="1">
      <c r="A2318" s="1" t="s">
        <v>2355</v>
      </c>
      <c r="B2318" s="1" t="s">
        <v>32</v>
      </c>
      <c r="C2318" s="1">
        <v>0.0</v>
      </c>
      <c r="D2318" s="1" t="s">
        <v>26</v>
      </c>
      <c r="E2318" s="1" t="s">
        <v>26</v>
      </c>
      <c r="F2318" s="1">
        <v>4.0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1">
        <v>20.7</v>
      </c>
      <c r="T2318" s="1">
        <v>73.05</v>
      </c>
      <c r="U2318" s="1">
        <v>0.0</v>
      </c>
      <c r="V2318" s="1">
        <v>0.0</v>
      </c>
      <c r="W2318" s="1" t="s">
        <v>26</v>
      </c>
    </row>
    <row r="2319" ht="15.75" customHeight="1">
      <c r="A2319" s="1" t="s">
        <v>2356</v>
      </c>
      <c r="B2319" s="1" t="s">
        <v>24</v>
      </c>
      <c r="C2319" s="1">
        <v>0.0</v>
      </c>
      <c r="D2319" s="1" t="s">
        <v>25</v>
      </c>
      <c r="E2319" s="1" t="s">
        <v>25</v>
      </c>
      <c r="F2319" s="1">
        <v>49.0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1">
        <v>25.25</v>
      </c>
      <c r="T2319" s="1">
        <v>1211.65</v>
      </c>
      <c r="U2319" s="1">
        <v>0.0</v>
      </c>
      <c r="V2319" s="1">
        <v>0.0</v>
      </c>
      <c r="W2319" s="1" t="s">
        <v>26</v>
      </c>
    </row>
    <row r="2320" ht="15.75" customHeight="1">
      <c r="A2320" s="1" t="s">
        <v>2357</v>
      </c>
      <c r="B2320" s="1" t="s">
        <v>24</v>
      </c>
      <c r="C2320" s="1">
        <v>0.0</v>
      </c>
      <c r="D2320" s="1" t="s">
        <v>25</v>
      </c>
      <c r="E2320" s="1" t="s">
        <v>25</v>
      </c>
      <c r="F2320" s="1">
        <v>71.0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1">
        <v>100.5</v>
      </c>
      <c r="T2320" s="1">
        <v>7030.65</v>
      </c>
      <c r="U2320" s="1">
        <v>0.0</v>
      </c>
      <c r="V2320" s="1">
        <v>0.0</v>
      </c>
      <c r="W2320" s="1" t="s">
        <v>26</v>
      </c>
    </row>
    <row r="2321" ht="15.75" customHeight="1">
      <c r="A2321" s="1" t="s">
        <v>2358</v>
      </c>
      <c r="B2321" s="1" t="s">
        <v>32</v>
      </c>
      <c r="C2321" s="1">
        <v>0.0</v>
      </c>
      <c r="D2321" s="1" t="s">
        <v>25</v>
      </c>
      <c r="E2321" s="1" t="s">
        <v>25</v>
      </c>
      <c r="F2321" s="1">
        <v>11.0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1">
        <v>90.6</v>
      </c>
      <c r="T2321" s="1">
        <v>1020.2</v>
      </c>
      <c r="U2321" s="1">
        <v>0.0</v>
      </c>
      <c r="V2321" s="1">
        <v>0.0</v>
      </c>
      <c r="W2321" s="1" t="s">
        <v>26</v>
      </c>
    </row>
    <row r="2322" ht="15.75" customHeight="1">
      <c r="A2322" s="1" t="s">
        <v>2359</v>
      </c>
      <c r="B2322" s="1" t="s">
        <v>32</v>
      </c>
      <c r="C2322" s="1">
        <v>0.0</v>
      </c>
      <c r="D2322" s="1" t="s">
        <v>25</v>
      </c>
      <c r="E2322" s="1" t="s">
        <v>25</v>
      </c>
      <c r="F2322" s="1">
        <v>63.0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1">
        <v>89.4</v>
      </c>
      <c r="T2322" s="1">
        <v>5597.65</v>
      </c>
      <c r="U2322" s="1">
        <v>0.0</v>
      </c>
      <c r="V2322" s="1">
        <v>0.0</v>
      </c>
      <c r="W2322" s="1" t="s">
        <v>26</v>
      </c>
    </row>
    <row r="2323" ht="15.75" customHeight="1">
      <c r="A2323" s="1" t="s">
        <v>2360</v>
      </c>
      <c r="B2323" s="1" t="s">
        <v>24</v>
      </c>
      <c r="C2323" s="1">
        <v>1.0</v>
      </c>
      <c r="D2323" s="1" t="s">
        <v>26</v>
      </c>
      <c r="E2323" s="1" t="s">
        <v>26</v>
      </c>
      <c r="F2323" s="1">
        <v>65.0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1">
        <v>95.45</v>
      </c>
      <c r="T2323" s="1">
        <v>6223.3</v>
      </c>
      <c r="U2323" s="1">
        <v>0.0</v>
      </c>
      <c r="V2323" s="1">
        <v>0.0</v>
      </c>
      <c r="W2323" s="1" t="s">
        <v>26</v>
      </c>
    </row>
    <row r="2324" ht="15.75" customHeight="1">
      <c r="A2324" s="1" t="s">
        <v>2361</v>
      </c>
      <c r="B2324" s="1" t="s">
        <v>24</v>
      </c>
      <c r="C2324" s="1">
        <v>0.0</v>
      </c>
      <c r="D2324" s="1" t="s">
        <v>26</v>
      </c>
      <c r="E2324" s="1" t="s">
        <v>25</v>
      </c>
      <c r="F2324" s="1">
        <v>49.0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1">
        <v>20.45</v>
      </c>
      <c r="T2324" s="1">
        <v>1024.65</v>
      </c>
      <c r="U2324" s="1">
        <v>0.0</v>
      </c>
      <c r="V2324" s="1">
        <v>0.0</v>
      </c>
      <c r="W2324" s="1" t="s">
        <v>26</v>
      </c>
    </row>
    <row r="2325" ht="15.75" customHeight="1">
      <c r="A2325" s="1" t="s">
        <v>2362</v>
      </c>
      <c r="B2325" s="1" t="s">
        <v>24</v>
      </c>
      <c r="C2325" s="1">
        <v>0.0</v>
      </c>
      <c r="D2325" s="1" t="s">
        <v>26</v>
      </c>
      <c r="E2325" s="1" t="s">
        <v>26</v>
      </c>
      <c r="F2325" s="1">
        <v>29.0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1">
        <v>98.6</v>
      </c>
      <c r="T2325" s="1">
        <v>2933.2</v>
      </c>
      <c r="U2325" s="1">
        <v>0.0</v>
      </c>
      <c r="V2325" s="1">
        <v>2.0</v>
      </c>
      <c r="W2325" s="1" t="s">
        <v>25</v>
      </c>
    </row>
    <row r="2326" ht="15.75" customHeight="1">
      <c r="A2326" s="1" t="s">
        <v>2363</v>
      </c>
      <c r="B2326" s="1" t="s">
        <v>24</v>
      </c>
      <c r="C2326" s="1">
        <v>1.0</v>
      </c>
      <c r="D2326" s="1" t="s">
        <v>25</v>
      </c>
      <c r="E2326" s="1" t="s">
        <v>26</v>
      </c>
      <c r="F2326" s="1">
        <v>15.0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1">
        <v>83.05</v>
      </c>
      <c r="T2326" s="1">
        <v>1258.3</v>
      </c>
      <c r="U2326" s="1">
        <v>0.0</v>
      </c>
      <c r="V2326" s="1">
        <v>0.0</v>
      </c>
      <c r="W2326" s="1" t="s">
        <v>25</v>
      </c>
    </row>
    <row r="2327" ht="15.75" customHeight="1">
      <c r="A2327" s="1" t="s">
        <v>2364</v>
      </c>
      <c r="B2327" s="1" t="s">
        <v>24</v>
      </c>
      <c r="C2327" s="1">
        <v>0.0</v>
      </c>
      <c r="D2327" s="1" t="s">
        <v>25</v>
      </c>
      <c r="E2327" s="1" t="s">
        <v>25</v>
      </c>
      <c r="F2327" s="1">
        <v>4.0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1">
        <v>19.95</v>
      </c>
      <c r="T2327" s="1">
        <v>82.9</v>
      </c>
      <c r="U2327" s="1">
        <v>3.0</v>
      </c>
      <c r="V2327" s="1">
        <v>0.0</v>
      </c>
      <c r="W2327" s="1" t="s">
        <v>26</v>
      </c>
    </row>
    <row r="2328" ht="15.75" customHeight="1">
      <c r="A2328" s="1" t="s">
        <v>2365</v>
      </c>
      <c r="B2328" s="1" t="s">
        <v>24</v>
      </c>
      <c r="C2328" s="1">
        <v>0.0</v>
      </c>
      <c r="D2328" s="1" t="s">
        <v>25</v>
      </c>
      <c r="E2328" s="1" t="s">
        <v>26</v>
      </c>
      <c r="F2328" s="1">
        <v>72.0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1">
        <v>109.15</v>
      </c>
      <c r="T2328" s="1">
        <v>7789.6</v>
      </c>
      <c r="U2328" s="1">
        <v>0.0</v>
      </c>
      <c r="V2328" s="1">
        <v>0.0</v>
      </c>
      <c r="W2328" s="1" t="s">
        <v>26</v>
      </c>
    </row>
    <row r="2329" ht="15.75" customHeight="1">
      <c r="A2329" s="1" t="s">
        <v>2366</v>
      </c>
      <c r="B2329" s="1" t="s">
        <v>24</v>
      </c>
      <c r="C2329" s="1">
        <v>1.0</v>
      </c>
      <c r="D2329" s="1" t="s">
        <v>25</v>
      </c>
      <c r="E2329" s="1" t="s">
        <v>26</v>
      </c>
      <c r="F2329" s="1">
        <v>26.0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1">
        <v>85.7</v>
      </c>
      <c r="T2329" s="1">
        <v>2067.0</v>
      </c>
      <c r="U2329" s="1">
        <v>2.0</v>
      </c>
      <c r="V2329" s="1">
        <v>1.0</v>
      </c>
      <c r="W2329" s="1" t="s">
        <v>26</v>
      </c>
    </row>
    <row r="2330" ht="15.75" customHeight="1">
      <c r="A2330" s="1" t="s">
        <v>2367</v>
      </c>
      <c r="B2330" s="1" t="s">
        <v>24</v>
      </c>
      <c r="C2330" s="1">
        <v>1.0</v>
      </c>
      <c r="D2330" s="1" t="s">
        <v>25</v>
      </c>
      <c r="E2330" s="1" t="s">
        <v>26</v>
      </c>
      <c r="F2330" s="1">
        <v>35.0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1">
        <v>102.05</v>
      </c>
      <c r="T2330" s="1">
        <v>3452.55</v>
      </c>
      <c r="U2330" s="1">
        <v>2.0</v>
      </c>
      <c r="V2330" s="1">
        <v>0.0</v>
      </c>
      <c r="W2330" s="1" t="s">
        <v>26</v>
      </c>
    </row>
    <row r="2331" ht="15.75" customHeight="1">
      <c r="A2331" s="1" t="s">
        <v>2368</v>
      </c>
      <c r="B2331" s="1" t="s">
        <v>24</v>
      </c>
      <c r="C2331" s="1">
        <v>0.0</v>
      </c>
      <c r="D2331" s="1" t="s">
        <v>26</v>
      </c>
      <c r="E2331" s="1" t="s">
        <v>26</v>
      </c>
      <c r="F2331" s="1">
        <v>57.0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1">
        <v>94.7</v>
      </c>
      <c r="T2331" s="1">
        <v>5468.95</v>
      </c>
      <c r="U2331" s="1">
        <v>0.0</v>
      </c>
      <c r="V2331" s="1">
        <v>0.0</v>
      </c>
      <c r="W2331" s="1" t="s">
        <v>26</v>
      </c>
    </row>
    <row r="2332" ht="15.75" customHeight="1">
      <c r="A2332" s="1" t="s">
        <v>2369</v>
      </c>
      <c r="B2332" s="1" t="s">
        <v>32</v>
      </c>
      <c r="C2332" s="1">
        <v>0.0</v>
      </c>
      <c r="D2332" s="1" t="s">
        <v>25</v>
      </c>
      <c r="E2332" s="1" t="s">
        <v>25</v>
      </c>
      <c r="F2332" s="1">
        <v>28.0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1">
        <v>64.4</v>
      </c>
      <c r="T2332" s="1">
        <v>1802.15</v>
      </c>
      <c r="U2332" s="1">
        <v>0.0</v>
      </c>
      <c r="V2332" s="1">
        <v>0.0</v>
      </c>
      <c r="W2332" s="1" t="s">
        <v>26</v>
      </c>
    </row>
    <row r="2333" ht="15.75" customHeight="1">
      <c r="A2333" s="1" t="s">
        <v>2370</v>
      </c>
      <c r="B2333" s="1" t="s">
        <v>24</v>
      </c>
      <c r="C2333" s="1">
        <v>0.0</v>
      </c>
      <c r="D2333" s="1" t="s">
        <v>25</v>
      </c>
      <c r="E2333" s="1" t="s">
        <v>26</v>
      </c>
      <c r="F2333" s="1">
        <v>25.0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1">
        <v>26.8</v>
      </c>
      <c r="T2333" s="1">
        <v>733.55</v>
      </c>
      <c r="U2333" s="1">
        <v>0.0</v>
      </c>
      <c r="V2333" s="1">
        <v>0.0</v>
      </c>
      <c r="W2333" s="1" t="s">
        <v>26</v>
      </c>
    </row>
    <row r="2334" ht="15.75" customHeight="1">
      <c r="A2334" s="1" t="s">
        <v>2371</v>
      </c>
      <c r="B2334" s="1" t="s">
        <v>24</v>
      </c>
      <c r="C2334" s="1">
        <v>0.0</v>
      </c>
      <c r="D2334" s="1" t="s">
        <v>25</v>
      </c>
      <c r="E2334" s="1" t="s">
        <v>26</v>
      </c>
      <c r="F2334" s="1">
        <v>47.0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1">
        <v>66.05</v>
      </c>
      <c r="T2334" s="1">
        <v>3021.45</v>
      </c>
      <c r="U2334" s="1">
        <v>0.0</v>
      </c>
      <c r="V2334" s="1">
        <v>0.0</v>
      </c>
      <c r="W2334" s="1" t="s">
        <v>26</v>
      </c>
    </row>
    <row r="2335" ht="15.75" customHeight="1">
      <c r="A2335" s="1" t="s">
        <v>2372</v>
      </c>
      <c r="B2335" s="1" t="s">
        <v>24</v>
      </c>
      <c r="C2335" s="1">
        <v>0.0</v>
      </c>
      <c r="D2335" s="1" t="s">
        <v>25</v>
      </c>
      <c r="E2335" s="1" t="s">
        <v>25</v>
      </c>
      <c r="F2335" s="1">
        <v>57.0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1">
        <v>65.2</v>
      </c>
      <c r="T2335" s="1">
        <v>3687.85</v>
      </c>
      <c r="U2335" s="1">
        <v>0.0</v>
      </c>
      <c r="V2335" s="1">
        <v>0.0</v>
      </c>
      <c r="W2335" s="1" t="s">
        <v>26</v>
      </c>
    </row>
    <row r="2336" ht="15.75" customHeight="1">
      <c r="A2336" s="1" t="s">
        <v>2373</v>
      </c>
      <c r="B2336" s="1" t="s">
        <v>32</v>
      </c>
      <c r="C2336" s="1">
        <v>1.0</v>
      </c>
      <c r="D2336" s="1" t="s">
        <v>25</v>
      </c>
      <c r="E2336" s="1" t="s">
        <v>26</v>
      </c>
      <c r="F2336" s="1">
        <v>16.0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1">
        <v>85.05</v>
      </c>
      <c r="T2336" s="1">
        <v>1391.15</v>
      </c>
      <c r="U2336" s="1">
        <v>0.0</v>
      </c>
      <c r="V2336" s="1">
        <v>0.0</v>
      </c>
      <c r="W2336" s="1" t="s">
        <v>26</v>
      </c>
    </row>
    <row r="2337" ht="15.75" customHeight="1">
      <c r="A2337" s="1" t="s">
        <v>2374</v>
      </c>
      <c r="B2337" s="1" t="s">
        <v>32</v>
      </c>
      <c r="C2337" s="1">
        <v>0.0</v>
      </c>
      <c r="D2337" s="1" t="s">
        <v>26</v>
      </c>
      <c r="E2337" s="1" t="s">
        <v>26</v>
      </c>
      <c r="F2337" s="1">
        <v>5.0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1">
        <v>55.8</v>
      </c>
      <c r="T2337" s="1">
        <v>274.35</v>
      </c>
      <c r="U2337" s="1">
        <v>0.0</v>
      </c>
      <c r="V2337" s="1">
        <v>0.0</v>
      </c>
      <c r="W2337" s="1" t="s">
        <v>26</v>
      </c>
    </row>
    <row r="2338" ht="15.75" customHeight="1">
      <c r="A2338" s="1" t="s">
        <v>2375</v>
      </c>
      <c r="B2338" s="1" t="s">
        <v>32</v>
      </c>
      <c r="C2338" s="1">
        <v>0.0</v>
      </c>
      <c r="D2338" s="1" t="s">
        <v>25</v>
      </c>
      <c r="E2338" s="1" t="s">
        <v>26</v>
      </c>
      <c r="F2338" s="1">
        <v>17.0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1">
        <v>70.4</v>
      </c>
      <c r="T2338" s="1">
        <v>1214.05</v>
      </c>
      <c r="U2338" s="1">
        <v>0.0</v>
      </c>
      <c r="V2338" s="1">
        <v>0.0</v>
      </c>
      <c r="W2338" s="1" t="s">
        <v>25</v>
      </c>
    </row>
    <row r="2339" ht="15.75" customHeight="1">
      <c r="A2339" s="1" t="s">
        <v>2376</v>
      </c>
      <c r="B2339" s="1" t="s">
        <v>24</v>
      </c>
      <c r="C2339" s="1">
        <v>1.0</v>
      </c>
      <c r="D2339" s="1" t="s">
        <v>26</v>
      </c>
      <c r="E2339" s="1" t="s">
        <v>26</v>
      </c>
      <c r="F2339" s="1">
        <v>56.0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1">
        <v>104.75</v>
      </c>
      <c r="T2339" s="1">
        <v>5510.65</v>
      </c>
      <c r="U2339" s="1">
        <v>0.0</v>
      </c>
      <c r="V2339" s="1">
        <v>6.0</v>
      </c>
      <c r="W2339" s="1" t="s">
        <v>25</v>
      </c>
    </row>
    <row r="2340" ht="15.75" customHeight="1">
      <c r="A2340" s="1" t="s">
        <v>2377</v>
      </c>
      <c r="B2340" s="1" t="s">
        <v>32</v>
      </c>
      <c r="C2340" s="1">
        <v>0.0</v>
      </c>
      <c r="D2340" s="1" t="s">
        <v>25</v>
      </c>
      <c r="E2340" s="1" t="s">
        <v>25</v>
      </c>
      <c r="F2340" s="1">
        <v>72.0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1">
        <v>19.95</v>
      </c>
      <c r="T2340" s="1">
        <v>1322.85</v>
      </c>
      <c r="U2340" s="1">
        <v>0.0</v>
      </c>
      <c r="V2340" s="1">
        <v>4.0</v>
      </c>
      <c r="W2340" s="1" t="s">
        <v>26</v>
      </c>
    </row>
    <row r="2341" ht="15.75" customHeight="1">
      <c r="A2341" s="1" t="s">
        <v>2378</v>
      </c>
      <c r="B2341" s="1" t="s">
        <v>24</v>
      </c>
      <c r="C2341" s="1">
        <v>1.0</v>
      </c>
      <c r="D2341" s="1" t="s">
        <v>26</v>
      </c>
      <c r="E2341" s="1" t="s">
        <v>26</v>
      </c>
      <c r="F2341" s="1">
        <v>21.0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1">
        <v>94.25</v>
      </c>
      <c r="T2341" s="1">
        <v>1973.75</v>
      </c>
      <c r="U2341" s="1">
        <v>0.0</v>
      </c>
      <c r="V2341" s="1">
        <v>2.0</v>
      </c>
      <c r="W2341" s="1" t="s">
        <v>25</v>
      </c>
    </row>
    <row r="2342" ht="15.75" customHeight="1">
      <c r="A2342" s="1" t="s">
        <v>2379</v>
      </c>
      <c r="B2342" s="1" t="s">
        <v>24</v>
      </c>
      <c r="C2342" s="1">
        <v>0.0</v>
      </c>
      <c r="D2342" s="1" t="s">
        <v>25</v>
      </c>
      <c r="E2342" s="1" t="s">
        <v>25</v>
      </c>
      <c r="F2342" s="1">
        <v>48.0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1">
        <v>45.0</v>
      </c>
      <c r="T2342" s="1">
        <v>2196.3</v>
      </c>
      <c r="U2342" s="1">
        <v>0.0</v>
      </c>
      <c r="V2342" s="1">
        <v>0.0</v>
      </c>
      <c r="W2342" s="1" t="s">
        <v>26</v>
      </c>
    </row>
    <row r="2343" ht="15.75" customHeight="1">
      <c r="A2343" s="1" t="s">
        <v>2380</v>
      </c>
      <c r="B2343" s="1" t="s">
        <v>24</v>
      </c>
      <c r="C2343" s="1">
        <v>0.0</v>
      </c>
      <c r="D2343" s="1" t="s">
        <v>25</v>
      </c>
      <c r="E2343" s="1" t="s">
        <v>26</v>
      </c>
      <c r="F2343" s="1">
        <v>68.0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1">
        <v>114.9</v>
      </c>
      <c r="T2343" s="1">
        <v>7843.55</v>
      </c>
      <c r="U2343" s="1">
        <v>1.0</v>
      </c>
      <c r="V2343" s="1">
        <v>0.0</v>
      </c>
      <c r="W2343" s="1" t="s">
        <v>26</v>
      </c>
    </row>
    <row r="2344" ht="15.75" customHeight="1">
      <c r="A2344" s="1" t="s">
        <v>2381</v>
      </c>
      <c r="B2344" s="1" t="s">
        <v>24</v>
      </c>
      <c r="C2344" s="1">
        <v>0.0</v>
      </c>
      <c r="D2344" s="1" t="s">
        <v>26</v>
      </c>
      <c r="E2344" s="1" t="s">
        <v>26</v>
      </c>
      <c r="F2344" s="1">
        <v>30.0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1">
        <v>106.4</v>
      </c>
      <c r="T2344" s="1">
        <v>3211.9</v>
      </c>
      <c r="U2344" s="1">
        <v>0.0</v>
      </c>
      <c r="V2344" s="1">
        <v>0.0</v>
      </c>
      <c r="W2344" s="1" t="s">
        <v>26</v>
      </c>
    </row>
    <row r="2345" ht="15.75" customHeight="1">
      <c r="A2345" s="1" t="s">
        <v>2382</v>
      </c>
      <c r="B2345" s="1" t="s">
        <v>24</v>
      </c>
      <c r="C2345" s="1">
        <v>0.0</v>
      </c>
      <c r="D2345" s="1" t="s">
        <v>25</v>
      </c>
      <c r="E2345" s="1" t="s">
        <v>26</v>
      </c>
      <c r="F2345" s="1">
        <v>3.0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1">
        <v>46.1</v>
      </c>
      <c r="T2345" s="1">
        <v>130.15</v>
      </c>
      <c r="U2345" s="1">
        <v>0.0</v>
      </c>
      <c r="V2345" s="1">
        <v>0.0</v>
      </c>
      <c r="W2345" s="1" t="s">
        <v>26</v>
      </c>
    </row>
    <row r="2346" ht="15.75" customHeight="1">
      <c r="A2346" s="1" t="s">
        <v>2383</v>
      </c>
      <c r="B2346" s="1" t="s">
        <v>24</v>
      </c>
      <c r="C2346" s="1">
        <v>1.0</v>
      </c>
      <c r="D2346" s="1" t="s">
        <v>26</v>
      </c>
      <c r="E2346" s="1" t="s">
        <v>26</v>
      </c>
      <c r="F2346" s="1">
        <v>14.0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1">
        <v>39.7</v>
      </c>
      <c r="T2346" s="1">
        <v>692.35</v>
      </c>
      <c r="U2346" s="1">
        <v>0.0</v>
      </c>
      <c r="V2346" s="1">
        <v>0.0</v>
      </c>
      <c r="W2346" s="1" t="s">
        <v>26</v>
      </c>
    </row>
    <row r="2347" ht="15.75" customHeight="1">
      <c r="A2347" s="1" t="s">
        <v>2384</v>
      </c>
      <c r="B2347" s="1" t="s">
        <v>24</v>
      </c>
      <c r="C2347" s="1">
        <v>0.0</v>
      </c>
      <c r="D2347" s="1" t="s">
        <v>26</v>
      </c>
      <c r="E2347" s="1" t="s">
        <v>25</v>
      </c>
      <c r="F2347" s="1">
        <v>4.0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1">
        <v>20.05</v>
      </c>
      <c r="T2347" s="1">
        <v>85.5</v>
      </c>
      <c r="U2347" s="1">
        <v>3.0</v>
      </c>
      <c r="V2347" s="1">
        <v>0.0</v>
      </c>
      <c r="W2347" s="1" t="s">
        <v>26</v>
      </c>
    </row>
    <row r="2348" ht="15.75" customHeight="1">
      <c r="A2348" s="1" t="s">
        <v>2385</v>
      </c>
      <c r="B2348" s="1" t="s">
        <v>24</v>
      </c>
      <c r="C2348" s="1">
        <v>0.0</v>
      </c>
      <c r="D2348" s="1" t="s">
        <v>25</v>
      </c>
      <c r="E2348" s="1" t="s">
        <v>25</v>
      </c>
      <c r="F2348" s="1">
        <v>71.0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1">
        <v>95.75</v>
      </c>
      <c r="T2348" s="1">
        <v>6849.4</v>
      </c>
      <c r="U2348" s="1">
        <v>0.0</v>
      </c>
      <c r="V2348" s="1">
        <v>0.0</v>
      </c>
      <c r="W2348" s="1" t="s">
        <v>26</v>
      </c>
    </row>
    <row r="2349" ht="15.75" customHeight="1">
      <c r="A2349" s="1" t="s">
        <v>2386</v>
      </c>
      <c r="B2349" s="1" t="s">
        <v>32</v>
      </c>
      <c r="C2349" s="1">
        <v>0.0</v>
      </c>
      <c r="D2349" s="1" t="s">
        <v>25</v>
      </c>
      <c r="E2349" s="1" t="s">
        <v>25</v>
      </c>
      <c r="F2349" s="1">
        <v>8.0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1">
        <v>24.4</v>
      </c>
      <c r="T2349" s="1">
        <v>203.95</v>
      </c>
      <c r="U2349" s="1">
        <v>0.0</v>
      </c>
      <c r="V2349" s="1">
        <v>0.0</v>
      </c>
      <c r="W2349" s="1" t="s">
        <v>26</v>
      </c>
    </row>
    <row r="2350" ht="15.75" customHeight="1">
      <c r="A2350" s="1" t="s">
        <v>2387</v>
      </c>
      <c r="B2350" s="1" t="s">
        <v>32</v>
      </c>
      <c r="C2350" s="1">
        <v>0.0</v>
      </c>
      <c r="D2350" s="1" t="s">
        <v>25</v>
      </c>
      <c r="E2350" s="1" t="s">
        <v>25</v>
      </c>
      <c r="F2350" s="1">
        <v>61.0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1">
        <v>33.6</v>
      </c>
      <c r="T2350" s="1">
        <v>2117.2</v>
      </c>
      <c r="U2350" s="1">
        <v>4.0</v>
      </c>
      <c r="V2350" s="1">
        <v>0.0</v>
      </c>
      <c r="W2350" s="1" t="s">
        <v>26</v>
      </c>
    </row>
    <row r="2351" ht="15.75" customHeight="1">
      <c r="A2351" s="1" t="s">
        <v>2388</v>
      </c>
      <c r="B2351" s="1" t="s">
        <v>32</v>
      </c>
      <c r="C2351" s="1">
        <v>0.0</v>
      </c>
      <c r="D2351" s="1" t="s">
        <v>25</v>
      </c>
      <c r="E2351" s="1" t="s">
        <v>25</v>
      </c>
      <c r="F2351" s="1">
        <v>72.0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1">
        <v>90.45</v>
      </c>
      <c r="T2351" s="1">
        <v>6565.85</v>
      </c>
      <c r="U2351" s="1">
        <v>0.0</v>
      </c>
      <c r="V2351" s="1">
        <v>0.0</v>
      </c>
      <c r="W2351" s="1" t="s">
        <v>26</v>
      </c>
    </row>
    <row r="2352" ht="15.75" customHeight="1">
      <c r="A2352" s="1" t="s">
        <v>2389</v>
      </c>
      <c r="B2352" s="1" t="s">
        <v>24</v>
      </c>
      <c r="C2352" s="1">
        <v>0.0</v>
      </c>
      <c r="D2352" s="1" t="s">
        <v>26</v>
      </c>
      <c r="E2352" s="1" t="s">
        <v>26</v>
      </c>
      <c r="F2352" s="1">
        <v>5.0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1">
        <v>84.0</v>
      </c>
      <c r="T2352" s="1">
        <v>424.75</v>
      </c>
      <c r="U2352" s="1">
        <v>0.0</v>
      </c>
      <c r="V2352" s="1">
        <v>0.0</v>
      </c>
      <c r="W2352" s="1" t="s">
        <v>26</v>
      </c>
    </row>
    <row r="2353" ht="15.75" customHeight="1">
      <c r="A2353" s="1" t="s">
        <v>2390</v>
      </c>
      <c r="B2353" s="1" t="s">
        <v>24</v>
      </c>
      <c r="C2353" s="1">
        <v>0.0</v>
      </c>
      <c r="D2353" s="1" t="s">
        <v>26</v>
      </c>
      <c r="E2353" s="1" t="s">
        <v>26</v>
      </c>
      <c r="F2353" s="1">
        <v>49.0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1">
        <v>67.4</v>
      </c>
      <c r="T2353" s="1">
        <v>3306.85</v>
      </c>
      <c r="U2353" s="1">
        <v>0.0</v>
      </c>
      <c r="V2353" s="1">
        <v>0.0</v>
      </c>
      <c r="W2353" s="1" t="s">
        <v>26</v>
      </c>
    </row>
    <row r="2354" ht="15.75" customHeight="1">
      <c r="A2354" s="1" t="s">
        <v>2391</v>
      </c>
      <c r="B2354" s="1" t="s">
        <v>32</v>
      </c>
      <c r="C2354" s="1">
        <v>0.0</v>
      </c>
      <c r="D2354" s="1" t="s">
        <v>26</v>
      </c>
      <c r="E2354" s="1" t="s">
        <v>26</v>
      </c>
      <c r="F2354" s="1">
        <v>8.0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1">
        <v>19.7</v>
      </c>
      <c r="T2354" s="1">
        <v>168.9</v>
      </c>
      <c r="U2354" s="1">
        <v>0.0</v>
      </c>
      <c r="V2354" s="1">
        <v>0.0</v>
      </c>
      <c r="W2354" s="1" t="s">
        <v>26</v>
      </c>
    </row>
    <row r="2355" ht="15.75" customHeight="1">
      <c r="A2355" s="1" t="s">
        <v>2392</v>
      </c>
      <c r="B2355" s="1" t="s">
        <v>32</v>
      </c>
      <c r="C2355" s="1">
        <v>0.0</v>
      </c>
      <c r="D2355" s="1" t="s">
        <v>26</v>
      </c>
      <c r="E2355" s="1" t="s">
        <v>26</v>
      </c>
      <c r="F2355" s="1">
        <v>3.0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1">
        <v>80.35</v>
      </c>
      <c r="T2355" s="1">
        <v>253.8</v>
      </c>
      <c r="U2355" s="1">
        <v>0.0</v>
      </c>
      <c r="V2355" s="1">
        <v>0.0</v>
      </c>
      <c r="W2355" s="1" t="s">
        <v>26</v>
      </c>
    </row>
    <row r="2356" ht="15.75" customHeight="1">
      <c r="A2356" s="1" t="s">
        <v>2393</v>
      </c>
      <c r="B2356" s="1" t="s">
        <v>32</v>
      </c>
      <c r="C2356" s="1">
        <v>0.0</v>
      </c>
      <c r="D2356" s="1" t="s">
        <v>25</v>
      </c>
      <c r="E2356" s="1" t="s">
        <v>25</v>
      </c>
      <c r="F2356" s="1">
        <v>9.0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1">
        <v>19.6</v>
      </c>
      <c r="T2356" s="1">
        <v>197.4</v>
      </c>
      <c r="U2356" s="1">
        <v>0.0</v>
      </c>
      <c r="V2356" s="1">
        <v>0.0</v>
      </c>
      <c r="W2356" s="1" t="s">
        <v>26</v>
      </c>
    </row>
    <row r="2357" ht="15.75" customHeight="1">
      <c r="A2357" s="1" t="s">
        <v>2394</v>
      </c>
      <c r="B2357" s="1" t="s">
        <v>32</v>
      </c>
      <c r="C2357" s="1">
        <v>0.0</v>
      </c>
      <c r="D2357" s="1" t="s">
        <v>25</v>
      </c>
      <c r="E2357" s="1" t="s">
        <v>25</v>
      </c>
      <c r="F2357" s="1">
        <v>67.0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1">
        <v>54.2</v>
      </c>
      <c r="T2357" s="1">
        <v>3838.2</v>
      </c>
      <c r="U2357" s="1">
        <v>1.0</v>
      </c>
      <c r="V2357" s="1">
        <v>0.0</v>
      </c>
      <c r="W2357" s="1" t="s">
        <v>26</v>
      </c>
    </row>
    <row r="2358" ht="15.75" customHeight="1">
      <c r="A2358" s="1" t="s">
        <v>2395</v>
      </c>
      <c r="B2358" s="1" t="s">
        <v>32</v>
      </c>
      <c r="C2358" s="1">
        <v>0.0</v>
      </c>
      <c r="D2358" s="1" t="s">
        <v>26</v>
      </c>
      <c r="E2358" s="1" t="s">
        <v>26</v>
      </c>
      <c r="F2358" s="1">
        <v>46.0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1">
        <v>45.2</v>
      </c>
      <c r="T2358" s="1">
        <v>2065.15</v>
      </c>
      <c r="U2358" s="1">
        <v>0.0</v>
      </c>
      <c r="V2358" s="1">
        <v>2.0</v>
      </c>
      <c r="W2358" s="1" t="s">
        <v>26</v>
      </c>
    </row>
    <row r="2359" ht="15.75" customHeight="1">
      <c r="A2359" s="1" t="s">
        <v>2396</v>
      </c>
      <c r="B2359" s="1" t="s">
        <v>24</v>
      </c>
      <c r="C2359" s="1">
        <v>0.0</v>
      </c>
      <c r="D2359" s="1" t="s">
        <v>25</v>
      </c>
      <c r="E2359" s="1" t="s">
        <v>26</v>
      </c>
      <c r="F2359" s="1">
        <v>67.0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1">
        <v>75.1</v>
      </c>
      <c r="T2359" s="1">
        <v>5064.45</v>
      </c>
      <c r="U2359" s="1">
        <v>0.0</v>
      </c>
      <c r="V2359" s="1">
        <v>0.0</v>
      </c>
      <c r="W2359" s="1" t="s">
        <v>26</v>
      </c>
    </row>
    <row r="2360" ht="15.75" customHeight="1">
      <c r="A2360" s="1" t="s">
        <v>2397</v>
      </c>
      <c r="B2360" s="1" t="s">
        <v>24</v>
      </c>
      <c r="C2360" s="1">
        <v>0.0</v>
      </c>
      <c r="D2360" s="1" t="s">
        <v>25</v>
      </c>
      <c r="E2360" s="1" t="s">
        <v>26</v>
      </c>
      <c r="F2360" s="1">
        <v>55.0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1">
        <v>19.7</v>
      </c>
      <c r="T2360" s="1">
        <v>1140.05</v>
      </c>
      <c r="U2360" s="1">
        <v>2.0</v>
      </c>
      <c r="V2360" s="1">
        <v>0.0</v>
      </c>
      <c r="W2360" s="1" t="s">
        <v>26</v>
      </c>
    </row>
    <row r="2361" ht="15.75" customHeight="1">
      <c r="A2361" s="1" t="s">
        <v>2398</v>
      </c>
      <c r="B2361" s="1" t="s">
        <v>32</v>
      </c>
      <c r="C2361" s="1">
        <v>0.0</v>
      </c>
      <c r="D2361" s="1" t="s">
        <v>25</v>
      </c>
      <c r="E2361" s="1" t="s">
        <v>26</v>
      </c>
      <c r="F2361" s="1">
        <v>33.0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1">
        <v>72.75</v>
      </c>
      <c r="T2361" s="1">
        <v>2447.45</v>
      </c>
      <c r="U2361" s="1">
        <v>0.0</v>
      </c>
      <c r="V2361" s="1">
        <v>0.0</v>
      </c>
      <c r="W2361" s="1" t="s">
        <v>26</v>
      </c>
    </row>
    <row r="2362" ht="15.75" customHeight="1">
      <c r="A2362" s="1" t="s">
        <v>2399</v>
      </c>
      <c r="B2362" s="1" t="s">
        <v>32</v>
      </c>
      <c r="C2362" s="1">
        <v>0.0</v>
      </c>
      <c r="D2362" s="1" t="s">
        <v>25</v>
      </c>
      <c r="E2362" s="1" t="s">
        <v>25</v>
      </c>
      <c r="F2362" s="1">
        <v>62.0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1">
        <v>20.05</v>
      </c>
      <c r="T2362" s="1">
        <v>1263.9</v>
      </c>
      <c r="U2362" s="1">
        <v>0.0</v>
      </c>
      <c r="V2362" s="1">
        <v>0.0</v>
      </c>
      <c r="W2362" s="1" t="s">
        <v>26</v>
      </c>
    </row>
    <row r="2363" ht="15.75" customHeight="1">
      <c r="A2363" s="1" t="s">
        <v>2400</v>
      </c>
      <c r="B2363" s="1" t="s">
        <v>24</v>
      </c>
      <c r="C2363" s="1">
        <v>0.0</v>
      </c>
      <c r="D2363" s="1" t="s">
        <v>26</v>
      </c>
      <c r="E2363" s="1" t="s">
        <v>25</v>
      </c>
      <c r="F2363" s="1">
        <v>1.0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1">
        <v>45.95</v>
      </c>
      <c r="T2363" s="1">
        <v>45.95</v>
      </c>
      <c r="U2363" s="1">
        <v>0.0</v>
      </c>
      <c r="V2363" s="1">
        <v>0.0</v>
      </c>
      <c r="W2363" s="1" t="s">
        <v>25</v>
      </c>
    </row>
    <row r="2364" ht="15.75" customHeight="1">
      <c r="A2364" s="1" t="s">
        <v>2401</v>
      </c>
      <c r="B2364" s="1" t="s">
        <v>32</v>
      </c>
      <c r="C2364" s="1">
        <v>0.0</v>
      </c>
      <c r="D2364" s="1" t="s">
        <v>25</v>
      </c>
      <c r="E2364" s="1" t="s">
        <v>25</v>
      </c>
      <c r="F2364" s="1">
        <v>49.0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1">
        <v>39.2</v>
      </c>
      <c r="T2364" s="1">
        <v>1838.15</v>
      </c>
      <c r="U2364" s="1">
        <v>0.0</v>
      </c>
      <c r="V2364" s="1">
        <v>0.0</v>
      </c>
      <c r="W2364" s="1" t="s">
        <v>26</v>
      </c>
    </row>
    <row r="2365" ht="15.75" customHeight="1">
      <c r="A2365" s="1" t="s">
        <v>2402</v>
      </c>
      <c r="B2365" s="1" t="s">
        <v>32</v>
      </c>
      <c r="C2365" s="1">
        <v>0.0</v>
      </c>
      <c r="D2365" s="1" t="s">
        <v>26</v>
      </c>
      <c r="E2365" s="1" t="s">
        <v>26</v>
      </c>
      <c r="F2365" s="1">
        <v>1.0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1">
        <v>44.75</v>
      </c>
      <c r="T2365" s="1">
        <v>44.75</v>
      </c>
      <c r="U2365" s="1">
        <v>0.0</v>
      </c>
      <c r="V2365" s="1">
        <v>0.0</v>
      </c>
      <c r="W2365" s="1" t="s">
        <v>26</v>
      </c>
    </row>
    <row r="2366" ht="15.75" customHeight="1">
      <c r="A2366" s="1" t="s">
        <v>2403</v>
      </c>
      <c r="B2366" s="1" t="s">
        <v>32</v>
      </c>
      <c r="C2366" s="1">
        <v>0.0</v>
      </c>
      <c r="D2366" s="1" t="s">
        <v>25</v>
      </c>
      <c r="E2366" s="1" t="s">
        <v>26</v>
      </c>
      <c r="F2366" s="1">
        <v>14.0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1">
        <v>82.65</v>
      </c>
      <c r="T2366" s="1">
        <v>1185.0</v>
      </c>
      <c r="U2366" s="1">
        <v>0.0</v>
      </c>
      <c r="V2366" s="1">
        <v>0.0</v>
      </c>
      <c r="W2366" s="1" t="s">
        <v>26</v>
      </c>
    </row>
    <row r="2367" ht="15.75" customHeight="1">
      <c r="A2367" s="1" t="s">
        <v>2404</v>
      </c>
      <c r="B2367" s="1" t="s">
        <v>32</v>
      </c>
      <c r="C2367" s="1">
        <v>1.0</v>
      </c>
      <c r="D2367" s="1" t="s">
        <v>26</v>
      </c>
      <c r="E2367" s="1" t="s">
        <v>26</v>
      </c>
      <c r="F2367" s="1">
        <v>18.0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1">
        <v>93.9</v>
      </c>
      <c r="T2367" s="1">
        <v>1743.9</v>
      </c>
      <c r="U2367" s="1">
        <v>0.0</v>
      </c>
      <c r="V2367" s="1">
        <v>0.0</v>
      </c>
      <c r="W2367" s="1" t="s">
        <v>26</v>
      </c>
    </row>
    <row r="2368" ht="15.75" customHeight="1">
      <c r="A2368" s="1" t="s">
        <v>2405</v>
      </c>
      <c r="B2368" s="1" t="s">
        <v>24</v>
      </c>
      <c r="C2368" s="1">
        <v>1.0</v>
      </c>
      <c r="D2368" s="1" t="s">
        <v>26</v>
      </c>
      <c r="E2368" s="1" t="s">
        <v>26</v>
      </c>
      <c r="F2368" s="1">
        <v>1.0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1">
        <v>70.15</v>
      </c>
      <c r="T2368" s="1">
        <v>70.15</v>
      </c>
      <c r="U2368" s="1">
        <v>5.0</v>
      </c>
      <c r="V2368" s="1">
        <v>0.0</v>
      </c>
      <c r="W2368" s="1" t="s">
        <v>25</v>
      </c>
    </row>
    <row r="2369" ht="15.75" customHeight="1">
      <c r="A2369" s="1" t="s">
        <v>2406</v>
      </c>
      <c r="B2369" s="1" t="s">
        <v>24</v>
      </c>
      <c r="C2369" s="1">
        <v>0.0</v>
      </c>
      <c r="D2369" s="1" t="s">
        <v>26</v>
      </c>
      <c r="E2369" s="1" t="s">
        <v>26</v>
      </c>
      <c r="F2369" s="1">
        <v>1.0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1">
        <v>85.55</v>
      </c>
      <c r="T2369" s="1">
        <v>85.55</v>
      </c>
      <c r="U2369" s="1">
        <v>0.0</v>
      </c>
      <c r="V2369" s="1">
        <v>0.0</v>
      </c>
      <c r="W2369" s="1" t="s">
        <v>25</v>
      </c>
    </row>
    <row r="2370" ht="15.75" customHeight="1">
      <c r="A2370" s="1" t="s">
        <v>2407</v>
      </c>
      <c r="B2370" s="1" t="s">
        <v>24</v>
      </c>
      <c r="C2370" s="1">
        <v>0.0</v>
      </c>
      <c r="D2370" s="1" t="s">
        <v>25</v>
      </c>
      <c r="E2370" s="1" t="s">
        <v>26</v>
      </c>
      <c r="F2370" s="1">
        <v>72.0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1">
        <v>117.15</v>
      </c>
      <c r="T2370" s="1">
        <v>8529.5</v>
      </c>
      <c r="U2370" s="1">
        <v>0.0</v>
      </c>
      <c r="V2370" s="1">
        <v>6.0</v>
      </c>
      <c r="W2370" s="1" t="s">
        <v>26</v>
      </c>
    </row>
    <row r="2371" ht="15.75" customHeight="1">
      <c r="A2371" s="1" t="s">
        <v>2408</v>
      </c>
      <c r="B2371" s="1" t="s">
        <v>32</v>
      </c>
      <c r="C2371" s="1">
        <v>0.0</v>
      </c>
      <c r="D2371" s="1" t="s">
        <v>26</v>
      </c>
      <c r="E2371" s="1" t="s">
        <v>26</v>
      </c>
      <c r="F2371" s="1">
        <v>64.0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1">
        <v>99.25</v>
      </c>
      <c r="T2371" s="1">
        <v>6549.45</v>
      </c>
      <c r="U2371" s="1">
        <v>0.0</v>
      </c>
      <c r="V2371" s="1">
        <v>0.0</v>
      </c>
      <c r="W2371" s="1" t="s">
        <v>26</v>
      </c>
    </row>
    <row r="2372" ht="15.75" customHeight="1">
      <c r="A2372" s="1" t="s">
        <v>2409</v>
      </c>
      <c r="B2372" s="1" t="s">
        <v>32</v>
      </c>
      <c r="C2372" s="1">
        <v>0.0</v>
      </c>
      <c r="D2372" s="1" t="s">
        <v>25</v>
      </c>
      <c r="E2372" s="1" t="s">
        <v>26</v>
      </c>
      <c r="F2372" s="1">
        <v>69.0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1">
        <v>112.55</v>
      </c>
      <c r="T2372" s="1">
        <v>7806.5</v>
      </c>
      <c r="U2372" s="1">
        <v>0.0</v>
      </c>
      <c r="V2372" s="1">
        <v>0.0</v>
      </c>
      <c r="W2372" s="1" t="s">
        <v>26</v>
      </c>
    </row>
    <row r="2373" ht="15.75" customHeight="1">
      <c r="A2373" s="1" t="s">
        <v>2410</v>
      </c>
      <c r="B2373" s="1" t="s">
        <v>24</v>
      </c>
      <c r="C2373" s="1">
        <v>0.0</v>
      </c>
      <c r="D2373" s="1" t="s">
        <v>26</v>
      </c>
      <c r="E2373" s="1" t="s">
        <v>26</v>
      </c>
      <c r="F2373" s="1">
        <v>1.0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1">
        <v>25.7</v>
      </c>
      <c r="T2373" s="1">
        <v>25.7</v>
      </c>
      <c r="U2373" s="1">
        <v>0.0</v>
      </c>
      <c r="V2373" s="1">
        <v>0.0</v>
      </c>
      <c r="W2373" s="1" t="s">
        <v>26</v>
      </c>
    </row>
    <row r="2374" ht="15.75" customHeight="1">
      <c r="A2374" s="1" t="s">
        <v>2411</v>
      </c>
      <c r="B2374" s="1" t="s">
        <v>32</v>
      </c>
      <c r="C2374" s="1">
        <v>0.0</v>
      </c>
      <c r="D2374" s="1" t="s">
        <v>25</v>
      </c>
      <c r="E2374" s="1" t="s">
        <v>25</v>
      </c>
      <c r="F2374" s="1">
        <v>71.0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1">
        <v>90.3</v>
      </c>
      <c r="T2374" s="1">
        <v>6287.3</v>
      </c>
      <c r="U2374" s="1">
        <v>0.0</v>
      </c>
      <c r="V2374" s="1">
        <v>0.0</v>
      </c>
      <c r="W2374" s="1" t="s">
        <v>26</v>
      </c>
    </row>
    <row r="2375" ht="15.75" customHeight="1">
      <c r="A2375" s="1" t="s">
        <v>2412</v>
      </c>
      <c r="B2375" s="1" t="s">
        <v>24</v>
      </c>
      <c r="C2375" s="1">
        <v>0.0</v>
      </c>
      <c r="D2375" s="1" t="s">
        <v>25</v>
      </c>
      <c r="E2375" s="1" t="s">
        <v>25</v>
      </c>
      <c r="F2375" s="1">
        <v>66.0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1">
        <v>49.4</v>
      </c>
      <c r="T2375" s="1">
        <v>3251.85</v>
      </c>
      <c r="U2375" s="1">
        <v>0.0</v>
      </c>
      <c r="V2375" s="1">
        <v>0.0</v>
      </c>
      <c r="W2375" s="1" t="s">
        <v>26</v>
      </c>
    </row>
    <row r="2376" ht="15.75" customHeight="1">
      <c r="A2376" s="1" t="s">
        <v>2413</v>
      </c>
      <c r="B2376" s="1" t="s">
        <v>32</v>
      </c>
      <c r="C2376" s="1">
        <v>0.0</v>
      </c>
      <c r="D2376" s="1" t="s">
        <v>26</v>
      </c>
      <c r="E2376" s="1" t="s">
        <v>26</v>
      </c>
      <c r="F2376" s="1">
        <v>2.0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1">
        <v>19.4</v>
      </c>
      <c r="T2376" s="1">
        <v>50.6</v>
      </c>
      <c r="U2376" s="1">
        <v>2.0</v>
      </c>
      <c r="V2376" s="1">
        <v>0.0</v>
      </c>
      <c r="W2376" s="1" t="s">
        <v>26</v>
      </c>
    </row>
    <row r="2377" ht="15.75" customHeight="1">
      <c r="A2377" s="1" t="s">
        <v>2414</v>
      </c>
      <c r="B2377" s="1" t="s">
        <v>24</v>
      </c>
      <c r="C2377" s="1">
        <v>1.0</v>
      </c>
      <c r="D2377" s="1" t="s">
        <v>25</v>
      </c>
      <c r="E2377" s="1" t="s">
        <v>26</v>
      </c>
      <c r="F2377" s="1">
        <v>71.0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1">
        <v>109.7</v>
      </c>
      <c r="T2377" s="1">
        <v>7904.25</v>
      </c>
      <c r="U2377" s="1">
        <v>0.0</v>
      </c>
      <c r="V2377" s="1">
        <v>0.0</v>
      </c>
      <c r="W2377" s="1" t="s">
        <v>26</v>
      </c>
    </row>
    <row r="2378" ht="15.75" customHeight="1">
      <c r="A2378" s="1" t="s">
        <v>2415</v>
      </c>
      <c r="B2378" s="1" t="s">
        <v>32</v>
      </c>
      <c r="C2378" s="1">
        <v>0.0</v>
      </c>
      <c r="D2378" s="1" t="s">
        <v>26</v>
      </c>
      <c r="E2378" s="1" t="s">
        <v>26</v>
      </c>
      <c r="F2378" s="1">
        <v>11.0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1">
        <v>61.25</v>
      </c>
      <c r="T2378" s="1">
        <v>729.95</v>
      </c>
      <c r="U2378" s="1">
        <v>0.0</v>
      </c>
      <c r="V2378" s="1">
        <v>0.0</v>
      </c>
      <c r="W2378" s="1" t="s">
        <v>26</v>
      </c>
    </row>
    <row r="2379" ht="15.75" customHeight="1">
      <c r="A2379" s="1" t="s">
        <v>2416</v>
      </c>
      <c r="B2379" s="1" t="s">
        <v>32</v>
      </c>
      <c r="C2379" s="1">
        <v>0.0</v>
      </c>
      <c r="D2379" s="1" t="s">
        <v>26</v>
      </c>
      <c r="E2379" s="1" t="s">
        <v>25</v>
      </c>
      <c r="F2379" s="1">
        <v>47.0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1">
        <v>55.3</v>
      </c>
      <c r="T2379" s="1">
        <v>2654.05</v>
      </c>
      <c r="U2379" s="1">
        <v>0.0</v>
      </c>
      <c r="V2379" s="1">
        <v>0.0</v>
      </c>
      <c r="W2379" s="1" t="s">
        <v>26</v>
      </c>
    </row>
    <row r="2380" ht="15.75" customHeight="1">
      <c r="A2380" s="1" t="s">
        <v>2417</v>
      </c>
      <c r="B2380" s="1" t="s">
        <v>24</v>
      </c>
      <c r="C2380" s="1">
        <v>0.0</v>
      </c>
      <c r="D2380" s="1" t="s">
        <v>25</v>
      </c>
      <c r="E2380" s="1" t="s">
        <v>26</v>
      </c>
      <c r="F2380" s="1">
        <v>35.0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1">
        <v>70.3</v>
      </c>
      <c r="T2380" s="1">
        <v>2416.55</v>
      </c>
      <c r="U2380" s="1">
        <v>0.0</v>
      </c>
      <c r="V2380" s="1">
        <v>0.0</v>
      </c>
      <c r="W2380" s="1" t="s">
        <v>25</v>
      </c>
    </row>
    <row r="2381" ht="15.75" customHeight="1">
      <c r="A2381" s="1" t="s">
        <v>2418</v>
      </c>
      <c r="B2381" s="1" t="s">
        <v>32</v>
      </c>
      <c r="C2381" s="1">
        <v>1.0</v>
      </c>
      <c r="D2381" s="1" t="s">
        <v>25</v>
      </c>
      <c r="E2381" s="1" t="s">
        <v>26</v>
      </c>
      <c r="F2381" s="1">
        <v>32.0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1">
        <v>106.35</v>
      </c>
      <c r="T2381" s="1">
        <v>3520.75</v>
      </c>
      <c r="U2381" s="1">
        <v>0.0</v>
      </c>
      <c r="V2381" s="1">
        <v>3.0</v>
      </c>
      <c r="W2381" s="1" t="s">
        <v>25</v>
      </c>
    </row>
    <row r="2382" ht="15.75" customHeight="1">
      <c r="A2382" s="1" t="s">
        <v>2419</v>
      </c>
      <c r="B2382" s="1" t="s">
        <v>32</v>
      </c>
      <c r="C2382" s="1">
        <v>0.0</v>
      </c>
      <c r="D2382" s="1" t="s">
        <v>25</v>
      </c>
      <c r="E2382" s="1" t="s">
        <v>25</v>
      </c>
      <c r="F2382" s="1">
        <v>60.0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1">
        <v>103.75</v>
      </c>
      <c r="T2382" s="1">
        <v>5969.95</v>
      </c>
      <c r="U2382" s="1">
        <v>0.0</v>
      </c>
      <c r="V2382" s="1">
        <v>0.0</v>
      </c>
      <c r="W2382" s="1" t="s">
        <v>26</v>
      </c>
    </row>
    <row r="2383" ht="15.75" customHeight="1">
      <c r="A2383" s="1" t="s">
        <v>2420</v>
      </c>
      <c r="B2383" s="1" t="s">
        <v>32</v>
      </c>
      <c r="C2383" s="1">
        <v>0.0</v>
      </c>
      <c r="D2383" s="1" t="s">
        <v>26</v>
      </c>
      <c r="E2383" s="1" t="s">
        <v>26</v>
      </c>
      <c r="F2383" s="1">
        <v>11.0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1">
        <v>19.5</v>
      </c>
      <c r="T2383" s="1">
        <v>226.8</v>
      </c>
      <c r="U2383" s="1">
        <v>0.0</v>
      </c>
      <c r="V2383" s="1">
        <v>0.0</v>
      </c>
      <c r="W2383" s="1" t="s">
        <v>26</v>
      </c>
    </row>
    <row r="2384" ht="15.75" customHeight="1">
      <c r="A2384" s="1" t="s">
        <v>2421</v>
      </c>
      <c r="B2384" s="1" t="s">
        <v>24</v>
      </c>
      <c r="C2384" s="1">
        <v>0.0</v>
      </c>
      <c r="D2384" s="1" t="s">
        <v>26</v>
      </c>
      <c r="E2384" s="1" t="s">
        <v>26</v>
      </c>
      <c r="F2384" s="1">
        <v>29.0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1">
        <v>39.5</v>
      </c>
      <c r="T2384" s="1">
        <v>1082.75</v>
      </c>
      <c r="U2384" s="1">
        <v>0.0</v>
      </c>
      <c r="V2384" s="1">
        <v>0.0</v>
      </c>
      <c r="W2384" s="1" t="s">
        <v>26</v>
      </c>
    </row>
    <row r="2385" ht="15.75" customHeight="1">
      <c r="A2385" s="1" t="s">
        <v>2422</v>
      </c>
      <c r="B2385" s="1" t="s">
        <v>32</v>
      </c>
      <c r="C2385" s="1">
        <v>0.0</v>
      </c>
      <c r="D2385" s="1" t="s">
        <v>25</v>
      </c>
      <c r="E2385" s="1" t="s">
        <v>25</v>
      </c>
      <c r="F2385" s="1">
        <v>21.0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1">
        <v>26.05</v>
      </c>
      <c r="T2385" s="1">
        <v>565.75</v>
      </c>
      <c r="U2385" s="1">
        <v>0.0</v>
      </c>
      <c r="V2385" s="1">
        <v>1.0</v>
      </c>
      <c r="W2385" s="1" t="s">
        <v>26</v>
      </c>
    </row>
    <row r="2386" ht="15.75" customHeight="1">
      <c r="A2386" s="1" t="s">
        <v>2423</v>
      </c>
      <c r="B2386" s="1" t="s">
        <v>32</v>
      </c>
      <c r="C2386" s="1">
        <v>1.0</v>
      </c>
      <c r="D2386" s="1" t="s">
        <v>25</v>
      </c>
      <c r="E2386" s="1" t="s">
        <v>26</v>
      </c>
      <c r="F2386" s="1">
        <v>48.0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1">
        <v>91.05</v>
      </c>
      <c r="T2386" s="1">
        <v>4370.75</v>
      </c>
      <c r="U2386" s="1">
        <v>0.0</v>
      </c>
      <c r="V2386" s="1">
        <v>0.0</v>
      </c>
      <c r="W2386" s="1" t="s">
        <v>26</v>
      </c>
    </row>
    <row r="2387" ht="15.75" customHeight="1">
      <c r="A2387" s="1" t="s">
        <v>2424</v>
      </c>
      <c r="B2387" s="1" t="s">
        <v>24</v>
      </c>
      <c r="C2387" s="1">
        <v>0.0</v>
      </c>
      <c r="D2387" s="1" t="s">
        <v>26</v>
      </c>
      <c r="E2387" s="1" t="s">
        <v>25</v>
      </c>
      <c r="F2387" s="1">
        <v>3.0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1">
        <v>29.65</v>
      </c>
      <c r="T2387" s="1">
        <v>90.05</v>
      </c>
      <c r="U2387" s="1">
        <v>0.0</v>
      </c>
      <c r="V2387" s="1">
        <v>0.0</v>
      </c>
      <c r="W2387" s="1" t="s">
        <v>26</v>
      </c>
    </row>
    <row r="2388" ht="15.75" customHeight="1">
      <c r="A2388" s="1" t="s">
        <v>2425</v>
      </c>
      <c r="B2388" s="1" t="s">
        <v>24</v>
      </c>
      <c r="C2388" s="1">
        <v>0.0</v>
      </c>
      <c r="D2388" s="1" t="s">
        <v>25</v>
      </c>
      <c r="E2388" s="1" t="s">
        <v>25</v>
      </c>
      <c r="F2388" s="1">
        <v>43.0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1">
        <v>50.2</v>
      </c>
      <c r="T2388" s="1">
        <v>2169.4</v>
      </c>
      <c r="U2388" s="1">
        <v>0.0</v>
      </c>
      <c r="V2388" s="1">
        <v>0.0</v>
      </c>
      <c r="W2388" s="1" t="s">
        <v>26</v>
      </c>
    </row>
    <row r="2389" ht="15.75" customHeight="1">
      <c r="A2389" s="1" t="s">
        <v>2426</v>
      </c>
      <c r="B2389" s="1" t="s">
        <v>32</v>
      </c>
      <c r="C2389" s="1">
        <v>0.0</v>
      </c>
      <c r="D2389" s="1" t="s">
        <v>26</v>
      </c>
      <c r="E2389" s="1" t="s">
        <v>26</v>
      </c>
      <c r="F2389" s="1">
        <v>5.0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1">
        <v>105.3</v>
      </c>
      <c r="T2389" s="1">
        <v>550.6</v>
      </c>
      <c r="U2389" s="1">
        <v>0.0</v>
      </c>
      <c r="V2389" s="1">
        <v>0.0</v>
      </c>
      <c r="W2389" s="1" t="s">
        <v>26</v>
      </c>
    </row>
    <row r="2390" ht="15.75" customHeight="1">
      <c r="A2390" s="1" t="s">
        <v>2427</v>
      </c>
      <c r="B2390" s="1" t="s">
        <v>24</v>
      </c>
      <c r="C2390" s="1">
        <v>0.0</v>
      </c>
      <c r="D2390" s="1" t="s">
        <v>26</v>
      </c>
      <c r="E2390" s="1" t="s">
        <v>26</v>
      </c>
      <c r="F2390" s="1">
        <v>1.0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1">
        <v>55.45</v>
      </c>
      <c r="T2390" s="1">
        <v>55.45</v>
      </c>
      <c r="U2390" s="1">
        <v>0.0</v>
      </c>
      <c r="V2390" s="1">
        <v>0.0</v>
      </c>
      <c r="W2390" s="1" t="s">
        <v>26</v>
      </c>
    </row>
    <row r="2391" ht="15.75" customHeight="1">
      <c r="A2391" s="1" t="s">
        <v>2428</v>
      </c>
      <c r="B2391" s="1" t="s">
        <v>32</v>
      </c>
      <c r="C2391" s="1">
        <v>0.0</v>
      </c>
      <c r="D2391" s="1" t="s">
        <v>25</v>
      </c>
      <c r="E2391" s="1" t="s">
        <v>25</v>
      </c>
      <c r="F2391" s="1">
        <v>71.0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1">
        <v>85.45</v>
      </c>
      <c r="T2391" s="1">
        <v>6300.85</v>
      </c>
      <c r="U2391" s="1">
        <v>0.0</v>
      </c>
      <c r="V2391" s="1">
        <v>0.0</v>
      </c>
      <c r="W2391" s="1" t="s">
        <v>26</v>
      </c>
    </row>
    <row r="2392" ht="15.75" customHeight="1">
      <c r="A2392" s="1" t="s">
        <v>2429</v>
      </c>
      <c r="B2392" s="1" t="s">
        <v>24</v>
      </c>
      <c r="C2392" s="1">
        <v>0.0</v>
      </c>
      <c r="D2392" s="1" t="s">
        <v>25</v>
      </c>
      <c r="E2392" s="1" t="s">
        <v>25</v>
      </c>
      <c r="F2392" s="1">
        <v>8.0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1">
        <v>19.8</v>
      </c>
      <c r="T2392" s="1">
        <v>160.05</v>
      </c>
      <c r="U2392" s="1">
        <v>0.0</v>
      </c>
      <c r="V2392" s="1">
        <v>0.0</v>
      </c>
      <c r="W2392" s="1" t="s">
        <v>26</v>
      </c>
    </row>
    <row r="2393" ht="15.75" customHeight="1">
      <c r="A2393" s="1" t="s">
        <v>2430</v>
      </c>
      <c r="B2393" s="1" t="s">
        <v>32</v>
      </c>
      <c r="C2393" s="1">
        <v>0.0</v>
      </c>
      <c r="D2393" s="1" t="s">
        <v>26</v>
      </c>
      <c r="E2393" s="1" t="s">
        <v>26</v>
      </c>
      <c r="F2393" s="1">
        <v>8.0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1">
        <v>59.25</v>
      </c>
      <c r="T2393" s="1">
        <v>436.6</v>
      </c>
      <c r="U2393" s="1">
        <v>0.0</v>
      </c>
      <c r="V2393" s="1">
        <v>0.0</v>
      </c>
      <c r="W2393" s="1" t="s">
        <v>26</v>
      </c>
    </row>
    <row r="2394" ht="15.75" customHeight="1">
      <c r="A2394" s="1" t="s">
        <v>2431</v>
      </c>
      <c r="B2394" s="1" t="s">
        <v>32</v>
      </c>
      <c r="C2394" s="1">
        <v>0.0</v>
      </c>
      <c r="D2394" s="1" t="s">
        <v>26</v>
      </c>
      <c r="E2394" s="1" t="s">
        <v>26</v>
      </c>
      <c r="F2394" s="1">
        <v>20.0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1">
        <v>90.7</v>
      </c>
      <c r="T2394" s="1">
        <v>1781.35</v>
      </c>
      <c r="U2394" s="1">
        <v>0.0</v>
      </c>
      <c r="V2394" s="1">
        <v>0.0</v>
      </c>
      <c r="W2394" s="1" t="s">
        <v>26</v>
      </c>
    </row>
    <row r="2395" ht="15.75" customHeight="1">
      <c r="A2395" s="1" t="s">
        <v>2432</v>
      </c>
      <c r="B2395" s="1" t="s">
        <v>24</v>
      </c>
      <c r="C2395" s="1">
        <v>0.0</v>
      </c>
      <c r="D2395" s="1" t="s">
        <v>25</v>
      </c>
      <c r="E2395" s="1" t="s">
        <v>25</v>
      </c>
      <c r="F2395" s="1">
        <v>33.0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1">
        <v>103.7</v>
      </c>
      <c r="T2395" s="1">
        <v>3467.0</v>
      </c>
      <c r="U2395" s="1">
        <v>0.0</v>
      </c>
      <c r="V2395" s="1">
        <v>3.0</v>
      </c>
      <c r="W2395" s="1" t="s">
        <v>25</v>
      </c>
    </row>
    <row r="2396" ht="15.75" customHeight="1">
      <c r="A2396" s="1" t="s">
        <v>2433</v>
      </c>
      <c r="B2396" s="1" t="s">
        <v>32</v>
      </c>
      <c r="C2396" s="1">
        <v>0.0</v>
      </c>
      <c r="D2396" s="1" t="s">
        <v>26</v>
      </c>
      <c r="E2396" s="1" t="s">
        <v>26</v>
      </c>
      <c r="F2396" s="1">
        <v>71.0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1">
        <v>79.05</v>
      </c>
      <c r="T2396" s="1">
        <v>5552.5</v>
      </c>
      <c r="U2396" s="1">
        <v>0.0</v>
      </c>
      <c r="V2396" s="1">
        <v>0.0</v>
      </c>
      <c r="W2396" s="1" t="s">
        <v>26</v>
      </c>
    </row>
    <row r="2397" ht="15.75" customHeight="1">
      <c r="A2397" s="1" t="s">
        <v>2434</v>
      </c>
      <c r="B2397" s="1" t="s">
        <v>24</v>
      </c>
      <c r="C2397" s="1">
        <v>1.0</v>
      </c>
      <c r="D2397" s="1" t="s">
        <v>25</v>
      </c>
      <c r="E2397" s="1" t="s">
        <v>26</v>
      </c>
      <c r="F2397" s="1">
        <v>31.0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1">
        <v>90.7</v>
      </c>
      <c r="T2397" s="1">
        <v>2835.5</v>
      </c>
      <c r="U2397" s="1">
        <v>0.0</v>
      </c>
      <c r="V2397" s="1">
        <v>0.0</v>
      </c>
      <c r="W2397" s="1" t="s">
        <v>26</v>
      </c>
    </row>
    <row r="2398" ht="15.75" customHeight="1">
      <c r="A2398" s="1" t="s">
        <v>2435</v>
      </c>
      <c r="B2398" s="1" t="s">
        <v>24</v>
      </c>
      <c r="C2398" s="1">
        <v>1.0</v>
      </c>
      <c r="D2398" s="1" t="s">
        <v>25</v>
      </c>
      <c r="E2398" s="1" t="s">
        <v>26</v>
      </c>
      <c r="F2398" s="1">
        <v>38.0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1">
        <v>95.0</v>
      </c>
      <c r="T2398" s="1">
        <v>3591.25</v>
      </c>
      <c r="U2398" s="1">
        <v>0.0</v>
      </c>
      <c r="V2398" s="1">
        <v>0.0</v>
      </c>
      <c r="W2398" s="1" t="s">
        <v>26</v>
      </c>
    </row>
    <row r="2399" ht="15.75" customHeight="1">
      <c r="A2399" s="1" t="s">
        <v>2436</v>
      </c>
      <c r="B2399" s="1" t="s">
        <v>32</v>
      </c>
      <c r="C2399" s="1">
        <v>0.0</v>
      </c>
      <c r="D2399" s="1" t="s">
        <v>26</v>
      </c>
      <c r="E2399" s="1" t="s">
        <v>26</v>
      </c>
      <c r="F2399" s="1">
        <v>1.0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1">
        <v>88.35</v>
      </c>
      <c r="T2399" s="1">
        <v>88.35</v>
      </c>
      <c r="U2399" s="1">
        <v>0.0</v>
      </c>
      <c r="V2399" s="1">
        <v>0.0</v>
      </c>
      <c r="W2399" s="1" t="s">
        <v>25</v>
      </c>
    </row>
    <row r="2400" ht="15.75" customHeight="1">
      <c r="A2400" s="1" t="s">
        <v>2437</v>
      </c>
      <c r="B2400" s="1" t="s">
        <v>24</v>
      </c>
      <c r="C2400" s="1">
        <v>0.0</v>
      </c>
      <c r="D2400" s="1" t="s">
        <v>25</v>
      </c>
      <c r="E2400" s="1" t="s">
        <v>25</v>
      </c>
      <c r="F2400" s="1">
        <v>2.0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1">
        <v>30.25</v>
      </c>
      <c r="T2400" s="1">
        <v>63.75</v>
      </c>
      <c r="U2400" s="1">
        <v>0.0</v>
      </c>
      <c r="V2400" s="1">
        <v>0.0</v>
      </c>
      <c r="W2400" s="1" t="s">
        <v>26</v>
      </c>
    </row>
    <row r="2401" ht="15.75" customHeight="1">
      <c r="A2401" s="1" t="s">
        <v>2438</v>
      </c>
      <c r="B2401" s="1" t="s">
        <v>24</v>
      </c>
      <c r="C2401" s="1">
        <v>0.0</v>
      </c>
      <c r="D2401" s="1" t="s">
        <v>25</v>
      </c>
      <c r="E2401" s="1" t="s">
        <v>26</v>
      </c>
      <c r="F2401" s="1">
        <v>12.0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1">
        <v>49.85</v>
      </c>
      <c r="T2401" s="1">
        <v>617.15</v>
      </c>
      <c r="U2401" s="1">
        <v>0.0</v>
      </c>
      <c r="V2401" s="1">
        <v>0.0</v>
      </c>
      <c r="W2401" s="1" t="s">
        <v>26</v>
      </c>
    </row>
    <row r="2402" ht="15.75" customHeight="1">
      <c r="A2402" s="1" t="s">
        <v>2439</v>
      </c>
      <c r="B2402" s="1" t="s">
        <v>24</v>
      </c>
      <c r="C2402" s="1">
        <v>0.0</v>
      </c>
      <c r="D2402" s="1" t="s">
        <v>26</v>
      </c>
      <c r="E2402" s="1" t="s">
        <v>25</v>
      </c>
      <c r="F2402" s="1">
        <v>9.0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1">
        <v>93.0</v>
      </c>
      <c r="T2402" s="1">
        <v>870.25</v>
      </c>
      <c r="U2402" s="1">
        <v>0.0</v>
      </c>
      <c r="V2402" s="1">
        <v>0.0</v>
      </c>
      <c r="W2402" s="1" t="s">
        <v>26</v>
      </c>
    </row>
    <row r="2403" ht="15.75" customHeight="1">
      <c r="A2403" s="1" t="s">
        <v>2440</v>
      </c>
      <c r="B2403" s="1" t="s">
        <v>32</v>
      </c>
      <c r="C2403" s="1">
        <v>1.0</v>
      </c>
      <c r="D2403" s="1" t="s">
        <v>26</v>
      </c>
      <c r="E2403" s="1" t="s">
        <v>25</v>
      </c>
      <c r="F2403" s="1">
        <v>11.0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1">
        <v>54.55</v>
      </c>
      <c r="T2403" s="1">
        <v>601.25</v>
      </c>
      <c r="U2403" s="1">
        <v>0.0</v>
      </c>
      <c r="V2403" s="1">
        <v>0.0</v>
      </c>
      <c r="W2403" s="1" t="s">
        <v>26</v>
      </c>
    </row>
    <row r="2404" ht="15.75" customHeight="1">
      <c r="A2404" s="1" t="s">
        <v>2441</v>
      </c>
      <c r="B2404" s="1" t="s">
        <v>32</v>
      </c>
      <c r="C2404" s="1">
        <v>0.0</v>
      </c>
      <c r="D2404" s="1" t="s">
        <v>26</v>
      </c>
      <c r="E2404" s="1" t="s">
        <v>25</v>
      </c>
      <c r="F2404" s="1">
        <v>6.0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1">
        <v>19.7</v>
      </c>
      <c r="T2404" s="1">
        <v>111.65</v>
      </c>
      <c r="U2404" s="1">
        <v>0.0</v>
      </c>
      <c r="V2404" s="1">
        <v>0.0</v>
      </c>
      <c r="W2404" s="1" t="s">
        <v>26</v>
      </c>
    </row>
    <row r="2405" ht="15.75" customHeight="1">
      <c r="A2405" s="1" t="s">
        <v>2442</v>
      </c>
      <c r="B2405" s="1" t="s">
        <v>24</v>
      </c>
      <c r="C2405" s="1">
        <v>0.0</v>
      </c>
      <c r="D2405" s="1" t="s">
        <v>25</v>
      </c>
      <c r="E2405" s="1" t="s">
        <v>26</v>
      </c>
      <c r="F2405" s="1">
        <v>71.0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1">
        <v>84.8</v>
      </c>
      <c r="T2405" s="1">
        <v>6046.1</v>
      </c>
      <c r="U2405" s="1">
        <v>0.0</v>
      </c>
      <c r="V2405" s="1">
        <v>0.0</v>
      </c>
      <c r="W2405" s="1" t="s">
        <v>26</v>
      </c>
    </row>
    <row r="2406" ht="15.75" customHeight="1">
      <c r="A2406" s="1" t="s">
        <v>2443</v>
      </c>
      <c r="B2406" s="1" t="s">
        <v>24</v>
      </c>
      <c r="C2406" s="1">
        <v>0.0</v>
      </c>
      <c r="D2406" s="1" t="s">
        <v>25</v>
      </c>
      <c r="E2406" s="1" t="s">
        <v>25</v>
      </c>
      <c r="F2406" s="1">
        <v>42.0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1">
        <v>94.45</v>
      </c>
      <c r="T2406" s="1">
        <v>3923.8</v>
      </c>
      <c r="U2406" s="1">
        <v>0.0</v>
      </c>
      <c r="V2406" s="1">
        <v>4.0</v>
      </c>
      <c r="W2406" s="1" t="s">
        <v>26</v>
      </c>
    </row>
    <row r="2407" ht="15.75" customHeight="1">
      <c r="A2407" s="1" t="s">
        <v>2444</v>
      </c>
      <c r="B2407" s="1" t="s">
        <v>24</v>
      </c>
      <c r="C2407" s="1">
        <v>0.0</v>
      </c>
      <c r="D2407" s="1" t="s">
        <v>25</v>
      </c>
      <c r="E2407" s="1" t="s">
        <v>25</v>
      </c>
      <c r="F2407" s="1">
        <v>8.0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1">
        <v>94.2</v>
      </c>
      <c r="T2407" s="1">
        <v>777.3</v>
      </c>
      <c r="U2407" s="1">
        <v>0.0</v>
      </c>
      <c r="V2407" s="1">
        <v>1.0</v>
      </c>
      <c r="W2407" s="1" t="s">
        <v>25</v>
      </c>
    </row>
    <row r="2408" ht="15.75" customHeight="1">
      <c r="A2408" s="1" t="s">
        <v>2445</v>
      </c>
      <c r="B2408" s="1" t="s">
        <v>24</v>
      </c>
      <c r="C2408" s="1">
        <v>0.0</v>
      </c>
      <c r="D2408" s="1" t="s">
        <v>26</v>
      </c>
      <c r="E2408" s="1" t="s">
        <v>26</v>
      </c>
      <c r="F2408" s="1">
        <v>5.0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1">
        <v>96.25</v>
      </c>
      <c r="T2408" s="1">
        <v>512.45</v>
      </c>
      <c r="U2408" s="1">
        <v>0.0</v>
      </c>
      <c r="V2408" s="1">
        <v>0.0</v>
      </c>
      <c r="W2408" s="1" t="s">
        <v>25</v>
      </c>
    </row>
    <row r="2409" ht="15.75" customHeight="1">
      <c r="A2409" s="1" t="s">
        <v>2446</v>
      </c>
      <c r="B2409" s="1" t="s">
        <v>24</v>
      </c>
      <c r="C2409" s="1">
        <v>0.0</v>
      </c>
      <c r="D2409" s="1" t="s">
        <v>25</v>
      </c>
      <c r="E2409" s="1" t="s">
        <v>26</v>
      </c>
      <c r="F2409" s="1">
        <v>2.0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1">
        <v>70.7</v>
      </c>
      <c r="T2409" s="1">
        <v>141.45</v>
      </c>
      <c r="U2409" s="1">
        <v>2.0</v>
      </c>
      <c r="V2409" s="1">
        <v>0.0</v>
      </c>
      <c r="W2409" s="1" t="s">
        <v>25</v>
      </c>
    </row>
    <row r="2410" ht="15.75" customHeight="1">
      <c r="A2410" s="1" t="s">
        <v>2447</v>
      </c>
      <c r="B2410" s="1" t="s">
        <v>24</v>
      </c>
      <c r="C2410" s="1">
        <v>0.0</v>
      </c>
      <c r="D2410" s="1" t="s">
        <v>25</v>
      </c>
      <c r="E2410" s="1" t="s">
        <v>25</v>
      </c>
      <c r="F2410" s="1">
        <v>45.0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1">
        <v>20.85</v>
      </c>
      <c r="T2410" s="1">
        <v>892.15</v>
      </c>
      <c r="U2410" s="1">
        <v>0.0</v>
      </c>
      <c r="V2410" s="1">
        <v>0.0</v>
      </c>
      <c r="W2410" s="1" t="s">
        <v>26</v>
      </c>
    </row>
    <row r="2411" ht="15.75" customHeight="1">
      <c r="A2411" s="1" t="s">
        <v>2448</v>
      </c>
      <c r="B2411" s="1" t="s">
        <v>32</v>
      </c>
      <c r="C2411" s="1">
        <v>0.0</v>
      </c>
      <c r="D2411" s="1" t="s">
        <v>25</v>
      </c>
      <c r="E2411" s="1" t="s">
        <v>25</v>
      </c>
      <c r="F2411" s="1">
        <v>28.0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1">
        <v>60.0</v>
      </c>
      <c r="T2411" s="1">
        <v>1682.05</v>
      </c>
      <c r="U2411" s="1">
        <v>0.0</v>
      </c>
      <c r="V2411" s="1">
        <v>0.0</v>
      </c>
      <c r="W2411" s="1" t="s">
        <v>26</v>
      </c>
    </row>
    <row r="2412" ht="15.75" customHeight="1">
      <c r="A2412" s="1" t="s">
        <v>2449</v>
      </c>
      <c r="B2412" s="1" t="s">
        <v>24</v>
      </c>
      <c r="C2412" s="1">
        <v>0.0</v>
      </c>
      <c r="D2412" s="1" t="s">
        <v>25</v>
      </c>
      <c r="E2412" s="1" t="s">
        <v>26</v>
      </c>
      <c r="F2412" s="1">
        <v>43.0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1">
        <v>80.45</v>
      </c>
      <c r="T2412" s="1">
        <v>3398.9</v>
      </c>
      <c r="U2412" s="1">
        <v>0.0</v>
      </c>
      <c r="V2412" s="1">
        <v>0.0</v>
      </c>
      <c r="W2412" s="1" t="s">
        <v>26</v>
      </c>
    </row>
    <row r="2413" ht="15.75" customHeight="1">
      <c r="A2413" s="1" t="s">
        <v>2450</v>
      </c>
      <c r="B2413" s="1" t="s">
        <v>32</v>
      </c>
      <c r="C2413" s="1">
        <v>0.0</v>
      </c>
      <c r="D2413" s="1" t="s">
        <v>26</v>
      </c>
      <c r="E2413" s="1" t="s">
        <v>25</v>
      </c>
      <c r="F2413" s="1">
        <v>60.0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1">
        <v>84.95</v>
      </c>
      <c r="T2413" s="1">
        <v>4984.85</v>
      </c>
      <c r="U2413" s="1">
        <v>0.0</v>
      </c>
      <c r="V2413" s="1">
        <v>0.0</v>
      </c>
      <c r="W2413" s="1" t="s">
        <v>26</v>
      </c>
    </row>
    <row r="2414" ht="15.75" customHeight="1">
      <c r="A2414" s="1" t="s">
        <v>2451</v>
      </c>
      <c r="B2414" s="1" t="s">
        <v>24</v>
      </c>
      <c r="C2414" s="1">
        <v>0.0</v>
      </c>
      <c r="D2414" s="1" t="s">
        <v>25</v>
      </c>
      <c r="E2414" s="1" t="s">
        <v>26</v>
      </c>
      <c r="F2414" s="1">
        <v>42.0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1">
        <v>33.55</v>
      </c>
      <c r="T2414" s="1">
        <v>1445.3</v>
      </c>
      <c r="U2414" s="1">
        <v>2.0</v>
      </c>
      <c r="V2414" s="1">
        <v>0.0</v>
      </c>
      <c r="W2414" s="1" t="s">
        <v>25</v>
      </c>
    </row>
    <row r="2415" ht="15.75" customHeight="1">
      <c r="A2415" s="1" t="s">
        <v>2452</v>
      </c>
      <c r="B2415" s="1" t="s">
        <v>32</v>
      </c>
      <c r="C2415" s="1">
        <v>0.0</v>
      </c>
      <c r="D2415" s="1" t="s">
        <v>25</v>
      </c>
      <c r="E2415" s="1" t="s">
        <v>25</v>
      </c>
      <c r="F2415" s="1">
        <v>7.0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1">
        <v>49.65</v>
      </c>
      <c r="T2415" s="1">
        <v>305.55</v>
      </c>
      <c r="U2415" s="1">
        <v>3.0</v>
      </c>
      <c r="V2415" s="1">
        <v>0.0</v>
      </c>
      <c r="W2415" s="1" t="s">
        <v>26</v>
      </c>
    </row>
    <row r="2416" ht="15.75" customHeight="1">
      <c r="A2416" s="1" t="s">
        <v>2453</v>
      </c>
      <c r="B2416" s="1" t="s">
        <v>24</v>
      </c>
      <c r="C2416" s="1">
        <v>0.0</v>
      </c>
      <c r="D2416" s="1" t="s">
        <v>25</v>
      </c>
      <c r="E2416" s="1" t="s">
        <v>26</v>
      </c>
      <c r="F2416" s="1">
        <v>25.0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1">
        <v>20.2</v>
      </c>
      <c r="T2416" s="1">
        <v>507.9</v>
      </c>
      <c r="U2416" s="1">
        <v>0.0</v>
      </c>
      <c r="V2416" s="1">
        <v>0.0</v>
      </c>
      <c r="W2416" s="1" t="s">
        <v>26</v>
      </c>
    </row>
    <row r="2417" ht="15.75" customHeight="1">
      <c r="A2417" s="1" t="s">
        <v>2454</v>
      </c>
      <c r="B2417" s="1" t="s">
        <v>24</v>
      </c>
      <c r="C2417" s="1">
        <v>1.0</v>
      </c>
      <c r="D2417" s="1" t="s">
        <v>25</v>
      </c>
      <c r="E2417" s="1" t="s">
        <v>25</v>
      </c>
      <c r="F2417" s="1">
        <v>40.0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1">
        <v>94.55</v>
      </c>
      <c r="T2417" s="1">
        <v>3640.45</v>
      </c>
      <c r="U2417" s="1">
        <v>0.0</v>
      </c>
      <c r="V2417" s="1">
        <v>6.0</v>
      </c>
      <c r="W2417" s="1" t="s">
        <v>25</v>
      </c>
    </row>
    <row r="2418" ht="15.75" customHeight="1">
      <c r="A2418" s="1" t="s">
        <v>2455</v>
      </c>
      <c r="B2418" s="1" t="s">
        <v>32</v>
      </c>
      <c r="C2418" s="1">
        <v>0.0</v>
      </c>
      <c r="D2418" s="1" t="s">
        <v>26</v>
      </c>
      <c r="E2418" s="1" t="s">
        <v>26</v>
      </c>
      <c r="F2418" s="1">
        <v>27.0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1">
        <v>100.5</v>
      </c>
      <c r="T2418" s="1">
        <v>2673.45</v>
      </c>
      <c r="U2418" s="1">
        <v>3.0</v>
      </c>
      <c r="V2418" s="1">
        <v>0.0</v>
      </c>
      <c r="W2418" s="1" t="s">
        <v>26</v>
      </c>
    </row>
    <row r="2419" ht="15.75" customHeight="1">
      <c r="A2419" s="1" t="s">
        <v>2456</v>
      </c>
      <c r="B2419" s="1" t="s">
        <v>32</v>
      </c>
      <c r="C2419" s="1">
        <v>0.0</v>
      </c>
      <c r="D2419" s="1" t="s">
        <v>26</v>
      </c>
      <c r="E2419" s="1" t="s">
        <v>26</v>
      </c>
      <c r="F2419" s="1">
        <v>10.0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1">
        <v>35.75</v>
      </c>
      <c r="T2419" s="1">
        <v>389.8</v>
      </c>
      <c r="U2419" s="1">
        <v>3.0</v>
      </c>
      <c r="V2419" s="1">
        <v>0.0</v>
      </c>
      <c r="W2419" s="1" t="s">
        <v>26</v>
      </c>
    </row>
    <row r="2420" ht="15.75" customHeight="1">
      <c r="A2420" s="1" t="s">
        <v>2457</v>
      </c>
      <c r="B2420" s="1" t="s">
        <v>24</v>
      </c>
      <c r="C2420" s="1">
        <v>1.0</v>
      </c>
      <c r="D2420" s="1" t="s">
        <v>26</v>
      </c>
      <c r="E2420" s="1" t="s">
        <v>26</v>
      </c>
      <c r="F2420" s="1">
        <v>27.0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1">
        <v>86.45</v>
      </c>
      <c r="T2420" s="1">
        <v>2401.05</v>
      </c>
      <c r="U2420" s="1">
        <v>0.0</v>
      </c>
      <c r="V2420" s="1">
        <v>0.0</v>
      </c>
      <c r="W2420" s="1" t="s">
        <v>26</v>
      </c>
    </row>
    <row r="2421" ht="15.75" customHeight="1">
      <c r="A2421" s="1" t="s">
        <v>2458</v>
      </c>
      <c r="B2421" s="1" t="s">
        <v>24</v>
      </c>
      <c r="C2421" s="1">
        <v>0.0</v>
      </c>
      <c r="D2421" s="1" t="s">
        <v>26</v>
      </c>
      <c r="E2421" s="1" t="s">
        <v>26</v>
      </c>
      <c r="F2421" s="1">
        <v>11.0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1">
        <v>53.8</v>
      </c>
      <c r="T2421" s="1">
        <v>651.55</v>
      </c>
      <c r="U2421" s="1">
        <v>4.0</v>
      </c>
      <c r="V2421" s="1">
        <v>0.0</v>
      </c>
      <c r="W2421" s="1" t="s">
        <v>26</v>
      </c>
    </row>
    <row r="2422" ht="15.75" customHeight="1">
      <c r="A2422" s="1" t="s">
        <v>2459</v>
      </c>
      <c r="B2422" s="1" t="s">
        <v>32</v>
      </c>
      <c r="C2422" s="1">
        <v>0.0</v>
      </c>
      <c r="D2422" s="1" t="s">
        <v>25</v>
      </c>
      <c r="E2422" s="1" t="s">
        <v>25</v>
      </c>
      <c r="F2422" s="1">
        <v>4.0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1">
        <v>38.55</v>
      </c>
      <c r="T2422" s="1">
        <v>156.1</v>
      </c>
      <c r="U2422" s="1">
        <v>0.0</v>
      </c>
      <c r="V2422" s="1">
        <v>0.0</v>
      </c>
      <c r="W2422" s="1" t="s">
        <v>26</v>
      </c>
    </row>
    <row r="2423" ht="15.75" customHeight="1">
      <c r="A2423" s="1" t="s">
        <v>2460</v>
      </c>
      <c r="B2423" s="1" t="s">
        <v>32</v>
      </c>
      <c r="C2423" s="1">
        <v>0.0</v>
      </c>
      <c r="D2423" s="1" t="s">
        <v>26</v>
      </c>
      <c r="E2423" s="1" t="s">
        <v>26</v>
      </c>
      <c r="F2423" s="1">
        <v>68.0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1">
        <v>39.9</v>
      </c>
      <c r="T2423" s="1">
        <v>2796.35</v>
      </c>
      <c r="U2423" s="1">
        <v>0.0</v>
      </c>
      <c r="V2423" s="1">
        <v>0.0</v>
      </c>
      <c r="W2423" s="1" t="s">
        <v>26</v>
      </c>
    </row>
    <row r="2424" ht="15.75" customHeight="1">
      <c r="A2424" s="1" t="s">
        <v>2461</v>
      </c>
      <c r="B2424" s="1" t="s">
        <v>32</v>
      </c>
      <c r="C2424" s="1">
        <v>1.0</v>
      </c>
      <c r="D2424" s="1" t="s">
        <v>26</v>
      </c>
      <c r="E2424" s="1" t="s">
        <v>26</v>
      </c>
      <c r="F2424" s="1">
        <v>1.0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1">
        <v>70.05</v>
      </c>
      <c r="T2424" s="1">
        <v>70.05</v>
      </c>
      <c r="U2424" s="1">
        <v>0.0</v>
      </c>
      <c r="V2424" s="1">
        <v>0.0</v>
      </c>
      <c r="W2424" s="1" t="s">
        <v>26</v>
      </c>
    </row>
    <row r="2425" ht="15.75" customHeight="1">
      <c r="A2425" s="1" t="s">
        <v>2462</v>
      </c>
      <c r="B2425" s="1" t="s">
        <v>24</v>
      </c>
      <c r="C2425" s="1">
        <v>0.0</v>
      </c>
      <c r="D2425" s="1" t="s">
        <v>26</v>
      </c>
      <c r="E2425" s="1" t="s">
        <v>26</v>
      </c>
      <c r="F2425" s="1">
        <v>18.0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1">
        <v>20.1</v>
      </c>
      <c r="T2425" s="1">
        <v>407.05</v>
      </c>
      <c r="U2425" s="1">
        <v>0.0</v>
      </c>
      <c r="V2425" s="1">
        <v>0.0</v>
      </c>
      <c r="W2425" s="1" t="s">
        <v>26</v>
      </c>
    </row>
    <row r="2426" ht="15.75" customHeight="1">
      <c r="A2426" s="1" t="s">
        <v>2463</v>
      </c>
      <c r="B2426" s="1" t="s">
        <v>24</v>
      </c>
      <c r="C2426" s="1">
        <v>0.0</v>
      </c>
      <c r="D2426" s="1" t="s">
        <v>26</v>
      </c>
      <c r="E2426" s="1" t="s">
        <v>26</v>
      </c>
      <c r="F2426" s="1">
        <v>57.0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1">
        <v>112.95</v>
      </c>
      <c r="T2426" s="1">
        <v>6465.0</v>
      </c>
      <c r="U2426" s="1">
        <v>3.0</v>
      </c>
      <c r="V2426" s="1">
        <v>5.0</v>
      </c>
      <c r="W2426" s="1" t="s">
        <v>25</v>
      </c>
    </row>
    <row r="2427" ht="15.75" customHeight="1">
      <c r="A2427" s="1" t="s">
        <v>2464</v>
      </c>
      <c r="B2427" s="1" t="s">
        <v>32</v>
      </c>
      <c r="C2427" s="1">
        <v>0.0</v>
      </c>
      <c r="D2427" s="1" t="s">
        <v>26</v>
      </c>
      <c r="E2427" s="1" t="s">
        <v>26</v>
      </c>
      <c r="F2427" s="1">
        <v>26.0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1">
        <v>20.3</v>
      </c>
      <c r="T2427" s="1">
        <v>511.25</v>
      </c>
      <c r="U2427" s="1">
        <v>0.0</v>
      </c>
      <c r="V2427" s="1">
        <v>0.0</v>
      </c>
      <c r="W2427" s="1" t="s">
        <v>26</v>
      </c>
    </row>
    <row r="2428" ht="15.75" customHeight="1">
      <c r="A2428" s="1" t="s">
        <v>2465</v>
      </c>
      <c r="B2428" s="1" t="s">
        <v>24</v>
      </c>
      <c r="C2428" s="1">
        <v>0.0</v>
      </c>
      <c r="D2428" s="1" t="s">
        <v>25</v>
      </c>
      <c r="E2428" s="1" t="s">
        <v>26</v>
      </c>
      <c r="F2428" s="1">
        <v>17.0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1">
        <v>35.65</v>
      </c>
      <c r="T2428" s="1">
        <v>646.05</v>
      </c>
      <c r="U2428" s="1">
        <v>0.0</v>
      </c>
      <c r="V2428" s="1">
        <v>0.0</v>
      </c>
      <c r="W2428" s="1" t="s">
        <v>26</v>
      </c>
    </row>
    <row r="2429" ht="15.75" customHeight="1">
      <c r="A2429" s="1" t="s">
        <v>2466</v>
      </c>
      <c r="B2429" s="1" t="s">
        <v>32</v>
      </c>
      <c r="C2429" s="1">
        <v>0.0</v>
      </c>
      <c r="D2429" s="1" t="s">
        <v>26</v>
      </c>
      <c r="E2429" s="1" t="s">
        <v>26</v>
      </c>
      <c r="F2429" s="1">
        <v>1.0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1">
        <v>35.9</v>
      </c>
      <c r="T2429" s="1">
        <v>35.9</v>
      </c>
      <c r="U2429" s="1">
        <v>0.0</v>
      </c>
      <c r="V2429" s="1">
        <v>0.0</v>
      </c>
      <c r="W2429" s="1" t="s">
        <v>25</v>
      </c>
    </row>
    <row r="2430" ht="15.75" customHeight="1">
      <c r="A2430" s="1" t="s">
        <v>2467</v>
      </c>
      <c r="B2430" s="1" t="s">
        <v>32</v>
      </c>
      <c r="C2430" s="1">
        <v>0.0</v>
      </c>
      <c r="D2430" s="1" t="s">
        <v>26</v>
      </c>
      <c r="E2430" s="1" t="s">
        <v>25</v>
      </c>
      <c r="F2430" s="1">
        <v>38.0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1">
        <v>99.25</v>
      </c>
      <c r="T2430" s="1">
        <v>3777.15</v>
      </c>
      <c r="U2430" s="1">
        <v>0.0</v>
      </c>
      <c r="V2430" s="1">
        <v>4.0</v>
      </c>
      <c r="W2430" s="1" t="s">
        <v>25</v>
      </c>
    </row>
    <row r="2431" ht="15.75" customHeight="1">
      <c r="A2431" s="1" t="s">
        <v>2468</v>
      </c>
      <c r="B2431" s="1" t="s">
        <v>32</v>
      </c>
      <c r="C2431" s="1">
        <v>1.0</v>
      </c>
      <c r="D2431" s="1" t="s">
        <v>25</v>
      </c>
      <c r="E2431" s="1" t="s">
        <v>26</v>
      </c>
      <c r="F2431" s="1">
        <v>59.0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1">
        <v>82.95</v>
      </c>
      <c r="T2431" s="1">
        <v>4903.15</v>
      </c>
      <c r="U2431" s="1">
        <v>0.0</v>
      </c>
      <c r="V2431" s="1">
        <v>0.0</v>
      </c>
      <c r="W2431" s="1" t="s">
        <v>26</v>
      </c>
    </row>
    <row r="2432" ht="15.75" customHeight="1">
      <c r="A2432" s="1" t="s">
        <v>2469</v>
      </c>
      <c r="B2432" s="1" t="s">
        <v>32</v>
      </c>
      <c r="C2432" s="1">
        <v>0.0</v>
      </c>
      <c r="D2432" s="1" t="s">
        <v>26</v>
      </c>
      <c r="E2432" s="1" t="s">
        <v>26</v>
      </c>
      <c r="F2432" s="1">
        <v>30.0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1">
        <v>55.65</v>
      </c>
      <c r="T2432" s="1">
        <v>1653.85</v>
      </c>
      <c r="U2432" s="1">
        <v>0.0</v>
      </c>
      <c r="V2432" s="1">
        <v>0.0</v>
      </c>
      <c r="W2432" s="1" t="s">
        <v>26</v>
      </c>
    </row>
    <row r="2433" ht="15.75" customHeight="1">
      <c r="A2433" s="1" t="s">
        <v>2470</v>
      </c>
      <c r="B2433" s="1" t="s">
        <v>32</v>
      </c>
      <c r="C2433" s="1">
        <v>1.0</v>
      </c>
      <c r="D2433" s="1" t="s">
        <v>26</v>
      </c>
      <c r="E2433" s="1" t="s">
        <v>26</v>
      </c>
      <c r="F2433" s="1">
        <v>2.0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1">
        <v>24.45</v>
      </c>
      <c r="T2433" s="1">
        <v>47.5</v>
      </c>
      <c r="U2433" s="1">
        <v>0.0</v>
      </c>
      <c r="V2433" s="1">
        <v>0.0</v>
      </c>
      <c r="W2433" s="1" t="s">
        <v>25</v>
      </c>
    </row>
    <row r="2434" ht="15.75" customHeight="1">
      <c r="A2434" s="1" t="s">
        <v>2471</v>
      </c>
      <c r="B2434" s="1" t="s">
        <v>24</v>
      </c>
      <c r="C2434" s="1">
        <v>1.0</v>
      </c>
      <c r="D2434" s="1" t="s">
        <v>25</v>
      </c>
      <c r="E2434" s="1" t="s">
        <v>26</v>
      </c>
      <c r="F2434" s="1">
        <v>50.0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1">
        <v>25.2</v>
      </c>
      <c r="T2434" s="1">
        <v>1306.3</v>
      </c>
      <c r="U2434" s="1">
        <v>0.0</v>
      </c>
      <c r="V2434" s="1">
        <v>0.0</v>
      </c>
      <c r="W2434" s="1" t="s">
        <v>26</v>
      </c>
    </row>
    <row r="2435" ht="15.75" customHeight="1">
      <c r="A2435" s="1" t="s">
        <v>2472</v>
      </c>
      <c r="B2435" s="1" t="s">
        <v>32</v>
      </c>
      <c r="C2435" s="1">
        <v>0.0</v>
      </c>
      <c r="D2435" s="1" t="s">
        <v>26</v>
      </c>
      <c r="E2435" s="1" t="s">
        <v>26</v>
      </c>
      <c r="F2435" s="1">
        <v>9.0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1">
        <v>50.8</v>
      </c>
      <c r="T2435" s="1">
        <v>463.6</v>
      </c>
      <c r="U2435" s="1">
        <v>0.0</v>
      </c>
      <c r="V2435" s="1">
        <v>0.0</v>
      </c>
      <c r="W2435" s="1" t="s">
        <v>26</v>
      </c>
    </row>
    <row r="2436" ht="15.75" customHeight="1">
      <c r="A2436" s="1" t="s">
        <v>2473</v>
      </c>
      <c r="B2436" s="1" t="s">
        <v>24</v>
      </c>
      <c r="C2436" s="1">
        <v>0.0</v>
      </c>
      <c r="D2436" s="1" t="s">
        <v>25</v>
      </c>
      <c r="E2436" s="1" t="s">
        <v>25</v>
      </c>
      <c r="F2436" s="1">
        <v>3.0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1">
        <v>19.65</v>
      </c>
      <c r="T2436" s="1">
        <v>60.65</v>
      </c>
      <c r="U2436" s="1">
        <v>0.0</v>
      </c>
      <c r="V2436" s="1">
        <v>0.0</v>
      </c>
      <c r="W2436" s="1" t="s">
        <v>26</v>
      </c>
    </row>
    <row r="2437" ht="15.75" customHeight="1">
      <c r="A2437" s="1" t="s">
        <v>2474</v>
      </c>
      <c r="B2437" s="1" t="s">
        <v>24</v>
      </c>
      <c r="C2437" s="1">
        <v>0.0</v>
      </c>
      <c r="D2437" s="1" t="s">
        <v>26</v>
      </c>
      <c r="E2437" s="1" t="s">
        <v>25</v>
      </c>
      <c r="F2437" s="1">
        <v>14.0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1">
        <v>59.8</v>
      </c>
      <c r="T2437" s="1">
        <v>824.85</v>
      </c>
      <c r="U2437" s="1">
        <v>0.0</v>
      </c>
      <c r="V2437" s="1">
        <v>0.0</v>
      </c>
      <c r="W2437" s="1" t="s">
        <v>26</v>
      </c>
    </row>
    <row r="2438" ht="15.75" customHeight="1">
      <c r="A2438" s="1" t="s">
        <v>2475</v>
      </c>
      <c r="B2438" s="1" t="s">
        <v>24</v>
      </c>
      <c r="C2438" s="1">
        <v>1.0</v>
      </c>
      <c r="D2438" s="1" t="s">
        <v>26</v>
      </c>
      <c r="E2438" s="1" t="s">
        <v>26</v>
      </c>
      <c r="F2438" s="1">
        <v>31.0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1">
        <v>73.55</v>
      </c>
      <c r="T2438" s="1">
        <v>2094.65</v>
      </c>
      <c r="U2438" s="1">
        <v>0.0</v>
      </c>
      <c r="V2438" s="1">
        <v>0.0</v>
      </c>
      <c r="W2438" s="1" t="s">
        <v>26</v>
      </c>
    </row>
    <row r="2439" ht="15.75" customHeight="1">
      <c r="A2439" s="1" t="s">
        <v>2476</v>
      </c>
      <c r="B2439" s="1" t="s">
        <v>24</v>
      </c>
      <c r="C2439" s="1">
        <v>0.0</v>
      </c>
      <c r="D2439" s="1" t="s">
        <v>26</v>
      </c>
      <c r="E2439" s="1" t="s">
        <v>26</v>
      </c>
      <c r="F2439" s="1">
        <v>7.0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1">
        <v>61.4</v>
      </c>
      <c r="T2439" s="1">
        <v>438.9</v>
      </c>
      <c r="U2439" s="1">
        <v>4.0</v>
      </c>
      <c r="V2439" s="1">
        <v>0.0</v>
      </c>
      <c r="W2439" s="1" t="s">
        <v>26</v>
      </c>
    </row>
    <row r="2440" ht="15.75" customHeight="1">
      <c r="A2440" s="1" t="s">
        <v>2477</v>
      </c>
      <c r="B2440" s="1" t="s">
        <v>24</v>
      </c>
      <c r="C2440" s="1">
        <v>0.0</v>
      </c>
      <c r="D2440" s="1" t="s">
        <v>26</v>
      </c>
      <c r="E2440" s="1" t="s">
        <v>26</v>
      </c>
      <c r="F2440" s="1">
        <v>8.0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1">
        <v>103.35</v>
      </c>
      <c r="T2440" s="1">
        <v>847.3</v>
      </c>
      <c r="U2440" s="1">
        <v>0.0</v>
      </c>
      <c r="V2440" s="1">
        <v>0.0</v>
      </c>
      <c r="W2440" s="1" t="s">
        <v>25</v>
      </c>
    </row>
    <row r="2441" ht="15.75" customHeight="1">
      <c r="A2441" s="1" t="s">
        <v>2478</v>
      </c>
      <c r="B2441" s="1" t="s">
        <v>32</v>
      </c>
      <c r="C2441" s="1">
        <v>0.0</v>
      </c>
      <c r="D2441" s="1" t="s">
        <v>25</v>
      </c>
      <c r="E2441" s="1" t="s">
        <v>25</v>
      </c>
      <c r="F2441" s="1">
        <v>17.0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1">
        <v>19.9</v>
      </c>
      <c r="T2441" s="1">
        <v>329.75</v>
      </c>
      <c r="U2441" s="1">
        <v>0.0</v>
      </c>
      <c r="V2441" s="1">
        <v>0.0</v>
      </c>
      <c r="W2441" s="1" t="s">
        <v>26</v>
      </c>
    </row>
    <row r="2442" ht="15.75" customHeight="1">
      <c r="A2442" s="1" t="s">
        <v>2479</v>
      </c>
      <c r="B2442" s="1" t="s">
        <v>32</v>
      </c>
      <c r="C2442" s="1">
        <v>0.0</v>
      </c>
      <c r="D2442" s="1" t="s">
        <v>25</v>
      </c>
      <c r="E2442" s="1" t="s">
        <v>25</v>
      </c>
      <c r="F2442" s="1">
        <v>32.0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1">
        <v>19.45</v>
      </c>
      <c r="T2442" s="1">
        <v>674.55</v>
      </c>
      <c r="U2442" s="1">
        <v>0.0</v>
      </c>
      <c r="V2442" s="1">
        <v>0.0</v>
      </c>
      <c r="W2442" s="1" t="s">
        <v>26</v>
      </c>
    </row>
    <row r="2443" ht="15.75" customHeight="1">
      <c r="A2443" s="1" t="s">
        <v>2480</v>
      </c>
      <c r="B2443" s="1" t="s">
        <v>24</v>
      </c>
      <c r="C2443" s="1">
        <v>1.0</v>
      </c>
      <c r="D2443" s="1" t="s">
        <v>26</v>
      </c>
      <c r="E2443" s="1" t="s">
        <v>26</v>
      </c>
      <c r="F2443" s="1">
        <v>2.0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1">
        <v>81.5</v>
      </c>
      <c r="T2443" s="1">
        <v>162.55</v>
      </c>
      <c r="U2443" s="1">
        <v>0.0</v>
      </c>
      <c r="V2443" s="1">
        <v>0.0</v>
      </c>
      <c r="W2443" s="1" t="s">
        <v>26</v>
      </c>
    </row>
    <row r="2444" ht="15.75" customHeight="1">
      <c r="A2444" s="1" t="s">
        <v>2481</v>
      </c>
      <c r="B2444" s="1" t="s">
        <v>32</v>
      </c>
      <c r="C2444" s="1">
        <v>1.0</v>
      </c>
      <c r="D2444" s="1" t="s">
        <v>26</v>
      </c>
      <c r="E2444" s="1" t="s">
        <v>26</v>
      </c>
      <c r="F2444" s="1">
        <v>7.0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1">
        <v>84.8</v>
      </c>
      <c r="T2444" s="1">
        <v>546.95</v>
      </c>
      <c r="U2444" s="1">
        <v>0.0</v>
      </c>
      <c r="V2444" s="1">
        <v>0.0</v>
      </c>
      <c r="W2444" s="1" t="s">
        <v>25</v>
      </c>
    </row>
    <row r="2445" ht="15.75" customHeight="1">
      <c r="A2445" s="1" t="s">
        <v>2482</v>
      </c>
      <c r="B2445" s="1" t="s">
        <v>24</v>
      </c>
      <c r="C2445" s="1">
        <v>0.0</v>
      </c>
      <c r="D2445" s="1" t="s">
        <v>25</v>
      </c>
      <c r="E2445" s="1" t="s">
        <v>25</v>
      </c>
      <c r="F2445" s="1">
        <v>72.0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1">
        <v>109.55</v>
      </c>
      <c r="T2445" s="1">
        <v>7887.25</v>
      </c>
      <c r="U2445" s="1">
        <v>4.0</v>
      </c>
      <c r="V2445" s="1">
        <v>0.0</v>
      </c>
      <c r="W2445" s="1" t="s">
        <v>26</v>
      </c>
    </row>
    <row r="2446" ht="15.75" customHeight="1">
      <c r="A2446" s="1" t="s">
        <v>2483</v>
      </c>
      <c r="B2446" s="1" t="s">
        <v>24</v>
      </c>
      <c r="C2446" s="1">
        <v>1.0</v>
      </c>
      <c r="D2446" s="1" t="s">
        <v>26</v>
      </c>
      <c r="E2446" s="1" t="s">
        <v>26</v>
      </c>
      <c r="F2446" s="1">
        <v>31.0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1">
        <v>99.95</v>
      </c>
      <c r="T2446" s="1">
        <v>3186.65</v>
      </c>
      <c r="U2446" s="1">
        <v>0.0</v>
      </c>
      <c r="V2446" s="1">
        <v>1.0</v>
      </c>
      <c r="W2446" s="1" t="s">
        <v>25</v>
      </c>
    </row>
    <row r="2447" ht="15.75" customHeight="1">
      <c r="A2447" s="1" t="s">
        <v>2484</v>
      </c>
      <c r="B2447" s="1" t="s">
        <v>24</v>
      </c>
      <c r="C2447" s="1">
        <v>0.0</v>
      </c>
      <c r="D2447" s="1" t="s">
        <v>25</v>
      </c>
      <c r="E2447" s="1" t="s">
        <v>25</v>
      </c>
      <c r="F2447" s="1">
        <v>27.0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1">
        <v>74.4</v>
      </c>
      <c r="T2447" s="1">
        <v>1972.35</v>
      </c>
      <c r="U2447" s="1">
        <v>0.0</v>
      </c>
      <c r="V2447" s="1">
        <v>0.0</v>
      </c>
      <c r="W2447" s="1" t="s">
        <v>26</v>
      </c>
    </row>
    <row r="2448" ht="15.75" customHeight="1">
      <c r="A2448" s="1" t="s">
        <v>2485</v>
      </c>
      <c r="B2448" s="1" t="s">
        <v>24</v>
      </c>
      <c r="C2448" s="1">
        <v>0.0</v>
      </c>
      <c r="D2448" s="1" t="s">
        <v>26</v>
      </c>
      <c r="E2448" s="1" t="s">
        <v>26</v>
      </c>
      <c r="F2448" s="1">
        <v>18.0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1">
        <v>90.0</v>
      </c>
      <c r="T2448" s="1">
        <v>1527.35</v>
      </c>
      <c r="U2448" s="1">
        <v>0.0</v>
      </c>
      <c r="V2448" s="1">
        <v>1.0</v>
      </c>
      <c r="W2448" s="1" t="s">
        <v>25</v>
      </c>
    </row>
    <row r="2449" ht="15.75" customHeight="1">
      <c r="A2449" s="1" t="s">
        <v>2486</v>
      </c>
      <c r="B2449" s="1" t="s">
        <v>32</v>
      </c>
      <c r="C2449" s="1">
        <v>0.0</v>
      </c>
      <c r="D2449" s="1" t="s">
        <v>26</v>
      </c>
      <c r="E2449" s="1" t="s">
        <v>26</v>
      </c>
      <c r="F2449" s="1">
        <v>7.0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1">
        <v>74.9</v>
      </c>
      <c r="T2449" s="1">
        <v>490.55</v>
      </c>
      <c r="U2449" s="1">
        <v>0.0</v>
      </c>
      <c r="V2449" s="1">
        <v>0.0</v>
      </c>
      <c r="W2449" s="1" t="s">
        <v>26</v>
      </c>
    </row>
    <row r="2450" ht="15.75" customHeight="1">
      <c r="A2450" s="1" t="s">
        <v>2487</v>
      </c>
      <c r="B2450" s="1" t="s">
        <v>24</v>
      </c>
      <c r="C2450" s="1">
        <v>1.0</v>
      </c>
      <c r="D2450" s="1" t="s">
        <v>26</v>
      </c>
      <c r="E2450" s="1" t="s">
        <v>26</v>
      </c>
      <c r="F2450" s="1">
        <v>14.0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1">
        <v>104.85</v>
      </c>
      <c r="T2450" s="1">
        <v>1531.4</v>
      </c>
      <c r="U2450" s="1">
        <v>0.0</v>
      </c>
      <c r="V2450" s="1">
        <v>1.0</v>
      </c>
      <c r="W2450" s="1" t="s">
        <v>25</v>
      </c>
    </row>
    <row r="2451" ht="15.75" customHeight="1">
      <c r="A2451" s="1" t="s">
        <v>2488</v>
      </c>
      <c r="B2451" s="1" t="s">
        <v>32</v>
      </c>
      <c r="C2451" s="1">
        <v>0.0</v>
      </c>
      <c r="D2451" s="1" t="s">
        <v>25</v>
      </c>
      <c r="E2451" s="1" t="s">
        <v>25</v>
      </c>
      <c r="F2451" s="1">
        <v>11.0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1">
        <v>59.65</v>
      </c>
      <c r="T2451" s="1">
        <v>683.25</v>
      </c>
      <c r="U2451" s="1">
        <v>0.0</v>
      </c>
      <c r="V2451" s="1">
        <v>0.0</v>
      </c>
      <c r="W2451" s="1" t="s">
        <v>26</v>
      </c>
    </row>
    <row r="2452" ht="15.75" customHeight="1">
      <c r="A2452" s="1" t="s">
        <v>2489</v>
      </c>
      <c r="B2452" s="1" t="s">
        <v>24</v>
      </c>
      <c r="C2452" s="1">
        <v>0.0</v>
      </c>
      <c r="D2452" s="1" t="s">
        <v>25</v>
      </c>
      <c r="E2452" s="1" t="s">
        <v>25</v>
      </c>
      <c r="F2452" s="1">
        <v>72.0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1">
        <v>110.45</v>
      </c>
      <c r="T2452" s="1">
        <v>8058.85</v>
      </c>
      <c r="U2452" s="1">
        <v>0.0</v>
      </c>
      <c r="V2452" s="1">
        <v>0.0</v>
      </c>
      <c r="W2452" s="1" t="s">
        <v>26</v>
      </c>
    </row>
    <row r="2453" ht="15.75" customHeight="1">
      <c r="A2453" s="1" t="s">
        <v>2490</v>
      </c>
      <c r="B2453" s="1" t="s">
        <v>32</v>
      </c>
      <c r="C2453" s="1">
        <v>0.0</v>
      </c>
      <c r="D2453" s="1" t="s">
        <v>25</v>
      </c>
      <c r="E2453" s="1" t="s">
        <v>25</v>
      </c>
      <c r="F2453" s="1">
        <v>28.0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1">
        <v>106.1</v>
      </c>
      <c r="T2453" s="1">
        <v>2847.4</v>
      </c>
      <c r="U2453" s="1">
        <v>0.0</v>
      </c>
      <c r="V2453" s="1">
        <v>2.0</v>
      </c>
      <c r="W2453" s="1" t="s">
        <v>25</v>
      </c>
    </row>
    <row r="2454" ht="15.75" customHeight="1">
      <c r="A2454" s="1" t="s">
        <v>2491</v>
      </c>
      <c r="B2454" s="1" t="s">
        <v>32</v>
      </c>
      <c r="C2454" s="1">
        <v>1.0</v>
      </c>
      <c r="D2454" s="1" t="s">
        <v>26</v>
      </c>
      <c r="E2454" s="1" t="s">
        <v>26</v>
      </c>
      <c r="F2454" s="1">
        <v>15.0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1">
        <v>74.2</v>
      </c>
      <c r="T2454" s="1">
        <v>1133.9</v>
      </c>
      <c r="U2454" s="1">
        <v>0.0</v>
      </c>
      <c r="V2454" s="1">
        <v>0.0</v>
      </c>
      <c r="W2454" s="1" t="s">
        <v>25</v>
      </c>
    </row>
    <row r="2455" ht="15.75" customHeight="1">
      <c r="A2455" s="1" t="s">
        <v>2492</v>
      </c>
      <c r="B2455" s="1" t="s">
        <v>24</v>
      </c>
      <c r="C2455" s="1">
        <v>1.0</v>
      </c>
      <c r="D2455" s="1" t="s">
        <v>26</v>
      </c>
      <c r="E2455" s="1" t="s">
        <v>26</v>
      </c>
      <c r="F2455" s="1">
        <v>4.0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1">
        <v>74.45</v>
      </c>
      <c r="T2455" s="1">
        <v>294.45</v>
      </c>
      <c r="U2455" s="1">
        <v>0.0</v>
      </c>
      <c r="V2455" s="1">
        <v>0.0</v>
      </c>
      <c r="W2455" s="1" t="s">
        <v>26</v>
      </c>
    </row>
    <row r="2456" ht="15.75" customHeight="1">
      <c r="A2456" s="1" t="s">
        <v>2493</v>
      </c>
      <c r="B2456" s="1" t="s">
        <v>24</v>
      </c>
      <c r="C2456" s="1">
        <v>0.0</v>
      </c>
      <c r="D2456" s="1" t="s">
        <v>26</v>
      </c>
      <c r="E2456" s="1" t="s">
        <v>26</v>
      </c>
      <c r="F2456" s="1">
        <v>71.0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1">
        <v>24.55</v>
      </c>
      <c r="T2456" s="1">
        <v>1719.15</v>
      </c>
      <c r="U2456" s="1">
        <v>0.0</v>
      </c>
      <c r="V2456" s="1">
        <v>0.0</v>
      </c>
      <c r="W2456" s="1" t="s">
        <v>26</v>
      </c>
    </row>
    <row r="2457" ht="15.75" customHeight="1">
      <c r="A2457" s="1" t="s">
        <v>2494</v>
      </c>
      <c r="B2457" s="1" t="s">
        <v>24</v>
      </c>
      <c r="C2457" s="1">
        <v>0.0</v>
      </c>
      <c r="D2457" s="1" t="s">
        <v>26</v>
      </c>
      <c r="E2457" s="1" t="s">
        <v>26</v>
      </c>
      <c r="F2457" s="1">
        <v>5.0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1">
        <v>89.35</v>
      </c>
      <c r="T2457" s="1">
        <v>461.7</v>
      </c>
      <c r="U2457" s="1">
        <v>0.0</v>
      </c>
      <c r="V2457" s="1">
        <v>0.0</v>
      </c>
      <c r="W2457" s="1" t="s">
        <v>25</v>
      </c>
    </row>
    <row r="2458" ht="15.75" customHeight="1">
      <c r="A2458" s="1" t="s">
        <v>2495</v>
      </c>
      <c r="B2458" s="1" t="s">
        <v>32</v>
      </c>
      <c r="C2458" s="1">
        <v>0.0</v>
      </c>
      <c r="D2458" s="1" t="s">
        <v>25</v>
      </c>
      <c r="E2458" s="1" t="s">
        <v>25</v>
      </c>
      <c r="F2458" s="1">
        <v>47.0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1">
        <v>24.55</v>
      </c>
      <c r="T2458" s="1">
        <v>1160.45</v>
      </c>
      <c r="U2458" s="1">
        <v>0.0</v>
      </c>
      <c r="V2458" s="1">
        <v>0.0</v>
      </c>
      <c r="W2458" s="1" t="s">
        <v>26</v>
      </c>
    </row>
    <row r="2459" ht="15.75" customHeight="1">
      <c r="A2459" s="1" t="s">
        <v>2496</v>
      </c>
      <c r="B2459" s="1" t="s">
        <v>32</v>
      </c>
      <c r="C2459" s="1">
        <v>1.0</v>
      </c>
      <c r="D2459" s="1" t="s">
        <v>25</v>
      </c>
      <c r="E2459" s="1" t="s">
        <v>26</v>
      </c>
      <c r="F2459" s="1">
        <v>57.0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1">
        <v>90.65</v>
      </c>
      <c r="T2459" s="1">
        <v>5199.8</v>
      </c>
      <c r="U2459" s="1">
        <v>0.0</v>
      </c>
      <c r="V2459" s="1">
        <v>0.0</v>
      </c>
      <c r="W2459" s="1" t="s">
        <v>26</v>
      </c>
    </row>
    <row r="2460" ht="15.75" customHeight="1">
      <c r="A2460" s="1" t="s">
        <v>2497</v>
      </c>
      <c r="B2460" s="1" t="s">
        <v>32</v>
      </c>
      <c r="C2460" s="1">
        <v>1.0</v>
      </c>
      <c r="D2460" s="1" t="s">
        <v>25</v>
      </c>
      <c r="E2460" s="1" t="s">
        <v>26</v>
      </c>
      <c r="F2460" s="1">
        <v>50.0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1">
        <v>105.05</v>
      </c>
      <c r="T2460" s="1">
        <v>5163.3</v>
      </c>
      <c r="U2460" s="1">
        <v>0.0</v>
      </c>
      <c r="V2460" s="1">
        <v>0.0</v>
      </c>
      <c r="W2460" s="1" t="s">
        <v>26</v>
      </c>
    </row>
    <row r="2461" ht="15.75" customHeight="1">
      <c r="A2461" s="1" t="s">
        <v>2498</v>
      </c>
      <c r="B2461" s="1" t="s">
        <v>32</v>
      </c>
      <c r="C2461" s="1">
        <v>0.0</v>
      </c>
      <c r="D2461" s="1" t="s">
        <v>26</v>
      </c>
      <c r="E2461" s="1" t="s">
        <v>26</v>
      </c>
      <c r="F2461" s="1">
        <v>8.0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1">
        <v>20.45</v>
      </c>
      <c r="T2461" s="1">
        <v>162.3</v>
      </c>
      <c r="U2461" s="1">
        <v>0.0</v>
      </c>
      <c r="V2461" s="1">
        <v>0.0</v>
      </c>
      <c r="W2461" s="1" t="s">
        <v>26</v>
      </c>
    </row>
    <row r="2462" ht="15.75" customHeight="1">
      <c r="A2462" s="1" t="s">
        <v>2499</v>
      </c>
      <c r="B2462" s="1" t="s">
        <v>24</v>
      </c>
      <c r="C2462" s="1">
        <v>0.0</v>
      </c>
      <c r="D2462" s="1" t="s">
        <v>25</v>
      </c>
      <c r="E2462" s="1" t="s">
        <v>25</v>
      </c>
      <c r="F2462" s="1">
        <v>48.0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1">
        <v>19.55</v>
      </c>
      <c r="T2462" s="1">
        <v>883.35</v>
      </c>
      <c r="U2462" s="1">
        <v>0.0</v>
      </c>
      <c r="V2462" s="1">
        <v>0.0</v>
      </c>
      <c r="W2462" s="1" t="s">
        <v>26</v>
      </c>
    </row>
    <row r="2463" ht="15.75" customHeight="1">
      <c r="A2463" s="1" t="s">
        <v>2500</v>
      </c>
      <c r="B2463" s="1" t="s">
        <v>24</v>
      </c>
      <c r="C2463" s="1">
        <v>0.0</v>
      </c>
      <c r="D2463" s="1" t="s">
        <v>26</v>
      </c>
      <c r="E2463" s="1" t="s">
        <v>26</v>
      </c>
      <c r="F2463" s="1">
        <v>70.0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1">
        <v>19.7</v>
      </c>
      <c r="T2463" s="1">
        <v>1341.5</v>
      </c>
      <c r="U2463" s="1">
        <v>1.0</v>
      </c>
      <c r="V2463" s="1">
        <v>0.0</v>
      </c>
      <c r="W2463" s="1" t="s">
        <v>26</v>
      </c>
    </row>
    <row r="2464" ht="15.75" customHeight="1">
      <c r="A2464" s="1" t="s">
        <v>2501</v>
      </c>
      <c r="B2464" s="1" t="s">
        <v>32</v>
      </c>
      <c r="C2464" s="1">
        <v>0.0</v>
      </c>
      <c r="D2464" s="1" t="s">
        <v>26</v>
      </c>
      <c r="E2464" s="1" t="s">
        <v>25</v>
      </c>
      <c r="F2464" s="1">
        <v>1.0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1">
        <v>70.45</v>
      </c>
      <c r="T2464" s="1">
        <v>70.45</v>
      </c>
      <c r="U2464" s="1">
        <v>0.0</v>
      </c>
      <c r="V2464" s="1">
        <v>0.0</v>
      </c>
      <c r="W2464" s="1" t="s">
        <v>26</v>
      </c>
    </row>
    <row r="2465" ht="15.75" customHeight="1">
      <c r="A2465" s="1" t="s">
        <v>2502</v>
      </c>
      <c r="B2465" s="1" t="s">
        <v>32</v>
      </c>
      <c r="C2465" s="1">
        <v>0.0</v>
      </c>
      <c r="D2465" s="1" t="s">
        <v>25</v>
      </c>
      <c r="E2465" s="1" t="s">
        <v>26</v>
      </c>
      <c r="F2465" s="1">
        <v>8.0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1">
        <v>85.65</v>
      </c>
      <c r="T2465" s="1">
        <v>659.45</v>
      </c>
      <c r="U2465" s="1">
        <v>0.0</v>
      </c>
      <c r="V2465" s="1">
        <v>0.0</v>
      </c>
      <c r="W2465" s="1" t="s">
        <v>26</v>
      </c>
    </row>
    <row r="2466" ht="15.75" customHeight="1">
      <c r="A2466" s="1" t="s">
        <v>2503</v>
      </c>
      <c r="B2466" s="1" t="s">
        <v>24</v>
      </c>
      <c r="C2466" s="1">
        <v>0.0</v>
      </c>
      <c r="D2466" s="1" t="s">
        <v>26</v>
      </c>
      <c r="E2466" s="1" t="s">
        <v>26</v>
      </c>
      <c r="F2466" s="1">
        <v>1.0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1">
        <v>77.15</v>
      </c>
      <c r="T2466" s="1">
        <v>77.15</v>
      </c>
      <c r="U2466" s="1">
        <v>0.0</v>
      </c>
      <c r="V2466" s="1">
        <v>0.0</v>
      </c>
      <c r="W2466" s="1" t="s">
        <v>25</v>
      </c>
    </row>
    <row r="2467" ht="15.75" customHeight="1">
      <c r="A2467" s="1" t="s">
        <v>2504</v>
      </c>
      <c r="B2467" s="1" t="s">
        <v>32</v>
      </c>
      <c r="C2467" s="1">
        <v>0.0</v>
      </c>
      <c r="D2467" s="1" t="s">
        <v>26</v>
      </c>
      <c r="E2467" s="1" t="s">
        <v>26</v>
      </c>
      <c r="F2467" s="1">
        <v>1.0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1">
        <v>35.25</v>
      </c>
      <c r="T2467" s="1">
        <v>35.25</v>
      </c>
      <c r="U2467" s="1">
        <v>0.0</v>
      </c>
      <c r="V2467" s="1">
        <v>0.0</v>
      </c>
      <c r="W2467" s="1" t="s">
        <v>25</v>
      </c>
    </row>
    <row r="2468" ht="15.75" customHeight="1">
      <c r="A2468" s="1" t="s">
        <v>2505</v>
      </c>
      <c r="B2468" s="1" t="s">
        <v>32</v>
      </c>
      <c r="C2468" s="1">
        <v>0.0</v>
      </c>
      <c r="D2468" s="1" t="s">
        <v>25</v>
      </c>
      <c r="E2468" s="1" t="s">
        <v>25</v>
      </c>
      <c r="F2468" s="1">
        <v>60.0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1">
        <v>20.55</v>
      </c>
      <c r="T2468" s="1">
        <v>1205.05</v>
      </c>
      <c r="U2468" s="1">
        <v>0.0</v>
      </c>
      <c r="V2468" s="1">
        <v>0.0</v>
      </c>
      <c r="W2468" s="1" t="s">
        <v>26</v>
      </c>
    </row>
    <row r="2469" ht="15.75" customHeight="1">
      <c r="A2469" s="1" t="s">
        <v>2506</v>
      </c>
      <c r="B2469" s="1" t="s">
        <v>32</v>
      </c>
      <c r="C2469" s="1">
        <v>0.0</v>
      </c>
      <c r="D2469" s="1" t="s">
        <v>25</v>
      </c>
      <c r="E2469" s="1" t="s">
        <v>25</v>
      </c>
      <c r="F2469" s="1">
        <v>49.0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1">
        <v>97.95</v>
      </c>
      <c r="T2469" s="1">
        <v>4917.9</v>
      </c>
      <c r="U2469" s="1">
        <v>0.0</v>
      </c>
      <c r="V2469" s="1">
        <v>0.0</v>
      </c>
      <c r="W2469" s="1" t="s">
        <v>26</v>
      </c>
    </row>
    <row r="2470" ht="15.75" customHeight="1">
      <c r="A2470" s="1" t="s">
        <v>2507</v>
      </c>
      <c r="B2470" s="1" t="s">
        <v>32</v>
      </c>
      <c r="C2470" s="1">
        <v>0.0</v>
      </c>
      <c r="D2470" s="1" t="s">
        <v>25</v>
      </c>
      <c r="E2470" s="1" t="s">
        <v>26</v>
      </c>
      <c r="F2470" s="1">
        <v>4.0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1">
        <v>48.55</v>
      </c>
      <c r="T2470" s="1">
        <v>201.0</v>
      </c>
      <c r="U2470" s="1">
        <v>0.0</v>
      </c>
      <c r="V2470" s="1">
        <v>0.0</v>
      </c>
      <c r="W2470" s="1" t="s">
        <v>25</v>
      </c>
    </row>
    <row r="2471" ht="15.75" customHeight="1">
      <c r="A2471" s="1" t="s">
        <v>2508</v>
      </c>
      <c r="B2471" s="1" t="s">
        <v>24</v>
      </c>
      <c r="C2471" s="1">
        <v>0.0</v>
      </c>
      <c r="D2471" s="1" t="s">
        <v>26</v>
      </c>
      <c r="E2471" s="1" t="s">
        <v>26</v>
      </c>
      <c r="F2471" s="1">
        <v>29.0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1">
        <v>20.0</v>
      </c>
      <c r="T2471" s="1">
        <v>599.3</v>
      </c>
      <c r="U2471" s="1">
        <v>0.0</v>
      </c>
      <c r="V2471" s="1">
        <v>0.0</v>
      </c>
      <c r="W2471" s="1" t="s">
        <v>26</v>
      </c>
    </row>
    <row r="2472" ht="15.75" customHeight="1">
      <c r="A2472" s="1" t="s">
        <v>2509</v>
      </c>
      <c r="B2472" s="1" t="s">
        <v>24</v>
      </c>
      <c r="C2472" s="1">
        <v>0.0</v>
      </c>
      <c r="D2472" s="1" t="s">
        <v>25</v>
      </c>
      <c r="E2472" s="1" t="s">
        <v>26</v>
      </c>
      <c r="F2472" s="1">
        <v>67.0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1">
        <v>25.25</v>
      </c>
      <c r="T2472" s="1">
        <v>1733.15</v>
      </c>
      <c r="U2472" s="1">
        <v>0.0</v>
      </c>
      <c r="V2472" s="1">
        <v>0.0</v>
      </c>
      <c r="W2472" s="1" t="s">
        <v>26</v>
      </c>
    </row>
    <row r="2473" ht="15.75" customHeight="1">
      <c r="A2473" s="1" t="s">
        <v>2510</v>
      </c>
      <c r="B2473" s="1" t="s">
        <v>24</v>
      </c>
      <c r="C2473" s="1">
        <v>0.0</v>
      </c>
      <c r="D2473" s="1" t="s">
        <v>25</v>
      </c>
      <c r="E2473" s="1" t="s">
        <v>26</v>
      </c>
      <c r="F2473" s="1">
        <v>53.0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1">
        <v>98.4</v>
      </c>
      <c r="T2473" s="1">
        <v>5149.5</v>
      </c>
      <c r="U2473" s="1">
        <v>1.0</v>
      </c>
      <c r="V2473" s="1">
        <v>6.0</v>
      </c>
      <c r="W2473" s="1" t="s">
        <v>25</v>
      </c>
    </row>
    <row r="2474" ht="15.75" customHeight="1">
      <c r="A2474" s="1" t="s">
        <v>2511</v>
      </c>
      <c r="B2474" s="1" t="s">
        <v>32</v>
      </c>
      <c r="C2474" s="1">
        <v>0.0</v>
      </c>
      <c r="D2474" s="1" t="s">
        <v>25</v>
      </c>
      <c r="E2474" s="1" t="s">
        <v>26</v>
      </c>
      <c r="F2474" s="1">
        <v>67.0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1">
        <v>70.9</v>
      </c>
      <c r="T2474" s="1">
        <v>4677.1</v>
      </c>
      <c r="U2474" s="1">
        <v>0.0</v>
      </c>
      <c r="V2474" s="1">
        <v>0.0</v>
      </c>
      <c r="W2474" s="1" t="s">
        <v>26</v>
      </c>
    </row>
    <row r="2475" ht="15.75" customHeight="1">
      <c r="A2475" s="1" t="s">
        <v>2512</v>
      </c>
      <c r="B2475" s="1" t="s">
        <v>24</v>
      </c>
      <c r="C2475" s="1">
        <v>0.0</v>
      </c>
      <c r="D2475" s="1" t="s">
        <v>25</v>
      </c>
      <c r="E2475" s="1" t="s">
        <v>25</v>
      </c>
      <c r="F2475" s="1">
        <v>6.0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1">
        <v>19.85</v>
      </c>
      <c r="T2475" s="1">
        <v>119.3</v>
      </c>
      <c r="U2475" s="1">
        <v>0.0</v>
      </c>
      <c r="V2475" s="1">
        <v>0.0</v>
      </c>
      <c r="W2475" s="1" t="s">
        <v>26</v>
      </c>
    </row>
    <row r="2476" ht="15.75" customHeight="1">
      <c r="A2476" s="1" t="s">
        <v>2513</v>
      </c>
      <c r="B2476" s="1" t="s">
        <v>24</v>
      </c>
      <c r="C2476" s="1">
        <v>0.0</v>
      </c>
      <c r="D2476" s="1" t="s">
        <v>26</v>
      </c>
      <c r="E2476" s="1" t="s">
        <v>26</v>
      </c>
      <c r="F2476" s="1">
        <v>47.0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1">
        <v>106.35</v>
      </c>
      <c r="T2476" s="1">
        <v>4849.1</v>
      </c>
      <c r="U2476" s="1">
        <v>1.0</v>
      </c>
      <c r="V2476" s="1">
        <v>0.0</v>
      </c>
      <c r="W2476" s="1" t="s">
        <v>26</v>
      </c>
    </row>
    <row r="2477" ht="15.75" customHeight="1">
      <c r="A2477" s="1" t="s">
        <v>2514</v>
      </c>
      <c r="B2477" s="1" t="s">
        <v>24</v>
      </c>
      <c r="C2477" s="1">
        <v>0.0</v>
      </c>
      <c r="D2477" s="1" t="s">
        <v>26</v>
      </c>
      <c r="E2477" s="1" t="s">
        <v>26</v>
      </c>
      <c r="F2477" s="1">
        <v>53.0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1">
        <v>99.5</v>
      </c>
      <c r="T2477" s="1">
        <v>5424.25</v>
      </c>
      <c r="U2477" s="1">
        <v>0.0</v>
      </c>
      <c r="V2477" s="1">
        <v>0.0</v>
      </c>
      <c r="W2477" s="1" t="s">
        <v>26</v>
      </c>
    </row>
    <row r="2478" ht="15.75" customHeight="1">
      <c r="A2478" s="1" t="s">
        <v>2515</v>
      </c>
      <c r="B2478" s="1" t="s">
        <v>32</v>
      </c>
      <c r="C2478" s="1">
        <v>0.0</v>
      </c>
      <c r="D2478" s="1" t="s">
        <v>25</v>
      </c>
      <c r="E2478" s="1" t="s">
        <v>26</v>
      </c>
      <c r="F2478" s="1">
        <v>69.0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1">
        <v>84.7</v>
      </c>
      <c r="T2478" s="1">
        <v>5878.9</v>
      </c>
      <c r="U2478" s="1">
        <v>0.0</v>
      </c>
      <c r="V2478" s="1">
        <v>0.0</v>
      </c>
      <c r="W2478" s="1" t="s">
        <v>26</v>
      </c>
    </row>
    <row r="2479" ht="15.75" customHeight="1">
      <c r="A2479" s="1" t="s">
        <v>2516</v>
      </c>
      <c r="B2479" s="1" t="s">
        <v>32</v>
      </c>
      <c r="C2479" s="1">
        <v>0.0</v>
      </c>
      <c r="D2479" s="1" t="s">
        <v>26</v>
      </c>
      <c r="E2479" s="1" t="s">
        <v>26</v>
      </c>
      <c r="F2479" s="1">
        <v>3.0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1">
        <v>86.05</v>
      </c>
      <c r="T2479" s="1">
        <v>244.85</v>
      </c>
      <c r="U2479" s="1">
        <v>2.0</v>
      </c>
      <c r="V2479" s="1">
        <v>0.0</v>
      </c>
      <c r="W2479" s="1" t="s">
        <v>26</v>
      </c>
    </row>
    <row r="2480" ht="15.75" customHeight="1">
      <c r="A2480" s="1" t="s">
        <v>2517</v>
      </c>
      <c r="B2480" s="1" t="s">
        <v>32</v>
      </c>
      <c r="C2480" s="1">
        <v>0.0</v>
      </c>
      <c r="D2480" s="1" t="s">
        <v>26</v>
      </c>
      <c r="E2480" s="1" t="s">
        <v>26</v>
      </c>
      <c r="F2480" s="1">
        <v>4.0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1">
        <v>44.55</v>
      </c>
      <c r="T2480" s="1">
        <v>220.75</v>
      </c>
      <c r="U2480" s="1">
        <v>0.0</v>
      </c>
      <c r="V2480" s="1">
        <v>0.0</v>
      </c>
      <c r="W2480" s="1" t="s">
        <v>26</v>
      </c>
    </row>
    <row r="2481" ht="15.75" customHeight="1">
      <c r="A2481" s="1" t="s">
        <v>2518</v>
      </c>
      <c r="B2481" s="1" t="s">
        <v>32</v>
      </c>
      <c r="C2481" s="1">
        <v>0.0</v>
      </c>
      <c r="D2481" s="1" t="s">
        <v>25</v>
      </c>
      <c r="E2481" s="1" t="s">
        <v>25</v>
      </c>
      <c r="F2481" s="1">
        <v>56.0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1">
        <v>75.85</v>
      </c>
      <c r="T2481" s="1">
        <v>4261.2</v>
      </c>
      <c r="U2481" s="1">
        <v>0.0</v>
      </c>
      <c r="V2481" s="1">
        <v>0.0</v>
      </c>
      <c r="W2481" s="1" t="s">
        <v>26</v>
      </c>
    </row>
    <row r="2482" ht="15.75" customHeight="1">
      <c r="A2482" s="1" t="s">
        <v>2519</v>
      </c>
      <c r="B2482" s="1" t="s">
        <v>32</v>
      </c>
      <c r="C2482" s="1">
        <v>1.0</v>
      </c>
      <c r="D2482" s="1" t="s">
        <v>25</v>
      </c>
      <c r="E2482" s="1" t="s">
        <v>26</v>
      </c>
      <c r="F2482" s="1">
        <v>59.0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1">
        <v>93.85</v>
      </c>
      <c r="T2482" s="1">
        <v>5574.75</v>
      </c>
      <c r="U2482" s="1">
        <v>0.0</v>
      </c>
      <c r="V2482" s="1">
        <v>4.0</v>
      </c>
      <c r="W2482" s="1" t="s">
        <v>25</v>
      </c>
    </row>
    <row r="2483" ht="15.75" customHeight="1">
      <c r="A2483" s="1" t="s">
        <v>2520</v>
      </c>
      <c r="B2483" s="1" t="s">
        <v>32</v>
      </c>
      <c r="C2483" s="1">
        <v>1.0</v>
      </c>
      <c r="D2483" s="1" t="s">
        <v>25</v>
      </c>
      <c r="E2483" s="1" t="s">
        <v>26</v>
      </c>
      <c r="F2483" s="1">
        <v>61.0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1">
        <v>25.0</v>
      </c>
      <c r="T2483" s="1">
        <v>1501.75</v>
      </c>
      <c r="U2483" s="1">
        <v>0.0</v>
      </c>
      <c r="V2483" s="1">
        <v>1.0</v>
      </c>
      <c r="W2483" s="1" t="s">
        <v>26</v>
      </c>
    </row>
    <row r="2484" ht="15.75" customHeight="1">
      <c r="A2484" s="1" t="s">
        <v>2521</v>
      </c>
      <c r="B2484" s="1" t="s">
        <v>24</v>
      </c>
      <c r="C2484" s="1">
        <v>0.0</v>
      </c>
      <c r="D2484" s="1" t="s">
        <v>25</v>
      </c>
      <c r="E2484" s="1" t="s">
        <v>26</v>
      </c>
      <c r="F2484" s="1">
        <v>2.0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1">
        <v>45.0</v>
      </c>
      <c r="T2484" s="1">
        <v>89.75</v>
      </c>
      <c r="U2484" s="1">
        <v>0.0</v>
      </c>
      <c r="V2484" s="1">
        <v>0.0</v>
      </c>
      <c r="W2484" s="1" t="s">
        <v>26</v>
      </c>
    </row>
    <row r="2485" ht="15.75" customHeight="1">
      <c r="A2485" s="1" t="s">
        <v>2522</v>
      </c>
      <c r="B2485" s="1" t="s">
        <v>32</v>
      </c>
      <c r="C2485" s="1">
        <v>1.0</v>
      </c>
      <c r="D2485" s="1" t="s">
        <v>25</v>
      </c>
      <c r="E2485" s="1" t="s">
        <v>25</v>
      </c>
      <c r="F2485" s="1">
        <v>46.0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1">
        <v>100.7</v>
      </c>
      <c r="T2485" s="1">
        <v>4541.2</v>
      </c>
      <c r="U2485" s="1">
        <v>0.0</v>
      </c>
      <c r="V2485" s="1">
        <v>5.0</v>
      </c>
      <c r="W2485" s="1" t="s">
        <v>25</v>
      </c>
    </row>
    <row r="2486" ht="15.75" customHeight="1">
      <c r="A2486" s="1" t="s">
        <v>2523</v>
      </c>
      <c r="B2486" s="1" t="s">
        <v>32</v>
      </c>
      <c r="C2486" s="1">
        <v>0.0</v>
      </c>
      <c r="D2486" s="1" t="s">
        <v>25</v>
      </c>
      <c r="E2486" s="1" t="s">
        <v>25</v>
      </c>
      <c r="F2486" s="1">
        <v>12.0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1">
        <v>20.5</v>
      </c>
      <c r="T2486" s="1">
        <v>255.5</v>
      </c>
      <c r="U2486" s="1">
        <v>0.0</v>
      </c>
      <c r="V2486" s="1">
        <v>0.0</v>
      </c>
      <c r="W2486" s="1" t="s">
        <v>26</v>
      </c>
    </row>
    <row r="2487" ht="15.75" customHeight="1">
      <c r="A2487" s="1" t="s">
        <v>2524</v>
      </c>
      <c r="B2487" s="1" t="s">
        <v>24</v>
      </c>
      <c r="C2487" s="1">
        <v>0.0</v>
      </c>
      <c r="D2487" s="1" t="s">
        <v>26</v>
      </c>
      <c r="E2487" s="1" t="s">
        <v>26</v>
      </c>
      <c r="F2487" s="1">
        <v>14.0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1">
        <v>80.45</v>
      </c>
      <c r="T2487" s="1">
        <v>1072.0</v>
      </c>
      <c r="U2487" s="1">
        <v>5.0</v>
      </c>
      <c r="V2487" s="1">
        <v>1.0</v>
      </c>
      <c r="W2487" s="1" t="s">
        <v>25</v>
      </c>
    </row>
    <row r="2488" ht="15.75" customHeight="1">
      <c r="A2488" s="1" t="s">
        <v>2525</v>
      </c>
      <c r="B2488" s="1" t="s">
        <v>24</v>
      </c>
      <c r="C2488" s="1">
        <v>0.0</v>
      </c>
      <c r="D2488" s="1" t="s">
        <v>25</v>
      </c>
      <c r="E2488" s="1" t="s">
        <v>25</v>
      </c>
      <c r="F2488" s="1">
        <v>28.0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1">
        <v>90.45</v>
      </c>
      <c r="T2488" s="1">
        <v>2509.25</v>
      </c>
      <c r="U2488" s="1">
        <v>2.0</v>
      </c>
      <c r="V2488" s="1">
        <v>0.0</v>
      </c>
      <c r="W2488" s="1" t="s">
        <v>26</v>
      </c>
    </row>
    <row r="2489" ht="15.75" customHeight="1">
      <c r="A2489" s="1" t="s">
        <v>2526</v>
      </c>
      <c r="B2489" s="1" t="s">
        <v>32</v>
      </c>
      <c r="C2489" s="1">
        <v>0.0</v>
      </c>
      <c r="D2489" s="1" t="s">
        <v>26</v>
      </c>
      <c r="E2489" s="1" t="s">
        <v>26</v>
      </c>
      <c r="F2489" s="1">
        <v>24.0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1">
        <v>60.45</v>
      </c>
      <c r="T2489" s="1">
        <v>1440.75</v>
      </c>
      <c r="U2489" s="1">
        <v>0.0</v>
      </c>
      <c r="V2489" s="1">
        <v>1.0</v>
      </c>
      <c r="W2489" s="1" t="s">
        <v>26</v>
      </c>
    </row>
    <row r="2490" ht="15.75" customHeight="1">
      <c r="A2490" s="1" t="s">
        <v>2527</v>
      </c>
      <c r="B2490" s="1" t="s">
        <v>32</v>
      </c>
      <c r="C2490" s="1">
        <v>0.0</v>
      </c>
      <c r="D2490" s="1" t="s">
        <v>26</v>
      </c>
      <c r="E2490" s="1" t="s">
        <v>26</v>
      </c>
      <c r="F2490" s="1">
        <v>31.0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1">
        <v>55.25</v>
      </c>
      <c r="T2490" s="1">
        <v>1715.65</v>
      </c>
      <c r="U2490" s="1">
        <v>0.0</v>
      </c>
      <c r="V2490" s="1">
        <v>0.0</v>
      </c>
      <c r="W2490" s="1" t="s">
        <v>25</v>
      </c>
    </row>
    <row r="2491" ht="15.75" customHeight="1">
      <c r="A2491" s="1" t="s">
        <v>2528</v>
      </c>
      <c r="B2491" s="1" t="s">
        <v>24</v>
      </c>
      <c r="C2491" s="1">
        <v>0.0</v>
      </c>
      <c r="D2491" s="1" t="s">
        <v>25</v>
      </c>
      <c r="E2491" s="1" t="s">
        <v>25</v>
      </c>
      <c r="F2491" s="1">
        <v>68.0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1">
        <v>78.45</v>
      </c>
      <c r="T2491" s="1">
        <v>5333.35</v>
      </c>
      <c r="U2491" s="1">
        <v>0.0</v>
      </c>
      <c r="V2491" s="1">
        <v>0.0</v>
      </c>
      <c r="W2491" s="1" t="s">
        <v>26</v>
      </c>
    </row>
    <row r="2492" ht="15.75" customHeight="1">
      <c r="A2492" s="1" t="s">
        <v>2529</v>
      </c>
      <c r="B2492" s="1" t="s">
        <v>32</v>
      </c>
      <c r="C2492" s="1">
        <v>0.0</v>
      </c>
      <c r="D2492" s="1" t="s">
        <v>26</v>
      </c>
      <c r="E2492" s="1" t="s">
        <v>25</v>
      </c>
      <c r="F2492" s="1">
        <v>39.0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1">
        <v>100.55</v>
      </c>
      <c r="T2492" s="1">
        <v>3895.35</v>
      </c>
      <c r="U2492" s="1">
        <v>0.0</v>
      </c>
      <c r="V2492" s="1">
        <v>3.0</v>
      </c>
      <c r="W2492" s="1" t="s">
        <v>26</v>
      </c>
    </row>
    <row r="2493" ht="15.75" customHeight="1">
      <c r="A2493" s="1" t="s">
        <v>2530</v>
      </c>
      <c r="B2493" s="1" t="s">
        <v>24</v>
      </c>
      <c r="C2493" s="1">
        <v>0.0</v>
      </c>
      <c r="D2493" s="1" t="s">
        <v>25</v>
      </c>
      <c r="E2493" s="1" t="s">
        <v>26</v>
      </c>
      <c r="F2493" s="1">
        <v>42.0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1">
        <v>20.35</v>
      </c>
      <c r="T2493" s="1">
        <v>869.9</v>
      </c>
      <c r="U2493" s="1">
        <v>0.0</v>
      </c>
      <c r="V2493" s="1">
        <v>0.0</v>
      </c>
      <c r="W2493" s="1" t="s">
        <v>26</v>
      </c>
    </row>
    <row r="2494" ht="15.75" customHeight="1">
      <c r="A2494" s="1" t="s">
        <v>2531</v>
      </c>
      <c r="B2494" s="1" t="s">
        <v>32</v>
      </c>
      <c r="C2494" s="1">
        <v>0.0</v>
      </c>
      <c r="D2494" s="1" t="s">
        <v>25</v>
      </c>
      <c r="E2494" s="1" t="s">
        <v>26</v>
      </c>
      <c r="F2494" s="1">
        <v>13.0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1">
        <v>54.45</v>
      </c>
      <c r="T2494" s="1">
        <v>706.85</v>
      </c>
      <c r="U2494" s="1">
        <v>0.0</v>
      </c>
      <c r="V2494" s="1">
        <v>0.0</v>
      </c>
      <c r="W2494" s="1" t="s">
        <v>25</v>
      </c>
    </row>
    <row r="2495" ht="15.75" customHeight="1">
      <c r="A2495" s="1" t="s">
        <v>2532</v>
      </c>
      <c r="B2495" s="1" t="s">
        <v>24</v>
      </c>
      <c r="C2495" s="1">
        <v>0.0</v>
      </c>
      <c r="D2495" s="1" t="s">
        <v>25</v>
      </c>
      <c r="E2495" s="1" t="s">
        <v>26</v>
      </c>
      <c r="F2495" s="1">
        <v>6.0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1">
        <v>90.75</v>
      </c>
      <c r="T2495" s="1">
        <v>512.25</v>
      </c>
      <c r="U2495" s="1">
        <v>4.0</v>
      </c>
      <c r="V2495" s="1">
        <v>0.0</v>
      </c>
      <c r="W2495" s="1" t="s">
        <v>26</v>
      </c>
    </row>
    <row r="2496" ht="15.75" customHeight="1">
      <c r="A2496" s="1" t="s">
        <v>2533</v>
      </c>
      <c r="B2496" s="1" t="s">
        <v>32</v>
      </c>
      <c r="C2496" s="1">
        <v>0.0</v>
      </c>
      <c r="D2496" s="1" t="s">
        <v>26</v>
      </c>
      <c r="E2496" s="1" t="s">
        <v>26</v>
      </c>
      <c r="F2496" s="1">
        <v>35.0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1">
        <v>75.35</v>
      </c>
      <c r="T2496" s="1">
        <v>2636.05</v>
      </c>
      <c r="U2496" s="1">
        <v>0.0</v>
      </c>
      <c r="V2496" s="1">
        <v>0.0</v>
      </c>
      <c r="W2496" s="1" t="s">
        <v>25</v>
      </c>
    </row>
    <row r="2497" ht="15.75" customHeight="1">
      <c r="A2497" s="1" t="s">
        <v>2534</v>
      </c>
      <c r="B2497" s="1" t="s">
        <v>24</v>
      </c>
      <c r="C2497" s="1">
        <v>0.0</v>
      </c>
      <c r="D2497" s="1" t="s">
        <v>25</v>
      </c>
      <c r="E2497" s="1" t="s">
        <v>26</v>
      </c>
      <c r="F2497" s="1">
        <v>38.0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1">
        <v>20.25</v>
      </c>
      <c r="T2497" s="1">
        <v>814.75</v>
      </c>
      <c r="U2497" s="1">
        <v>0.0</v>
      </c>
      <c r="V2497" s="1">
        <v>0.0</v>
      </c>
      <c r="W2497" s="1" t="s">
        <v>26</v>
      </c>
    </row>
    <row r="2498" ht="15.75" customHeight="1">
      <c r="A2498" s="1" t="s">
        <v>2535</v>
      </c>
      <c r="B2498" s="1" t="s">
        <v>32</v>
      </c>
      <c r="C2498" s="1">
        <v>0.0</v>
      </c>
      <c r="D2498" s="1" t="s">
        <v>26</v>
      </c>
      <c r="E2498" s="1" t="s">
        <v>26</v>
      </c>
      <c r="F2498" s="1">
        <v>18.0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1">
        <v>20.05</v>
      </c>
      <c r="T2498" s="1">
        <v>388.6</v>
      </c>
      <c r="U2498" s="1">
        <v>0.0</v>
      </c>
      <c r="V2498" s="1">
        <v>0.0</v>
      </c>
      <c r="W2498" s="1" t="s">
        <v>26</v>
      </c>
    </row>
    <row r="2499" ht="15.75" customHeight="1">
      <c r="A2499" s="1" t="s">
        <v>2536</v>
      </c>
      <c r="B2499" s="1" t="s">
        <v>24</v>
      </c>
      <c r="C2499" s="1">
        <v>0.0</v>
      </c>
      <c r="D2499" s="1" t="s">
        <v>25</v>
      </c>
      <c r="E2499" s="1" t="s">
        <v>26</v>
      </c>
      <c r="F2499" s="1">
        <v>4.0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1">
        <v>19.6</v>
      </c>
      <c r="T2499" s="1">
        <v>93.45</v>
      </c>
      <c r="U2499" s="1">
        <v>0.0</v>
      </c>
      <c r="V2499" s="1">
        <v>0.0</v>
      </c>
      <c r="W2499" s="1" t="s">
        <v>26</v>
      </c>
    </row>
    <row r="2500" ht="15.75" customHeight="1">
      <c r="A2500" s="1" t="s">
        <v>2537</v>
      </c>
      <c r="B2500" s="1" t="s">
        <v>32</v>
      </c>
      <c r="C2500" s="1">
        <v>0.0</v>
      </c>
      <c r="D2500" s="1" t="s">
        <v>25</v>
      </c>
      <c r="E2500" s="1" t="s">
        <v>26</v>
      </c>
      <c r="F2500" s="1">
        <v>27.0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1">
        <v>53.8</v>
      </c>
      <c r="T2500" s="1">
        <v>1389.85</v>
      </c>
      <c r="U2500" s="1">
        <v>0.0</v>
      </c>
      <c r="V2500" s="1">
        <v>0.0</v>
      </c>
      <c r="W2500" s="1" t="s">
        <v>26</v>
      </c>
    </row>
    <row r="2501" ht="15.75" customHeight="1">
      <c r="A2501" s="1" t="s">
        <v>2538</v>
      </c>
      <c r="B2501" s="1" t="s">
        <v>32</v>
      </c>
      <c r="C2501" s="1">
        <v>0.0</v>
      </c>
      <c r="D2501" s="1" t="s">
        <v>26</v>
      </c>
      <c r="E2501" s="1" t="s">
        <v>25</v>
      </c>
      <c r="F2501" s="1">
        <v>41.0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1">
        <v>70.2</v>
      </c>
      <c r="T2501" s="1">
        <v>2894.55</v>
      </c>
      <c r="U2501" s="1">
        <v>0.0</v>
      </c>
      <c r="V2501" s="1">
        <v>0.0</v>
      </c>
      <c r="W2501" s="1" t="s">
        <v>26</v>
      </c>
    </row>
    <row r="2502" ht="15.75" customHeight="1">
      <c r="A2502" s="1" t="s">
        <v>2539</v>
      </c>
      <c r="B2502" s="1" t="s">
        <v>32</v>
      </c>
      <c r="C2502" s="1">
        <v>0.0</v>
      </c>
      <c r="D2502" s="1" t="s">
        <v>25</v>
      </c>
      <c r="E2502" s="1" t="s">
        <v>25</v>
      </c>
      <c r="F2502" s="1">
        <v>50.0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1">
        <v>75.5</v>
      </c>
      <c r="T2502" s="1">
        <v>4025.6</v>
      </c>
      <c r="U2502" s="1">
        <v>0.0</v>
      </c>
      <c r="V2502" s="1">
        <v>0.0</v>
      </c>
      <c r="W2502" s="1" t="s">
        <v>26</v>
      </c>
    </row>
    <row r="2503" ht="15.75" customHeight="1">
      <c r="A2503" s="1" t="s">
        <v>2540</v>
      </c>
      <c r="B2503" s="1" t="s">
        <v>32</v>
      </c>
      <c r="C2503" s="1">
        <v>0.0</v>
      </c>
      <c r="D2503" s="1" t="s">
        <v>25</v>
      </c>
      <c r="E2503" s="1" t="s">
        <v>25</v>
      </c>
      <c r="F2503" s="1">
        <v>72.0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1">
        <v>20.35</v>
      </c>
      <c r="T2503" s="1">
        <v>1354.4</v>
      </c>
      <c r="U2503" s="1">
        <v>0.0</v>
      </c>
      <c r="V2503" s="1">
        <v>0.0</v>
      </c>
      <c r="W2503" s="1" t="s">
        <v>26</v>
      </c>
    </row>
    <row r="2504" ht="15.75" customHeight="1">
      <c r="A2504" s="1" t="s">
        <v>2541</v>
      </c>
      <c r="B2504" s="1" t="s">
        <v>24</v>
      </c>
      <c r="C2504" s="1">
        <v>0.0</v>
      </c>
      <c r="D2504" s="1" t="s">
        <v>26</v>
      </c>
      <c r="E2504" s="1" t="s">
        <v>26</v>
      </c>
      <c r="F2504" s="1">
        <v>70.0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1">
        <v>26.05</v>
      </c>
      <c r="T2504" s="1">
        <v>1856.4</v>
      </c>
      <c r="U2504" s="1">
        <v>0.0</v>
      </c>
      <c r="V2504" s="1">
        <v>0.0</v>
      </c>
      <c r="W2504" s="1" t="s">
        <v>26</v>
      </c>
    </row>
    <row r="2505" ht="15.75" customHeight="1">
      <c r="A2505" s="1" t="s">
        <v>2542</v>
      </c>
      <c r="B2505" s="1" t="s">
        <v>32</v>
      </c>
      <c r="C2505" s="1">
        <v>0.0</v>
      </c>
      <c r="D2505" s="1" t="s">
        <v>25</v>
      </c>
      <c r="E2505" s="1" t="s">
        <v>25</v>
      </c>
      <c r="F2505" s="1">
        <v>44.0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1">
        <v>20.6</v>
      </c>
      <c r="T2505" s="1">
        <v>926.0</v>
      </c>
      <c r="U2505" s="1">
        <v>0.0</v>
      </c>
      <c r="V2505" s="1">
        <v>0.0</v>
      </c>
      <c r="W2505" s="1" t="s">
        <v>26</v>
      </c>
    </row>
    <row r="2506" ht="15.75" customHeight="1">
      <c r="A2506" s="1" t="s">
        <v>2543</v>
      </c>
      <c r="B2506" s="1" t="s">
        <v>32</v>
      </c>
      <c r="C2506" s="1">
        <v>0.0</v>
      </c>
      <c r="D2506" s="1" t="s">
        <v>26</v>
      </c>
      <c r="E2506" s="1" t="s">
        <v>26</v>
      </c>
      <c r="F2506" s="1">
        <v>2.0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1">
        <v>75.7</v>
      </c>
      <c r="T2506" s="1">
        <v>189.2</v>
      </c>
      <c r="U2506" s="1">
        <v>0.0</v>
      </c>
      <c r="V2506" s="1">
        <v>0.0</v>
      </c>
      <c r="W2506" s="1" t="s">
        <v>25</v>
      </c>
    </row>
    <row r="2507" ht="15.75" customHeight="1">
      <c r="A2507" s="1" t="s">
        <v>2544</v>
      </c>
      <c r="B2507" s="1" t="s">
        <v>24</v>
      </c>
      <c r="C2507" s="1">
        <v>0.0</v>
      </c>
      <c r="D2507" s="1" t="s">
        <v>25</v>
      </c>
      <c r="E2507" s="1" t="s">
        <v>25</v>
      </c>
      <c r="F2507" s="1">
        <v>34.0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1">
        <v>20.1</v>
      </c>
      <c r="T2507" s="1">
        <v>682.1</v>
      </c>
      <c r="U2507" s="1">
        <v>0.0</v>
      </c>
      <c r="V2507" s="1">
        <v>0.0</v>
      </c>
      <c r="W2507" s="1" t="s">
        <v>26</v>
      </c>
    </row>
    <row r="2508" ht="15.75" customHeight="1">
      <c r="A2508" s="1" t="s">
        <v>2545</v>
      </c>
      <c r="B2508" s="1" t="s">
        <v>24</v>
      </c>
      <c r="C2508" s="1">
        <v>1.0</v>
      </c>
      <c r="D2508" s="1" t="s">
        <v>25</v>
      </c>
      <c r="E2508" s="1" t="s">
        <v>26</v>
      </c>
      <c r="F2508" s="1">
        <v>72.0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1">
        <v>24.3</v>
      </c>
      <c r="T2508" s="1">
        <v>1778.7</v>
      </c>
      <c r="U2508" s="1">
        <v>0.0</v>
      </c>
      <c r="V2508" s="1">
        <v>0.0</v>
      </c>
      <c r="W2508" s="1" t="s">
        <v>26</v>
      </c>
    </row>
    <row r="2509" ht="15.75" customHeight="1">
      <c r="A2509" s="1" t="s">
        <v>2546</v>
      </c>
      <c r="B2509" s="1" t="s">
        <v>32</v>
      </c>
      <c r="C2509" s="1">
        <v>0.0</v>
      </c>
      <c r="D2509" s="1" t="s">
        <v>25</v>
      </c>
      <c r="E2509" s="1" t="s">
        <v>26</v>
      </c>
      <c r="F2509" s="1">
        <v>71.0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1">
        <v>24.5</v>
      </c>
      <c r="T2509" s="1">
        <v>1816.2</v>
      </c>
      <c r="U2509" s="1">
        <v>0.0</v>
      </c>
      <c r="V2509" s="1">
        <v>6.0</v>
      </c>
      <c r="W2509" s="1" t="s">
        <v>26</v>
      </c>
    </row>
    <row r="2510" ht="15.75" customHeight="1">
      <c r="A2510" s="1" t="s">
        <v>2547</v>
      </c>
      <c r="B2510" s="1" t="s">
        <v>24</v>
      </c>
      <c r="C2510" s="1">
        <v>0.0</v>
      </c>
      <c r="D2510" s="1" t="s">
        <v>26</v>
      </c>
      <c r="E2510" s="1" t="s">
        <v>26</v>
      </c>
      <c r="F2510" s="1">
        <v>64.0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1">
        <v>110.5</v>
      </c>
      <c r="T2510" s="1">
        <v>7069.25</v>
      </c>
      <c r="U2510" s="1">
        <v>0.0</v>
      </c>
      <c r="V2510" s="1">
        <v>0.0</v>
      </c>
      <c r="W2510" s="1" t="s">
        <v>26</v>
      </c>
    </row>
    <row r="2511" ht="15.75" customHeight="1">
      <c r="A2511" s="1" t="s">
        <v>2548</v>
      </c>
      <c r="B2511" s="1" t="s">
        <v>24</v>
      </c>
      <c r="C2511" s="1">
        <v>0.0</v>
      </c>
      <c r="D2511" s="1" t="s">
        <v>25</v>
      </c>
      <c r="E2511" s="1" t="s">
        <v>26</v>
      </c>
      <c r="F2511" s="1">
        <v>72.0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1">
        <v>25.25</v>
      </c>
      <c r="T2511" s="1">
        <v>1841.2</v>
      </c>
      <c r="U2511" s="1">
        <v>0.0</v>
      </c>
      <c r="V2511" s="1">
        <v>0.0</v>
      </c>
      <c r="W2511" s="1" t="s">
        <v>26</v>
      </c>
    </row>
    <row r="2512" ht="15.75" customHeight="1">
      <c r="A2512" s="1" t="s">
        <v>2549</v>
      </c>
      <c r="B2512" s="1" t="s">
        <v>32</v>
      </c>
      <c r="C2512" s="1">
        <v>0.0</v>
      </c>
      <c r="D2512" s="1" t="s">
        <v>26</v>
      </c>
      <c r="E2512" s="1" t="s">
        <v>26</v>
      </c>
      <c r="F2512" s="1">
        <v>1.0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1">
        <v>74.25</v>
      </c>
      <c r="T2512" s="1">
        <v>74.25</v>
      </c>
      <c r="U2512" s="1">
        <v>0.0</v>
      </c>
      <c r="V2512" s="1">
        <v>0.0</v>
      </c>
      <c r="W2512" s="1" t="s">
        <v>25</v>
      </c>
    </row>
    <row r="2513" ht="15.75" customHeight="1">
      <c r="A2513" s="1" t="s">
        <v>2550</v>
      </c>
      <c r="B2513" s="1" t="s">
        <v>32</v>
      </c>
      <c r="C2513" s="1">
        <v>1.0</v>
      </c>
      <c r="D2513" s="1" t="s">
        <v>25</v>
      </c>
      <c r="E2513" s="1" t="s">
        <v>26</v>
      </c>
      <c r="F2513" s="1">
        <v>29.0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1">
        <v>90.1</v>
      </c>
      <c r="T2513" s="1">
        <v>2656.7</v>
      </c>
      <c r="U2513" s="1">
        <v>0.0</v>
      </c>
      <c r="V2513" s="1">
        <v>0.0</v>
      </c>
      <c r="W2513" s="1" t="s">
        <v>26</v>
      </c>
    </row>
    <row r="2514" ht="15.75" customHeight="1">
      <c r="A2514" s="1" t="s">
        <v>2551</v>
      </c>
      <c r="B2514" s="1" t="s">
        <v>24</v>
      </c>
      <c r="C2514" s="1">
        <v>0.0</v>
      </c>
      <c r="D2514" s="1" t="s">
        <v>25</v>
      </c>
      <c r="E2514" s="1" t="s">
        <v>26</v>
      </c>
      <c r="F2514" s="1">
        <v>23.0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1">
        <v>68.75</v>
      </c>
      <c r="T2514" s="1">
        <v>1689.45</v>
      </c>
      <c r="U2514" s="1">
        <v>0.0</v>
      </c>
      <c r="V2514" s="1">
        <v>0.0</v>
      </c>
      <c r="W2514" s="1" t="s">
        <v>26</v>
      </c>
    </row>
    <row r="2515" ht="15.75" customHeight="1">
      <c r="A2515" s="1" t="s">
        <v>2552</v>
      </c>
      <c r="B2515" s="1" t="s">
        <v>32</v>
      </c>
      <c r="C2515" s="1">
        <v>0.0</v>
      </c>
      <c r="D2515" s="1" t="s">
        <v>25</v>
      </c>
      <c r="E2515" s="1" t="s">
        <v>25</v>
      </c>
      <c r="F2515" s="1">
        <v>52.0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1">
        <v>19.2</v>
      </c>
      <c r="T2515" s="1">
        <v>1054.75</v>
      </c>
      <c r="U2515" s="1">
        <v>0.0</v>
      </c>
      <c r="V2515" s="1">
        <v>1.0</v>
      </c>
      <c r="W2515" s="1" t="s">
        <v>26</v>
      </c>
    </row>
    <row r="2516" ht="15.75" customHeight="1">
      <c r="A2516" s="1" t="s">
        <v>2553</v>
      </c>
      <c r="B2516" s="1" t="s">
        <v>24</v>
      </c>
      <c r="C2516" s="1">
        <v>1.0</v>
      </c>
      <c r="D2516" s="1" t="s">
        <v>26</v>
      </c>
      <c r="E2516" s="1" t="s">
        <v>26</v>
      </c>
      <c r="F2516" s="1">
        <v>25.0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1">
        <v>89.7</v>
      </c>
      <c r="T2516" s="1">
        <v>2187.55</v>
      </c>
      <c r="U2516" s="1">
        <v>0.0</v>
      </c>
      <c r="V2516" s="1">
        <v>2.0</v>
      </c>
      <c r="W2516" s="1" t="s">
        <v>25</v>
      </c>
    </row>
    <row r="2517" ht="15.75" customHeight="1">
      <c r="A2517" s="1" t="s">
        <v>2554</v>
      </c>
      <c r="B2517" s="1" t="s">
        <v>24</v>
      </c>
      <c r="C2517" s="1">
        <v>0.0</v>
      </c>
      <c r="D2517" s="1" t="s">
        <v>26</v>
      </c>
      <c r="E2517" s="1" t="s">
        <v>26</v>
      </c>
      <c r="F2517" s="1">
        <v>64.0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1">
        <v>115.1</v>
      </c>
      <c r="T2517" s="1">
        <v>7334.05</v>
      </c>
      <c r="U2517" s="1">
        <v>0.0</v>
      </c>
      <c r="V2517" s="1">
        <v>0.0</v>
      </c>
      <c r="W2517" s="1" t="s">
        <v>26</v>
      </c>
    </row>
    <row r="2518" ht="15.75" customHeight="1">
      <c r="A2518" s="1" t="s">
        <v>2555</v>
      </c>
      <c r="B2518" s="1" t="s">
        <v>24</v>
      </c>
      <c r="C2518" s="1">
        <v>1.0</v>
      </c>
      <c r="D2518" s="1" t="s">
        <v>26</v>
      </c>
      <c r="E2518" s="1" t="s">
        <v>26</v>
      </c>
      <c r="F2518" s="1">
        <v>16.0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1">
        <v>96.4</v>
      </c>
      <c r="T2518" s="1">
        <v>1581.2</v>
      </c>
      <c r="U2518" s="1">
        <v>4.0</v>
      </c>
      <c r="V2518" s="1">
        <v>0.0</v>
      </c>
      <c r="W2518" s="1" t="s">
        <v>25</v>
      </c>
    </row>
    <row r="2519" ht="15.75" customHeight="1">
      <c r="A2519" s="1" t="s">
        <v>2556</v>
      </c>
      <c r="B2519" s="1" t="s">
        <v>32</v>
      </c>
      <c r="C2519" s="1">
        <v>1.0</v>
      </c>
      <c r="D2519" s="1" t="s">
        <v>26</v>
      </c>
      <c r="E2519" s="1" t="s">
        <v>26</v>
      </c>
      <c r="F2519" s="1">
        <v>1.0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1">
        <v>69.5</v>
      </c>
      <c r="T2519" s="1">
        <v>69.5</v>
      </c>
      <c r="U2519" s="1">
        <v>0.0</v>
      </c>
      <c r="V2519" s="1">
        <v>0.0</v>
      </c>
      <c r="W2519" s="1" t="s">
        <v>25</v>
      </c>
    </row>
    <row r="2520" ht="15.75" customHeight="1">
      <c r="A2520" s="1" t="s">
        <v>2557</v>
      </c>
      <c r="B2520" s="1" t="s">
        <v>32</v>
      </c>
      <c r="C2520" s="1">
        <v>0.0</v>
      </c>
      <c r="D2520" s="1" t="s">
        <v>26</v>
      </c>
      <c r="E2520" s="1" t="s">
        <v>26</v>
      </c>
      <c r="F2520" s="1">
        <v>24.0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1">
        <v>99.65</v>
      </c>
      <c r="T2520" s="1">
        <v>2404.85</v>
      </c>
      <c r="U2520" s="1">
        <v>0.0</v>
      </c>
      <c r="V2520" s="1">
        <v>0.0</v>
      </c>
      <c r="W2520" s="1" t="s">
        <v>26</v>
      </c>
    </row>
    <row r="2521" ht="15.75" customHeight="1">
      <c r="A2521" s="1" t="s">
        <v>2558</v>
      </c>
      <c r="B2521" s="1" t="s">
        <v>32</v>
      </c>
      <c r="C2521" s="1">
        <v>0.0</v>
      </c>
      <c r="D2521" s="1" t="s">
        <v>25</v>
      </c>
      <c r="E2521" s="1" t="s">
        <v>26</v>
      </c>
      <c r="F2521" s="1">
        <v>2.0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1">
        <v>91.45</v>
      </c>
      <c r="T2521" s="1">
        <v>171.45</v>
      </c>
      <c r="U2521" s="1">
        <v>0.0</v>
      </c>
      <c r="V2521" s="1">
        <v>0.0</v>
      </c>
      <c r="W2521" s="1" t="s">
        <v>26</v>
      </c>
    </row>
    <row r="2522" ht="15.75" customHeight="1">
      <c r="A2522" s="1" t="s">
        <v>2559</v>
      </c>
      <c r="B2522" s="1" t="s">
        <v>24</v>
      </c>
      <c r="C2522" s="1">
        <v>0.0</v>
      </c>
      <c r="D2522" s="1" t="s">
        <v>25</v>
      </c>
      <c r="E2522" s="1" t="s">
        <v>25</v>
      </c>
      <c r="F2522" s="1">
        <v>34.0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1">
        <v>84.75</v>
      </c>
      <c r="T2522" s="1">
        <v>2839.45</v>
      </c>
      <c r="U2522" s="1">
        <v>0.0</v>
      </c>
      <c r="V2522" s="1">
        <v>0.0</v>
      </c>
      <c r="W2522" s="1" t="s">
        <v>26</v>
      </c>
    </row>
    <row r="2523" ht="15.75" customHeight="1">
      <c r="A2523" s="1" t="s">
        <v>2560</v>
      </c>
      <c r="B2523" s="1" t="s">
        <v>32</v>
      </c>
      <c r="C2523" s="1">
        <v>1.0</v>
      </c>
      <c r="D2523" s="1" t="s">
        <v>25</v>
      </c>
      <c r="E2523" s="1" t="s">
        <v>26</v>
      </c>
      <c r="F2523" s="1">
        <v>36.0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1">
        <v>85.25</v>
      </c>
      <c r="T2523" s="1">
        <v>3132.75</v>
      </c>
      <c r="U2523" s="1">
        <v>0.0</v>
      </c>
      <c r="V2523" s="1">
        <v>0.0</v>
      </c>
      <c r="W2523" s="1" t="s">
        <v>25</v>
      </c>
    </row>
    <row r="2524" ht="15.75" customHeight="1">
      <c r="A2524" s="1" t="s">
        <v>2561</v>
      </c>
      <c r="B2524" s="1" t="s">
        <v>32</v>
      </c>
      <c r="C2524" s="1">
        <v>0.0</v>
      </c>
      <c r="D2524" s="1" t="s">
        <v>25</v>
      </c>
      <c r="E2524" s="1" t="s">
        <v>25</v>
      </c>
      <c r="F2524" s="1">
        <v>53.0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1">
        <v>78.75</v>
      </c>
      <c r="T2524" s="1">
        <v>3942.45</v>
      </c>
      <c r="U2524" s="1">
        <v>0.0</v>
      </c>
      <c r="V2524" s="1">
        <v>0.0</v>
      </c>
      <c r="W2524" s="1" t="s">
        <v>26</v>
      </c>
    </row>
    <row r="2525" ht="15.75" customHeight="1">
      <c r="A2525" s="1" t="s">
        <v>2562</v>
      </c>
      <c r="B2525" s="1" t="s">
        <v>24</v>
      </c>
      <c r="C2525" s="1">
        <v>0.0</v>
      </c>
      <c r="D2525" s="1" t="s">
        <v>25</v>
      </c>
      <c r="E2525" s="1" t="s">
        <v>25</v>
      </c>
      <c r="F2525" s="1">
        <v>47.0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1">
        <v>20.25</v>
      </c>
      <c r="T2525" s="1">
        <v>873.4</v>
      </c>
      <c r="U2525" s="1">
        <v>0.0</v>
      </c>
      <c r="V2525" s="1">
        <v>0.0</v>
      </c>
      <c r="W2525" s="1" t="s">
        <v>26</v>
      </c>
    </row>
    <row r="2526" ht="15.75" customHeight="1">
      <c r="A2526" s="1" t="s">
        <v>2563</v>
      </c>
      <c r="B2526" s="1" t="s">
        <v>32</v>
      </c>
      <c r="C2526" s="1">
        <v>0.0</v>
      </c>
      <c r="D2526" s="1" t="s">
        <v>26</v>
      </c>
      <c r="E2526" s="1" t="s">
        <v>25</v>
      </c>
      <c r="F2526" s="1">
        <v>72.0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1">
        <v>19.9</v>
      </c>
      <c r="T2526" s="1">
        <v>1529.65</v>
      </c>
      <c r="U2526" s="1">
        <v>0.0</v>
      </c>
      <c r="V2526" s="1">
        <v>0.0</v>
      </c>
      <c r="W2526" s="1" t="s">
        <v>26</v>
      </c>
    </row>
    <row r="2527" ht="15.75" customHeight="1">
      <c r="A2527" s="1" t="s">
        <v>2564</v>
      </c>
      <c r="B2527" s="1" t="s">
        <v>32</v>
      </c>
      <c r="C2527" s="1">
        <v>0.0</v>
      </c>
      <c r="D2527" s="1" t="s">
        <v>25</v>
      </c>
      <c r="E2527" s="1" t="s">
        <v>25</v>
      </c>
      <c r="F2527" s="1">
        <v>72.0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1">
        <v>97.75</v>
      </c>
      <c r="T2527" s="1">
        <v>6991.6</v>
      </c>
      <c r="U2527" s="1">
        <v>0.0</v>
      </c>
      <c r="V2527" s="1">
        <v>0.0</v>
      </c>
      <c r="W2527" s="1" t="s">
        <v>26</v>
      </c>
    </row>
    <row r="2528" ht="15.75" customHeight="1">
      <c r="A2528" s="1" t="s">
        <v>2565</v>
      </c>
      <c r="B2528" s="1" t="s">
        <v>32</v>
      </c>
      <c r="C2528" s="1">
        <v>0.0</v>
      </c>
      <c r="D2528" s="1" t="s">
        <v>26</v>
      </c>
      <c r="E2528" s="1" t="s">
        <v>26</v>
      </c>
      <c r="F2528" s="1">
        <v>1.0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1">
        <v>19.4</v>
      </c>
      <c r="T2528" s="1">
        <v>19.4</v>
      </c>
      <c r="U2528" s="1">
        <v>0.0</v>
      </c>
      <c r="V2528" s="1">
        <v>0.0</v>
      </c>
      <c r="W2528" s="1" t="s">
        <v>25</v>
      </c>
    </row>
    <row r="2529" ht="15.75" customHeight="1">
      <c r="A2529" s="1" t="s">
        <v>2566</v>
      </c>
      <c r="B2529" s="1" t="s">
        <v>24</v>
      </c>
      <c r="C2529" s="1">
        <v>0.0</v>
      </c>
      <c r="D2529" s="1" t="s">
        <v>26</v>
      </c>
      <c r="E2529" s="1" t="s">
        <v>26</v>
      </c>
      <c r="F2529" s="1">
        <v>9.0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1">
        <v>83.3</v>
      </c>
      <c r="T2529" s="1">
        <v>803.3</v>
      </c>
      <c r="U2529" s="1">
        <v>0.0</v>
      </c>
      <c r="V2529" s="1">
        <v>0.0</v>
      </c>
      <c r="W2529" s="1" t="s">
        <v>25</v>
      </c>
    </row>
    <row r="2530" ht="15.75" customHeight="1">
      <c r="A2530" s="1" t="s">
        <v>2567</v>
      </c>
      <c r="B2530" s="1" t="s">
        <v>24</v>
      </c>
      <c r="C2530" s="1">
        <v>0.0</v>
      </c>
      <c r="D2530" s="1" t="s">
        <v>26</v>
      </c>
      <c r="E2530" s="1" t="s">
        <v>26</v>
      </c>
      <c r="F2530" s="1">
        <v>8.0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1">
        <v>80.1</v>
      </c>
      <c r="T2530" s="1">
        <v>679.3</v>
      </c>
      <c r="U2530" s="1">
        <v>0.0</v>
      </c>
      <c r="V2530" s="1">
        <v>0.0</v>
      </c>
      <c r="W2530" s="1" t="s">
        <v>25</v>
      </c>
    </row>
    <row r="2531" ht="15.75" customHeight="1">
      <c r="A2531" s="1" t="s">
        <v>2568</v>
      </c>
      <c r="B2531" s="1" t="s">
        <v>32</v>
      </c>
      <c r="C2531" s="1">
        <v>1.0</v>
      </c>
      <c r="D2531" s="1" t="s">
        <v>26</v>
      </c>
      <c r="E2531" s="1" t="s">
        <v>26</v>
      </c>
      <c r="F2531" s="1">
        <v>45.0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1">
        <v>62.7</v>
      </c>
      <c r="T2531" s="1">
        <v>2791.5</v>
      </c>
      <c r="U2531" s="1">
        <v>0.0</v>
      </c>
      <c r="V2531" s="1">
        <v>5.0</v>
      </c>
      <c r="W2531" s="1" t="s">
        <v>25</v>
      </c>
    </row>
    <row r="2532" ht="15.75" customHeight="1">
      <c r="A2532" s="1" t="s">
        <v>2569</v>
      </c>
      <c r="B2532" s="1" t="s">
        <v>24</v>
      </c>
      <c r="C2532" s="1">
        <v>0.0</v>
      </c>
      <c r="D2532" s="1" t="s">
        <v>26</v>
      </c>
      <c r="E2532" s="1" t="s">
        <v>26</v>
      </c>
      <c r="F2532" s="1">
        <v>7.0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1">
        <v>100.4</v>
      </c>
      <c r="T2532" s="1">
        <v>715.0</v>
      </c>
      <c r="U2532" s="1">
        <v>2.0</v>
      </c>
      <c r="V2532" s="1">
        <v>0.0</v>
      </c>
      <c r="W2532" s="1" t="s">
        <v>26</v>
      </c>
    </row>
    <row r="2533" ht="15.75" customHeight="1">
      <c r="A2533" s="1" t="s">
        <v>2570</v>
      </c>
      <c r="B2533" s="1" t="s">
        <v>24</v>
      </c>
      <c r="C2533" s="1">
        <v>0.0</v>
      </c>
      <c r="D2533" s="1" t="s">
        <v>25</v>
      </c>
      <c r="E2533" s="1" t="s">
        <v>26</v>
      </c>
      <c r="F2533" s="1">
        <v>71.0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1">
        <v>24.45</v>
      </c>
      <c r="T2533" s="1">
        <v>1681.6</v>
      </c>
      <c r="U2533" s="1">
        <v>0.0</v>
      </c>
      <c r="V2533" s="1">
        <v>0.0</v>
      </c>
      <c r="W2533" s="1" t="s">
        <v>26</v>
      </c>
    </row>
    <row r="2534" ht="15.75" customHeight="1">
      <c r="A2534" s="1" t="s">
        <v>2571</v>
      </c>
      <c r="B2534" s="1" t="s">
        <v>24</v>
      </c>
      <c r="C2534" s="1">
        <v>1.0</v>
      </c>
      <c r="D2534" s="1" t="s">
        <v>26</v>
      </c>
      <c r="E2534" s="1" t="s">
        <v>26</v>
      </c>
      <c r="F2534" s="1">
        <v>41.0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1">
        <v>101.1</v>
      </c>
      <c r="T2534" s="1">
        <v>4016.2</v>
      </c>
      <c r="U2534" s="1">
        <v>0.0</v>
      </c>
      <c r="V2534" s="1">
        <v>0.0</v>
      </c>
      <c r="W2534" s="1" t="s">
        <v>26</v>
      </c>
    </row>
    <row r="2535" ht="15.75" customHeight="1">
      <c r="A2535" s="1" t="s">
        <v>2572</v>
      </c>
      <c r="B2535" s="1" t="s">
        <v>32</v>
      </c>
      <c r="C2535" s="1">
        <v>0.0</v>
      </c>
      <c r="D2535" s="1" t="s">
        <v>25</v>
      </c>
      <c r="E2535" s="1" t="s">
        <v>25</v>
      </c>
      <c r="F2535" s="1">
        <v>67.0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1">
        <v>50.9</v>
      </c>
      <c r="T2535" s="1">
        <v>3281.65</v>
      </c>
      <c r="U2535" s="1">
        <v>5.0</v>
      </c>
      <c r="V2535" s="1">
        <v>4.0</v>
      </c>
      <c r="W2535" s="1" t="s">
        <v>26</v>
      </c>
    </row>
    <row r="2536" ht="15.75" customHeight="1">
      <c r="A2536" s="1" t="s">
        <v>2573</v>
      </c>
      <c r="B2536" s="1" t="s">
        <v>32</v>
      </c>
      <c r="C2536" s="1">
        <v>0.0</v>
      </c>
      <c r="D2536" s="1" t="s">
        <v>25</v>
      </c>
      <c r="E2536" s="1" t="s">
        <v>26</v>
      </c>
      <c r="F2536" s="1">
        <v>69.0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1">
        <v>107.2</v>
      </c>
      <c r="T2536" s="1">
        <v>7317.1</v>
      </c>
      <c r="U2536" s="1">
        <v>0.0</v>
      </c>
      <c r="V2536" s="1">
        <v>0.0</v>
      </c>
      <c r="W2536" s="1" t="s">
        <v>26</v>
      </c>
    </row>
    <row r="2537" ht="15.75" customHeight="1">
      <c r="A2537" s="1" t="s">
        <v>2574</v>
      </c>
      <c r="B2537" s="1" t="s">
        <v>24</v>
      </c>
      <c r="C2537" s="1">
        <v>1.0</v>
      </c>
      <c r="D2537" s="1" t="s">
        <v>25</v>
      </c>
      <c r="E2537" s="1" t="s">
        <v>26</v>
      </c>
      <c r="F2537" s="1">
        <v>70.0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1">
        <v>92.2</v>
      </c>
      <c r="T2537" s="1">
        <v>6474.45</v>
      </c>
      <c r="U2537" s="1">
        <v>0.0</v>
      </c>
      <c r="V2537" s="1">
        <v>0.0</v>
      </c>
      <c r="W2537" s="1" t="s">
        <v>26</v>
      </c>
    </row>
    <row r="2538" ht="15.75" customHeight="1">
      <c r="A2538" s="1" t="s">
        <v>2575</v>
      </c>
      <c r="B2538" s="1" t="s">
        <v>32</v>
      </c>
      <c r="C2538" s="1">
        <v>0.0</v>
      </c>
      <c r="D2538" s="1" t="s">
        <v>26</v>
      </c>
      <c r="E2538" s="1" t="s">
        <v>26</v>
      </c>
      <c r="F2538" s="1">
        <v>25.0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1">
        <v>25.3</v>
      </c>
      <c r="T2538" s="1">
        <v>676.35</v>
      </c>
      <c r="U2538" s="1">
        <v>0.0</v>
      </c>
      <c r="V2538" s="1">
        <v>0.0</v>
      </c>
      <c r="W2538" s="1" t="s">
        <v>25</v>
      </c>
    </row>
    <row r="2539" ht="15.75" customHeight="1">
      <c r="A2539" s="1" t="s">
        <v>2576</v>
      </c>
      <c r="B2539" s="1" t="s">
        <v>32</v>
      </c>
      <c r="C2539" s="1">
        <v>0.0</v>
      </c>
      <c r="D2539" s="1" t="s">
        <v>26</v>
      </c>
      <c r="E2539" s="1" t="s">
        <v>26</v>
      </c>
      <c r="F2539" s="1">
        <v>72.0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1">
        <v>113.4</v>
      </c>
      <c r="T2539" s="1">
        <v>8164.1</v>
      </c>
      <c r="U2539" s="1">
        <v>0.0</v>
      </c>
      <c r="V2539" s="1">
        <v>0.0</v>
      </c>
      <c r="W2539" s="1" t="s">
        <v>26</v>
      </c>
    </row>
    <row r="2540" ht="15.75" customHeight="1">
      <c r="A2540" s="1" t="s">
        <v>2577</v>
      </c>
      <c r="B2540" s="1" t="s">
        <v>32</v>
      </c>
      <c r="C2540" s="1">
        <v>0.0</v>
      </c>
      <c r="D2540" s="1" t="s">
        <v>25</v>
      </c>
      <c r="E2540" s="1" t="s">
        <v>25</v>
      </c>
      <c r="F2540" s="1">
        <v>34.0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1">
        <v>40.55</v>
      </c>
      <c r="T2540" s="1">
        <v>1325.85</v>
      </c>
      <c r="U2540" s="1">
        <v>4.0</v>
      </c>
      <c r="V2540" s="1">
        <v>0.0</v>
      </c>
      <c r="W2540" s="1" t="s">
        <v>26</v>
      </c>
    </row>
    <row r="2541" ht="15.75" customHeight="1">
      <c r="A2541" s="1" t="s">
        <v>2578</v>
      </c>
      <c r="B2541" s="1" t="s">
        <v>24</v>
      </c>
      <c r="C2541" s="1">
        <v>0.0</v>
      </c>
      <c r="D2541" s="1" t="s">
        <v>25</v>
      </c>
      <c r="E2541" s="1" t="s">
        <v>25</v>
      </c>
      <c r="F2541" s="1">
        <v>65.0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1">
        <v>26.0</v>
      </c>
      <c r="T2541" s="1">
        <v>1654.85</v>
      </c>
      <c r="U2541" s="1">
        <v>0.0</v>
      </c>
      <c r="V2541" s="1">
        <v>0.0</v>
      </c>
      <c r="W2541" s="1" t="s">
        <v>26</v>
      </c>
    </row>
    <row r="2542" ht="15.75" customHeight="1">
      <c r="A2542" s="1" t="s">
        <v>2579</v>
      </c>
      <c r="B2542" s="1" t="s">
        <v>24</v>
      </c>
      <c r="C2542" s="1">
        <v>0.0</v>
      </c>
      <c r="D2542" s="1" t="s">
        <v>26</v>
      </c>
      <c r="E2542" s="1" t="s">
        <v>26</v>
      </c>
      <c r="F2542" s="1">
        <v>70.0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1">
        <v>111.95</v>
      </c>
      <c r="T2542" s="1">
        <v>7795.95</v>
      </c>
      <c r="U2542" s="1">
        <v>0.0</v>
      </c>
      <c r="V2542" s="1">
        <v>0.0</v>
      </c>
      <c r="W2542" s="1" t="s">
        <v>26</v>
      </c>
    </row>
    <row r="2543" ht="15.75" customHeight="1">
      <c r="A2543" s="1" t="s">
        <v>2580</v>
      </c>
      <c r="B2543" s="1" t="s">
        <v>24</v>
      </c>
      <c r="C2543" s="1">
        <v>0.0</v>
      </c>
      <c r="D2543" s="1" t="s">
        <v>25</v>
      </c>
      <c r="E2543" s="1" t="s">
        <v>25</v>
      </c>
      <c r="F2543" s="1">
        <v>72.0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1">
        <v>53.8</v>
      </c>
      <c r="T2543" s="1">
        <v>3952.45</v>
      </c>
      <c r="U2543" s="1">
        <v>1.0</v>
      </c>
      <c r="V2543" s="1">
        <v>0.0</v>
      </c>
      <c r="W2543" s="1" t="s">
        <v>26</v>
      </c>
    </row>
    <row r="2544" ht="15.75" customHeight="1">
      <c r="A2544" s="1" t="s">
        <v>2581</v>
      </c>
      <c r="B2544" s="1" t="s">
        <v>32</v>
      </c>
      <c r="C2544" s="1">
        <v>0.0</v>
      </c>
      <c r="D2544" s="1" t="s">
        <v>26</v>
      </c>
      <c r="E2544" s="1" t="s">
        <v>25</v>
      </c>
      <c r="F2544" s="1">
        <v>35.0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1">
        <v>72.1</v>
      </c>
      <c r="T2544" s="1">
        <v>2495.15</v>
      </c>
      <c r="U2544" s="1">
        <v>4.0</v>
      </c>
      <c r="V2544" s="1">
        <v>0.0</v>
      </c>
      <c r="W2544" s="1" t="s">
        <v>26</v>
      </c>
    </row>
    <row r="2545" ht="15.75" customHeight="1">
      <c r="A2545" s="1" t="s">
        <v>2582</v>
      </c>
      <c r="B2545" s="1" t="s">
        <v>32</v>
      </c>
      <c r="C2545" s="1">
        <v>0.0</v>
      </c>
      <c r="D2545" s="1" t="s">
        <v>26</v>
      </c>
      <c r="E2545" s="1" t="s">
        <v>26</v>
      </c>
      <c r="F2545" s="1">
        <v>13.0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1">
        <v>98.15</v>
      </c>
      <c r="T2545" s="1">
        <v>1230.25</v>
      </c>
      <c r="U2545" s="1">
        <v>0.0</v>
      </c>
      <c r="V2545" s="1">
        <v>0.0</v>
      </c>
      <c r="W2545" s="1" t="s">
        <v>25</v>
      </c>
    </row>
    <row r="2546" ht="15.75" customHeight="1">
      <c r="A2546" s="1" t="s">
        <v>2583</v>
      </c>
      <c r="B2546" s="1" t="s">
        <v>24</v>
      </c>
      <c r="C2546" s="1">
        <v>0.0</v>
      </c>
      <c r="D2546" s="1" t="s">
        <v>25</v>
      </c>
      <c r="E2546" s="1" t="s">
        <v>26</v>
      </c>
      <c r="F2546" s="1">
        <v>12.0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1">
        <v>78.85</v>
      </c>
      <c r="T2546" s="1">
        <v>876.75</v>
      </c>
      <c r="U2546" s="1">
        <v>0.0</v>
      </c>
      <c r="V2546" s="1">
        <v>0.0</v>
      </c>
      <c r="W2546" s="1" t="s">
        <v>26</v>
      </c>
    </row>
    <row r="2547" ht="15.75" customHeight="1">
      <c r="A2547" s="1" t="s">
        <v>2584</v>
      </c>
      <c r="B2547" s="1" t="s">
        <v>24</v>
      </c>
      <c r="C2547" s="1">
        <v>0.0</v>
      </c>
      <c r="D2547" s="1" t="s">
        <v>25</v>
      </c>
      <c r="E2547" s="1" t="s">
        <v>25</v>
      </c>
      <c r="F2547" s="1">
        <v>62.0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1">
        <v>70.75</v>
      </c>
      <c r="T2547" s="1">
        <v>4263.45</v>
      </c>
      <c r="U2547" s="1">
        <v>0.0</v>
      </c>
      <c r="V2547" s="1">
        <v>0.0</v>
      </c>
      <c r="W2547" s="1" t="s">
        <v>26</v>
      </c>
    </row>
    <row r="2548" ht="15.75" customHeight="1">
      <c r="A2548" s="1" t="s">
        <v>2585</v>
      </c>
      <c r="B2548" s="1" t="s">
        <v>24</v>
      </c>
      <c r="C2548" s="1">
        <v>0.0</v>
      </c>
      <c r="D2548" s="1" t="s">
        <v>26</v>
      </c>
      <c r="E2548" s="1" t="s">
        <v>26</v>
      </c>
      <c r="F2548" s="1">
        <v>25.0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1">
        <v>76.15</v>
      </c>
      <c r="T2548" s="1">
        <v>1992.95</v>
      </c>
      <c r="U2548" s="1">
        <v>5.0</v>
      </c>
      <c r="V2548" s="1">
        <v>0.0</v>
      </c>
      <c r="W2548" s="1" t="s">
        <v>26</v>
      </c>
    </row>
    <row r="2549" ht="15.75" customHeight="1">
      <c r="A2549" s="1" t="s">
        <v>2586</v>
      </c>
      <c r="B2549" s="1" t="s">
        <v>24</v>
      </c>
      <c r="C2549" s="1">
        <v>0.0</v>
      </c>
      <c r="D2549" s="1" t="s">
        <v>26</v>
      </c>
      <c r="E2549" s="1" t="s">
        <v>26</v>
      </c>
      <c r="F2549" s="1">
        <v>52.0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1">
        <v>39.1</v>
      </c>
      <c r="T2549" s="1">
        <v>1982.1</v>
      </c>
      <c r="U2549" s="1">
        <v>0.0</v>
      </c>
      <c r="V2549" s="1">
        <v>0.0</v>
      </c>
      <c r="W2549" s="1" t="s">
        <v>26</v>
      </c>
    </row>
    <row r="2550" ht="15.75" customHeight="1">
      <c r="A2550" s="1" t="s">
        <v>2587</v>
      </c>
      <c r="B2550" s="1" t="s">
        <v>32</v>
      </c>
      <c r="C2550" s="1">
        <v>1.0</v>
      </c>
      <c r="D2550" s="1" t="s">
        <v>26</v>
      </c>
      <c r="E2550" s="1" t="s">
        <v>26</v>
      </c>
      <c r="F2550" s="1">
        <v>8.0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1">
        <v>69.95</v>
      </c>
      <c r="T2550" s="1">
        <v>562.7</v>
      </c>
      <c r="U2550" s="1">
        <v>0.0</v>
      </c>
      <c r="V2550" s="1">
        <v>0.0</v>
      </c>
      <c r="W2550" s="1" t="s">
        <v>26</v>
      </c>
    </row>
    <row r="2551" ht="15.75" customHeight="1">
      <c r="A2551" s="1" t="s">
        <v>2588</v>
      </c>
      <c r="B2551" s="1" t="s">
        <v>32</v>
      </c>
      <c r="C2551" s="1">
        <v>0.0</v>
      </c>
      <c r="D2551" s="1" t="s">
        <v>26</v>
      </c>
      <c r="E2551" s="1" t="s">
        <v>26</v>
      </c>
      <c r="F2551" s="1">
        <v>2.0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1">
        <v>20.05</v>
      </c>
      <c r="T2551" s="1">
        <v>33.7</v>
      </c>
      <c r="U2551" s="1">
        <v>0.0</v>
      </c>
      <c r="V2551" s="1">
        <v>0.0</v>
      </c>
      <c r="W2551" s="1" t="s">
        <v>26</v>
      </c>
    </row>
    <row r="2552" ht="15.75" customHeight="1">
      <c r="A2552" s="1" t="s">
        <v>2589</v>
      </c>
      <c r="B2552" s="1" t="s">
        <v>24</v>
      </c>
      <c r="C2552" s="1">
        <v>0.0</v>
      </c>
      <c r="D2552" s="1" t="s">
        <v>25</v>
      </c>
      <c r="E2552" s="1" t="s">
        <v>25</v>
      </c>
      <c r="F2552" s="1">
        <v>56.0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1">
        <v>20.05</v>
      </c>
      <c r="T2552" s="1">
        <v>1090.1</v>
      </c>
      <c r="U2552" s="1">
        <v>2.0</v>
      </c>
      <c r="V2552" s="1">
        <v>0.0</v>
      </c>
      <c r="W2552" s="1" t="s">
        <v>26</v>
      </c>
    </row>
    <row r="2553" ht="15.75" customHeight="1">
      <c r="A2553" s="1" t="s">
        <v>2590</v>
      </c>
      <c r="B2553" s="1" t="s">
        <v>24</v>
      </c>
      <c r="C2553" s="1">
        <v>0.0</v>
      </c>
      <c r="D2553" s="1" t="s">
        <v>26</v>
      </c>
      <c r="E2553" s="1" t="s">
        <v>26</v>
      </c>
      <c r="F2553" s="1">
        <v>12.0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1">
        <v>19.45</v>
      </c>
      <c r="T2553" s="1">
        <v>227.45</v>
      </c>
      <c r="U2553" s="1">
        <v>4.0</v>
      </c>
      <c r="V2553" s="1">
        <v>0.0</v>
      </c>
      <c r="W2553" s="1" t="s">
        <v>26</v>
      </c>
    </row>
    <row r="2554" ht="15.75" customHeight="1">
      <c r="A2554" s="1" t="s">
        <v>2591</v>
      </c>
      <c r="B2554" s="1" t="s">
        <v>24</v>
      </c>
      <c r="C2554" s="1">
        <v>0.0</v>
      </c>
      <c r="D2554" s="1" t="s">
        <v>25</v>
      </c>
      <c r="E2554" s="1" t="s">
        <v>26</v>
      </c>
      <c r="F2554" s="1">
        <v>47.0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1">
        <v>26.9</v>
      </c>
      <c r="T2554" s="1">
        <v>1250.85</v>
      </c>
      <c r="U2554" s="1">
        <v>0.0</v>
      </c>
      <c r="V2554" s="1">
        <v>0.0</v>
      </c>
      <c r="W2554" s="1" t="s">
        <v>26</v>
      </c>
    </row>
    <row r="2555" ht="15.75" customHeight="1">
      <c r="A2555" s="1" t="s">
        <v>2592</v>
      </c>
      <c r="B2555" s="1" t="s">
        <v>32</v>
      </c>
      <c r="C2555" s="1">
        <v>1.0</v>
      </c>
      <c r="D2555" s="1" t="s">
        <v>26</v>
      </c>
      <c r="E2555" s="1" t="s">
        <v>26</v>
      </c>
      <c r="F2555" s="1">
        <v>2.0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1">
        <v>19.2</v>
      </c>
      <c r="T2555" s="1">
        <v>37.2</v>
      </c>
      <c r="U2555" s="1">
        <v>0.0</v>
      </c>
      <c r="V2555" s="1">
        <v>0.0</v>
      </c>
      <c r="W2555" s="1" t="s">
        <v>26</v>
      </c>
    </row>
    <row r="2556" ht="15.75" customHeight="1">
      <c r="A2556" s="1" t="s">
        <v>2593</v>
      </c>
      <c r="B2556" s="1" t="s">
        <v>24</v>
      </c>
      <c r="C2556" s="1">
        <v>0.0</v>
      </c>
      <c r="D2556" s="1" t="s">
        <v>26</v>
      </c>
      <c r="E2556" s="1" t="s">
        <v>26</v>
      </c>
      <c r="F2556" s="1">
        <v>18.0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1">
        <v>50.0</v>
      </c>
      <c r="T2556" s="1">
        <v>892.7</v>
      </c>
      <c r="U2556" s="1">
        <v>0.0</v>
      </c>
      <c r="V2556" s="1">
        <v>0.0</v>
      </c>
      <c r="W2556" s="1" t="s">
        <v>26</v>
      </c>
    </row>
    <row r="2557" ht="15.75" customHeight="1">
      <c r="A2557" s="1" t="s">
        <v>2594</v>
      </c>
      <c r="B2557" s="1" t="s">
        <v>24</v>
      </c>
      <c r="C2557" s="1">
        <v>0.0</v>
      </c>
      <c r="D2557" s="1" t="s">
        <v>26</v>
      </c>
      <c r="E2557" s="1" t="s">
        <v>26</v>
      </c>
      <c r="F2557" s="1">
        <v>8.0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1">
        <v>60.0</v>
      </c>
      <c r="T2557" s="1">
        <v>487.75</v>
      </c>
      <c r="U2557" s="1">
        <v>0.0</v>
      </c>
      <c r="V2557" s="1">
        <v>0.0</v>
      </c>
      <c r="W2557" s="1" t="s">
        <v>26</v>
      </c>
    </row>
    <row r="2558" ht="15.75" customHeight="1">
      <c r="A2558" s="1" t="s">
        <v>2595</v>
      </c>
      <c r="B2558" s="1" t="s">
        <v>32</v>
      </c>
      <c r="C2558" s="1">
        <v>0.0</v>
      </c>
      <c r="D2558" s="1" t="s">
        <v>25</v>
      </c>
      <c r="E2558" s="1" t="s">
        <v>26</v>
      </c>
      <c r="F2558" s="1">
        <v>45.0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1">
        <v>84.55</v>
      </c>
      <c r="T2558" s="1">
        <v>3713.95</v>
      </c>
      <c r="U2558" s="1">
        <v>0.0</v>
      </c>
      <c r="V2558" s="1">
        <v>0.0</v>
      </c>
      <c r="W2558" s="1" t="s">
        <v>26</v>
      </c>
    </row>
    <row r="2559" ht="15.75" customHeight="1">
      <c r="A2559" s="1" t="s">
        <v>2596</v>
      </c>
      <c r="B2559" s="1" t="s">
        <v>32</v>
      </c>
      <c r="C2559" s="1">
        <v>0.0</v>
      </c>
      <c r="D2559" s="1" t="s">
        <v>26</v>
      </c>
      <c r="E2559" s="1" t="s">
        <v>26</v>
      </c>
      <c r="F2559" s="1">
        <v>3.0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1">
        <v>45.45</v>
      </c>
      <c r="T2559" s="1">
        <v>141.7</v>
      </c>
      <c r="U2559" s="1">
        <v>0.0</v>
      </c>
      <c r="V2559" s="1">
        <v>0.0</v>
      </c>
      <c r="W2559" s="1" t="s">
        <v>26</v>
      </c>
    </row>
    <row r="2560" ht="15.75" customHeight="1">
      <c r="A2560" s="1" t="s">
        <v>2597</v>
      </c>
      <c r="B2560" s="1" t="s">
        <v>24</v>
      </c>
      <c r="C2560" s="1">
        <v>0.0</v>
      </c>
      <c r="D2560" s="1" t="s">
        <v>26</v>
      </c>
      <c r="E2560" s="1" t="s">
        <v>26</v>
      </c>
      <c r="F2560" s="1">
        <v>38.0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1">
        <v>20.05</v>
      </c>
      <c r="T2560" s="1">
        <v>678.2</v>
      </c>
      <c r="U2560" s="1">
        <v>5.0</v>
      </c>
      <c r="V2560" s="1">
        <v>0.0</v>
      </c>
      <c r="W2560" s="1" t="s">
        <v>26</v>
      </c>
    </row>
    <row r="2561" ht="15.75" customHeight="1">
      <c r="A2561" s="1" t="s">
        <v>2598</v>
      </c>
      <c r="B2561" s="1" t="s">
        <v>32</v>
      </c>
      <c r="C2561" s="1">
        <v>0.0</v>
      </c>
      <c r="D2561" s="1" t="s">
        <v>25</v>
      </c>
      <c r="E2561" s="1" t="s">
        <v>26</v>
      </c>
      <c r="F2561" s="1">
        <v>72.0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1">
        <v>115.55</v>
      </c>
      <c r="T2561" s="1">
        <v>8425.3</v>
      </c>
      <c r="U2561" s="1">
        <v>0.0</v>
      </c>
      <c r="V2561" s="1">
        <v>0.0</v>
      </c>
      <c r="W2561" s="1" t="s">
        <v>26</v>
      </c>
    </row>
    <row r="2562" ht="15.75" customHeight="1">
      <c r="A2562" s="1" t="s">
        <v>2599</v>
      </c>
      <c r="B2562" s="1" t="s">
        <v>32</v>
      </c>
      <c r="C2562" s="1">
        <v>0.0</v>
      </c>
      <c r="D2562" s="1" t="s">
        <v>26</v>
      </c>
      <c r="E2562" s="1" t="s">
        <v>26</v>
      </c>
      <c r="F2562" s="1">
        <v>46.0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1">
        <v>93.7</v>
      </c>
      <c r="T2562" s="1">
        <v>4154.8</v>
      </c>
      <c r="U2562" s="1">
        <v>0.0</v>
      </c>
      <c r="V2562" s="1">
        <v>2.0</v>
      </c>
      <c r="W2562" s="1" t="s">
        <v>25</v>
      </c>
    </row>
    <row r="2563" ht="15.75" customHeight="1">
      <c r="A2563" s="1" t="s">
        <v>2600</v>
      </c>
      <c r="B2563" s="1" t="s">
        <v>24</v>
      </c>
      <c r="C2563" s="1">
        <v>0.0</v>
      </c>
      <c r="D2563" s="1" t="s">
        <v>25</v>
      </c>
      <c r="E2563" s="1" t="s">
        <v>25</v>
      </c>
      <c r="F2563" s="1">
        <v>71.0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1">
        <v>99.0</v>
      </c>
      <c r="T2563" s="1">
        <v>7061.65</v>
      </c>
      <c r="U2563" s="1">
        <v>0.0</v>
      </c>
      <c r="V2563" s="1">
        <v>0.0</v>
      </c>
      <c r="W2563" s="1" t="s">
        <v>26</v>
      </c>
    </row>
    <row r="2564" ht="15.75" customHeight="1">
      <c r="A2564" s="1" t="s">
        <v>2601</v>
      </c>
      <c r="B2564" s="1" t="s">
        <v>32</v>
      </c>
      <c r="C2564" s="1">
        <v>0.0</v>
      </c>
      <c r="D2564" s="1" t="s">
        <v>25</v>
      </c>
      <c r="E2564" s="1" t="s">
        <v>25</v>
      </c>
      <c r="F2564" s="1">
        <v>66.0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1">
        <v>50.55</v>
      </c>
      <c r="T2564" s="1">
        <v>3364.55</v>
      </c>
      <c r="U2564" s="1">
        <v>0.0</v>
      </c>
      <c r="V2564" s="1">
        <v>0.0</v>
      </c>
      <c r="W2564" s="1" t="s">
        <v>26</v>
      </c>
    </row>
    <row r="2565" ht="15.75" customHeight="1">
      <c r="A2565" s="1" t="s">
        <v>2602</v>
      </c>
      <c r="B2565" s="1" t="s">
        <v>32</v>
      </c>
      <c r="C2565" s="1">
        <v>1.0</v>
      </c>
      <c r="D2565" s="1" t="s">
        <v>26</v>
      </c>
      <c r="E2565" s="1" t="s">
        <v>26</v>
      </c>
      <c r="F2565" s="1">
        <v>25.0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1">
        <v>105.95</v>
      </c>
      <c r="T2565" s="1">
        <v>2655.25</v>
      </c>
      <c r="U2565" s="1">
        <v>0.0</v>
      </c>
      <c r="V2565" s="1">
        <v>3.0</v>
      </c>
      <c r="W2565" s="1" t="s">
        <v>25</v>
      </c>
    </row>
    <row r="2566" ht="15.75" customHeight="1">
      <c r="A2566" s="1" t="s">
        <v>2603</v>
      </c>
      <c r="B2566" s="1" t="s">
        <v>32</v>
      </c>
      <c r="C2566" s="1">
        <v>0.0</v>
      </c>
      <c r="D2566" s="1" t="s">
        <v>26</v>
      </c>
      <c r="E2566" s="1" t="s">
        <v>26</v>
      </c>
      <c r="F2566" s="1">
        <v>18.0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1">
        <v>82.0</v>
      </c>
      <c r="T2566" s="1">
        <v>1425.45</v>
      </c>
      <c r="U2566" s="1">
        <v>5.0</v>
      </c>
      <c r="V2566" s="1">
        <v>1.0</v>
      </c>
      <c r="W2566" s="1" t="s">
        <v>25</v>
      </c>
    </row>
    <row r="2567" ht="15.75" customHeight="1">
      <c r="A2567" s="1" t="s">
        <v>2604</v>
      </c>
      <c r="B2567" s="1" t="s">
        <v>24</v>
      </c>
      <c r="C2567" s="1">
        <v>0.0</v>
      </c>
      <c r="D2567" s="1" t="s">
        <v>25</v>
      </c>
      <c r="E2567" s="1" t="s">
        <v>25</v>
      </c>
      <c r="F2567" s="1">
        <v>13.0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1">
        <v>25.0</v>
      </c>
      <c r="T2567" s="1">
        <v>332.5</v>
      </c>
      <c r="U2567" s="1">
        <v>0.0</v>
      </c>
      <c r="V2567" s="1">
        <v>0.0</v>
      </c>
      <c r="W2567" s="1" t="s">
        <v>26</v>
      </c>
    </row>
    <row r="2568" ht="15.75" customHeight="1">
      <c r="A2568" s="1" t="s">
        <v>2605</v>
      </c>
      <c r="B2568" s="1" t="s">
        <v>24</v>
      </c>
      <c r="C2568" s="1">
        <v>0.0</v>
      </c>
      <c r="D2568" s="1" t="s">
        <v>25</v>
      </c>
      <c r="E2568" s="1" t="s">
        <v>25</v>
      </c>
      <c r="F2568" s="1">
        <v>65.0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1">
        <v>91.55</v>
      </c>
      <c r="T2568" s="1">
        <v>5963.95</v>
      </c>
      <c r="U2568" s="1">
        <v>0.0</v>
      </c>
      <c r="V2568" s="1">
        <v>0.0</v>
      </c>
      <c r="W2568" s="1" t="s">
        <v>26</v>
      </c>
    </row>
    <row r="2569" ht="15.75" customHeight="1">
      <c r="A2569" s="1" t="s">
        <v>2606</v>
      </c>
      <c r="B2569" s="1" t="s">
        <v>32</v>
      </c>
      <c r="C2569" s="1">
        <v>0.0</v>
      </c>
      <c r="D2569" s="1" t="s">
        <v>25</v>
      </c>
      <c r="E2569" s="1" t="s">
        <v>26</v>
      </c>
      <c r="F2569" s="1">
        <v>60.0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1">
        <v>95.75</v>
      </c>
      <c r="T2569" s="1">
        <v>5742.9</v>
      </c>
      <c r="U2569" s="1">
        <v>0.0</v>
      </c>
      <c r="V2569" s="1">
        <v>5.0</v>
      </c>
      <c r="W2569" s="1" t="s">
        <v>25</v>
      </c>
    </row>
    <row r="2570" ht="15.75" customHeight="1">
      <c r="A2570" s="1" t="s">
        <v>2607</v>
      </c>
      <c r="B2570" s="1" t="s">
        <v>32</v>
      </c>
      <c r="C2570" s="1">
        <v>0.0</v>
      </c>
      <c r="D2570" s="1" t="s">
        <v>25</v>
      </c>
      <c r="E2570" s="1" t="s">
        <v>25</v>
      </c>
      <c r="F2570" s="1">
        <v>15.0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1">
        <v>19.35</v>
      </c>
      <c r="T2570" s="1">
        <v>278.85</v>
      </c>
      <c r="U2570" s="1">
        <v>0.0</v>
      </c>
      <c r="V2570" s="1">
        <v>0.0</v>
      </c>
      <c r="W2570" s="1" t="s">
        <v>26</v>
      </c>
    </row>
    <row r="2571" ht="15.75" customHeight="1">
      <c r="A2571" s="1" t="s">
        <v>2608</v>
      </c>
      <c r="B2571" s="1" t="s">
        <v>24</v>
      </c>
      <c r="C2571" s="1">
        <v>0.0</v>
      </c>
      <c r="D2571" s="1" t="s">
        <v>25</v>
      </c>
      <c r="E2571" s="1" t="s">
        <v>26</v>
      </c>
      <c r="F2571" s="1">
        <v>72.0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1">
        <v>24.85</v>
      </c>
      <c r="T2571" s="1">
        <v>1871.85</v>
      </c>
      <c r="U2571" s="1">
        <v>0.0</v>
      </c>
      <c r="V2571" s="1">
        <v>0.0</v>
      </c>
      <c r="W2571" s="1" t="s">
        <v>26</v>
      </c>
    </row>
    <row r="2572" ht="15.75" customHeight="1">
      <c r="A2572" s="1" t="s">
        <v>2609</v>
      </c>
      <c r="B2572" s="1" t="s">
        <v>32</v>
      </c>
      <c r="C2572" s="1">
        <v>0.0</v>
      </c>
      <c r="D2572" s="1" t="s">
        <v>25</v>
      </c>
      <c r="E2572" s="1" t="s">
        <v>26</v>
      </c>
      <c r="F2572" s="1">
        <v>30.0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1">
        <v>94.05</v>
      </c>
      <c r="T2572" s="1">
        <v>2866.45</v>
      </c>
      <c r="U2572" s="1">
        <v>0.0</v>
      </c>
      <c r="V2572" s="1">
        <v>3.0</v>
      </c>
      <c r="W2572" s="1" t="s">
        <v>25</v>
      </c>
    </row>
    <row r="2573" ht="15.75" customHeight="1">
      <c r="A2573" s="1" t="s">
        <v>2610</v>
      </c>
      <c r="B2573" s="1" t="s">
        <v>24</v>
      </c>
      <c r="C2573" s="1">
        <v>0.0</v>
      </c>
      <c r="D2573" s="1" t="s">
        <v>25</v>
      </c>
      <c r="E2573" s="1" t="s">
        <v>25</v>
      </c>
      <c r="F2573" s="1">
        <v>42.0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1">
        <v>100.4</v>
      </c>
      <c r="T2573" s="1">
        <v>4303.65</v>
      </c>
      <c r="U2573" s="1">
        <v>2.0</v>
      </c>
      <c r="V2573" s="1">
        <v>3.0</v>
      </c>
      <c r="W2573" s="1" t="s">
        <v>26</v>
      </c>
    </row>
    <row r="2574" ht="15.75" customHeight="1">
      <c r="A2574" s="1" t="s">
        <v>2611</v>
      </c>
      <c r="B2574" s="1" t="s">
        <v>24</v>
      </c>
      <c r="C2574" s="1">
        <v>0.0</v>
      </c>
      <c r="D2574" s="1" t="s">
        <v>25</v>
      </c>
      <c r="E2574" s="1" t="s">
        <v>26</v>
      </c>
      <c r="F2574" s="1">
        <v>71.0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1">
        <v>25.0</v>
      </c>
      <c r="T2574" s="1">
        <v>1753.0</v>
      </c>
      <c r="U2574" s="1">
        <v>0.0</v>
      </c>
      <c r="V2574" s="1">
        <v>0.0</v>
      </c>
      <c r="W2574" s="1" t="s">
        <v>26</v>
      </c>
    </row>
    <row r="2575" ht="15.75" customHeight="1">
      <c r="A2575" s="1" t="s">
        <v>2612</v>
      </c>
      <c r="B2575" s="1" t="s">
        <v>24</v>
      </c>
      <c r="C2575" s="1">
        <v>0.0</v>
      </c>
      <c r="D2575" s="1" t="s">
        <v>26</v>
      </c>
      <c r="E2575" s="1" t="s">
        <v>26</v>
      </c>
      <c r="F2575" s="1">
        <v>1.0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1">
        <v>54.75</v>
      </c>
      <c r="T2575" s="1">
        <v>54.75</v>
      </c>
      <c r="U2575" s="1">
        <v>0.0</v>
      </c>
      <c r="V2575" s="1">
        <v>0.0</v>
      </c>
      <c r="W2575" s="1" t="s">
        <v>25</v>
      </c>
    </row>
    <row r="2576" ht="15.75" customHeight="1">
      <c r="A2576" s="1" t="s">
        <v>2613</v>
      </c>
      <c r="B2576" s="1" t="s">
        <v>32</v>
      </c>
      <c r="C2576" s="1">
        <v>1.0</v>
      </c>
      <c r="D2576" s="1" t="s">
        <v>26</v>
      </c>
      <c r="E2576" s="1" t="s">
        <v>26</v>
      </c>
      <c r="F2576" s="1">
        <v>39.0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1">
        <v>95.65</v>
      </c>
      <c r="T2576" s="1">
        <v>3759.05</v>
      </c>
      <c r="U2576" s="1">
        <v>1.0</v>
      </c>
      <c r="V2576" s="1">
        <v>1.0</v>
      </c>
      <c r="W2576" s="1" t="s">
        <v>25</v>
      </c>
    </row>
    <row r="2577" ht="15.75" customHeight="1">
      <c r="A2577" s="1" t="s">
        <v>2614</v>
      </c>
      <c r="B2577" s="1" t="s">
        <v>24</v>
      </c>
      <c r="C2577" s="1">
        <v>0.0</v>
      </c>
      <c r="D2577" s="1" t="s">
        <v>26</v>
      </c>
      <c r="E2577" s="1" t="s">
        <v>26</v>
      </c>
      <c r="F2577" s="1">
        <v>35.0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1">
        <v>19.25</v>
      </c>
      <c r="T2577" s="1">
        <v>617.65</v>
      </c>
      <c r="U2577" s="1">
        <v>0.0</v>
      </c>
      <c r="V2577" s="1">
        <v>0.0</v>
      </c>
      <c r="W2577" s="1" t="s">
        <v>26</v>
      </c>
    </row>
    <row r="2578" ht="15.75" customHeight="1">
      <c r="A2578" s="1" t="s">
        <v>2615</v>
      </c>
      <c r="B2578" s="1" t="s">
        <v>24</v>
      </c>
      <c r="C2578" s="1">
        <v>0.0</v>
      </c>
      <c r="D2578" s="1" t="s">
        <v>25</v>
      </c>
      <c r="E2578" s="1" t="s">
        <v>25</v>
      </c>
      <c r="F2578" s="1">
        <v>53.0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1">
        <v>108.25</v>
      </c>
      <c r="T2578" s="1">
        <v>5935.1</v>
      </c>
      <c r="U2578" s="1">
        <v>0.0</v>
      </c>
      <c r="V2578" s="1">
        <v>0.0</v>
      </c>
      <c r="W2578" s="1" t="s">
        <v>26</v>
      </c>
    </row>
    <row r="2579" ht="15.75" customHeight="1">
      <c r="A2579" s="1" t="s">
        <v>2616</v>
      </c>
      <c r="B2579" s="1" t="s">
        <v>24</v>
      </c>
      <c r="C2579" s="1">
        <v>0.0</v>
      </c>
      <c r="D2579" s="1" t="s">
        <v>26</v>
      </c>
      <c r="E2579" s="1" t="s">
        <v>26</v>
      </c>
      <c r="F2579" s="1">
        <v>1.0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1">
        <v>94.6</v>
      </c>
      <c r="T2579" s="1">
        <v>94.6</v>
      </c>
      <c r="U2579" s="1">
        <v>0.0</v>
      </c>
      <c r="V2579" s="1">
        <v>0.0</v>
      </c>
      <c r="W2579" s="1" t="s">
        <v>25</v>
      </c>
    </row>
    <row r="2580" ht="15.75" customHeight="1">
      <c r="A2580" s="1" t="s">
        <v>2617</v>
      </c>
      <c r="B2580" s="1" t="s">
        <v>24</v>
      </c>
      <c r="C2580" s="1">
        <v>1.0</v>
      </c>
      <c r="D2580" s="1" t="s">
        <v>25</v>
      </c>
      <c r="E2580" s="1" t="s">
        <v>25</v>
      </c>
      <c r="F2580" s="1">
        <v>31.0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1">
        <v>98.9</v>
      </c>
      <c r="T2580" s="1">
        <v>2911.3</v>
      </c>
      <c r="U2580" s="1">
        <v>0.0</v>
      </c>
      <c r="V2580" s="1">
        <v>5.0</v>
      </c>
      <c r="W2580" s="1" t="s">
        <v>25</v>
      </c>
    </row>
    <row r="2581" ht="15.75" customHeight="1">
      <c r="A2581" s="1" t="s">
        <v>2618</v>
      </c>
      <c r="B2581" s="1" t="s">
        <v>32</v>
      </c>
      <c r="C2581" s="1">
        <v>0.0</v>
      </c>
      <c r="D2581" s="1" t="s">
        <v>26</v>
      </c>
      <c r="E2581" s="1" t="s">
        <v>26</v>
      </c>
      <c r="F2581" s="1">
        <v>48.0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1">
        <v>20.15</v>
      </c>
      <c r="T2581" s="1">
        <v>982.95</v>
      </c>
      <c r="U2581" s="1">
        <v>0.0</v>
      </c>
      <c r="V2581" s="1">
        <v>0.0</v>
      </c>
      <c r="W2581" s="1" t="s">
        <v>26</v>
      </c>
    </row>
    <row r="2582" ht="15.75" customHeight="1">
      <c r="A2582" s="1" t="s">
        <v>2619</v>
      </c>
      <c r="B2582" s="1" t="s">
        <v>24</v>
      </c>
      <c r="C2582" s="1">
        <v>1.0</v>
      </c>
      <c r="D2582" s="1" t="s">
        <v>26</v>
      </c>
      <c r="E2582" s="1" t="s">
        <v>25</v>
      </c>
      <c r="F2582" s="1">
        <v>30.0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1">
        <v>101.3</v>
      </c>
      <c r="T2582" s="1">
        <v>2974.5</v>
      </c>
      <c r="U2582" s="1">
        <v>0.0</v>
      </c>
      <c r="V2582" s="1">
        <v>0.0</v>
      </c>
      <c r="W2582" s="1" t="s">
        <v>26</v>
      </c>
    </row>
    <row r="2583" ht="15.75" customHeight="1">
      <c r="A2583" s="1" t="s">
        <v>2620</v>
      </c>
      <c r="B2583" s="1" t="s">
        <v>32</v>
      </c>
      <c r="C2583" s="1">
        <v>0.0</v>
      </c>
      <c r="D2583" s="1" t="s">
        <v>26</v>
      </c>
      <c r="E2583" s="1" t="s">
        <v>26</v>
      </c>
      <c r="F2583" s="1">
        <v>10.0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1">
        <v>20.0</v>
      </c>
      <c r="T2583" s="1">
        <v>198.7</v>
      </c>
      <c r="U2583" s="1">
        <v>0.0</v>
      </c>
      <c r="V2583" s="1">
        <v>0.0</v>
      </c>
      <c r="W2583" s="1" t="s">
        <v>26</v>
      </c>
    </row>
    <row r="2584" ht="15.75" customHeight="1">
      <c r="A2584" s="1" t="s">
        <v>2621</v>
      </c>
      <c r="B2584" s="1" t="s">
        <v>24</v>
      </c>
      <c r="C2584" s="1">
        <v>0.0</v>
      </c>
      <c r="D2584" s="1" t="s">
        <v>26</v>
      </c>
      <c r="E2584" s="1" t="s">
        <v>25</v>
      </c>
      <c r="F2584" s="1">
        <v>12.0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1">
        <v>105.3</v>
      </c>
      <c r="T2584" s="1">
        <v>1275.65</v>
      </c>
      <c r="U2584" s="1">
        <v>0.0</v>
      </c>
      <c r="V2584" s="1">
        <v>0.0</v>
      </c>
      <c r="W2584" s="1" t="s">
        <v>26</v>
      </c>
    </row>
    <row r="2585" ht="15.75" customHeight="1">
      <c r="A2585" s="1" t="s">
        <v>2622</v>
      </c>
      <c r="B2585" s="1" t="s">
        <v>24</v>
      </c>
      <c r="C2585" s="1">
        <v>1.0</v>
      </c>
      <c r="D2585" s="1" t="s">
        <v>26</v>
      </c>
      <c r="E2585" s="1" t="s">
        <v>26</v>
      </c>
      <c r="F2585" s="1">
        <v>57.0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1">
        <v>69.85</v>
      </c>
      <c r="T2585" s="1">
        <v>4003.0</v>
      </c>
      <c r="U2585" s="1">
        <v>1.0</v>
      </c>
      <c r="V2585" s="1">
        <v>0.0</v>
      </c>
      <c r="W2585" s="1" t="s">
        <v>26</v>
      </c>
    </row>
    <row r="2586" ht="15.75" customHeight="1">
      <c r="A2586" s="1" t="s">
        <v>2623</v>
      </c>
      <c r="B2586" s="1" t="s">
        <v>24</v>
      </c>
      <c r="C2586" s="1">
        <v>0.0</v>
      </c>
      <c r="D2586" s="1" t="s">
        <v>25</v>
      </c>
      <c r="E2586" s="1" t="s">
        <v>26</v>
      </c>
      <c r="F2586" s="1">
        <v>58.0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1">
        <v>65.25</v>
      </c>
      <c r="T2586" s="1">
        <v>3791.6</v>
      </c>
      <c r="U2586" s="1">
        <v>0.0</v>
      </c>
      <c r="V2586" s="1">
        <v>3.0</v>
      </c>
      <c r="W2586" s="1" t="s">
        <v>26</v>
      </c>
    </row>
    <row r="2587" ht="15.75" customHeight="1">
      <c r="A2587" s="1" t="s">
        <v>2624</v>
      </c>
      <c r="B2587" s="1" t="s">
        <v>24</v>
      </c>
      <c r="C2587" s="1">
        <v>0.0</v>
      </c>
      <c r="D2587" s="1" t="s">
        <v>26</v>
      </c>
      <c r="E2587" s="1" t="s">
        <v>26</v>
      </c>
      <c r="F2587" s="1">
        <v>37.0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1">
        <v>19.8</v>
      </c>
      <c r="T2587" s="1">
        <v>813.3</v>
      </c>
      <c r="U2587" s="1">
        <v>0.0</v>
      </c>
      <c r="V2587" s="1">
        <v>0.0</v>
      </c>
      <c r="W2587" s="1" t="s">
        <v>26</v>
      </c>
    </row>
    <row r="2588" ht="15.75" customHeight="1">
      <c r="A2588" s="1" t="s">
        <v>2625</v>
      </c>
      <c r="B2588" s="1" t="s">
        <v>24</v>
      </c>
      <c r="C2588" s="1">
        <v>0.0</v>
      </c>
      <c r="D2588" s="1" t="s">
        <v>25</v>
      </c>
      <c r="E2588" s="1" t="s">
        <v>25</v>
      </c>
      <c r="F2588" s="1">
        <v>44.0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1">
        <v>19.6</v>
      </c>
      <c r="T2588" s="1">
        <v>780.25</v>
      </c>
      <c r="U2588" s="1">
        <v>0.0</v>
      </c>
      <c r="V2588" s="1">
        <v>0.0</v>
      </c>
      <c r="W2588" s="1" t="s">
        <v>26</v>
      </c>
    </row>
    <row r="2589" ht="15.75" customHeight="1">
      <c r="A2589" s="1" t="s">
        <v>2626</v>
      </c>
      <c r="B2589" s="1" t="s">
        <v>32</v>
      </c>
      <c r="C2589" s="1">
        <v>0.0</v>
      </c>
      <c r="D2589" s="1" t="s">
        <v>26</v>
      </c>
      <c r="E2589" s="1" t="s">
        <v>25</v>
      </c>
      <c r="F2589" s="1">
        <v>27.0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1">
        <v>20.05</v>
      </c>
      <c r="T2589" s="1">
        <v>552.9</v>
      </c>
      <c r="U2589" s="1">
        <v>0.0</v>
      </c>
      <c r="V2589" s="1">
        <v>0.0</v>
      </c>
      <c r="W2589" s="1" t="s">
        <v>26</v>
      </c>
    </row>
    <row r="2590" ht="15.75" customHeight="1">
      <c r="A2590" s="1" t="s">
        <v>2627</v>
      </c>
      <c r="B2590" s="1" t="s">
        <v>24</v>
      </c>
      <c r="C2590" s="1">
        <v>0.0</v>
      </c>
      <c r="D2590" s="1" t="s">
        <v>26</v>
      </c>
      <c r="E2590" s="1" t="s">
        <v>26</v>
      </c>
      <c r="F2590" s="1">
        <v>8.0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1">
        <v>49.4</v>
      </c>
      <c r="T2590" s="1">
        <v>408.25</v>
      </c>
      <c r="U2590" s="1">
        <v>0.0</v>
      </c>
      <c r="V2590" s="1">
        <v>0.0</v>
      </c>
      <c r="W2590" s="1" t="s">
        <v>26</v>
      </c>
    </row>
    <row r="2591" ht="15.75" customHeight="1">
      <c r="A2591" s="1" t="s">
        <v>2628</v>
      </c>
      <c r="B2591" s="1" t="s">
        <v>32</v>
      </c>
      <c r="C2591" s="1">
        <v>1.0</v>
      </c>
      <c r="D2591" s="1" t="s">
        <v>26</v>
      </c>
      <c r="E2591" s="1" t="s">
        <v>26</v>
      </c>
      <c r="F2591" s="1">
        <v>3.0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1">
        <v>76.05</v>
      </c>
      <c r="T2591" s="1">
        <v>231.8</v>
      </c>
      <c r="U2591" s="1">
        <v>0.0</v>
      </c>
      <c r="V2591" s="1">
        <v>0.0</v>
      </c>
      <c r="W2591" s="1" t="s">
        <v>25</v>
      </c>
    </row>
    <row r="2592" ht="15.75" customHeight="1">
      <c r="A2592" s="1" t="s">
        <v>2629</v>
      </c>
      <c r="B2592" s="1" t="s">
        <v>24</v>
      </c>
      <c r="C2592" s="1">
        <v>1.0</v>
      </c>
      <c r="D2592" s="1" t="s">
        <v>25</v>
      </c>
      <c r="E2592" s="1" t="s">
        <v>26</v>
      </c>
      <c r="F2592" s="1">
        <v>25.0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1">
        <v>88.4</v>
      </c>
      <c r="T2592" s="1">
        <v>2191.15</v>
      </c>
      <c r="U2592" s="1">
        <v>0.0</v>
      </c>
      <c r="V2592" s="1">
        <v>0.0</v>
      </c>
      <c r="W2592" s="1" t="s">
        <v>26</v>
      </c>
    </row>
    <row r="2593" ht="15.75" customHeight="1">
      <c r="A2593" s="1" t="s">
        <v>2630</v>
      </c>
      <c r="B2593" s="1" t="s">
        <v>24</v>
      </c>
      <c r="C2593" s="1">
        <v>0.0</v>
      </c>
      <c r="D2593" s="1" t="s">
        <v>25</v>
      </c>
      <c r="E2593" s="1" t="s">
        <v>25</v>
      </c>
      <c r="F2593" s="1">
        <v>57.0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1">
        <v>100.6</v>
      </c>
      <c r="T2593" s="1">
        <v>5611.7</v>
      </c>
      <c r="U2593" s="1">
        <v>0.0</v>
      </c>
      <c r="V2593" s="1">
        <v>0.0</v>
      </c>
      <c r="W2593" s="1" t="s">
        <v>26</v>
      </c>
    </row>
    <row r="2594" ht="15.75" customHeight="1">
      <c r="A2594" s="1" t="s">
        <v>2631</v>
      </c>
      <c r="B2594" s="1" t="s">
        <v>24</v>
      </c>
      <c r="C2594" s="1">
        <v>0.0</v>
      </c>
      <c r="D2594" s="1" t="s">
        <v>26</v>
      </c>
      <c r="E2594" s="1" t="s">
        <v>26</v>
      </c>
      <c r="F2594" s="1">
        <v>12.0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1">
        <v>19.45</v>
      </c>
      <c r="T2594" s="1">
        <v>246.25</v>
      </c>
      <c r="U2594" s="1">
        <v>0.0</v>
      </c>
      <c r="V2594" s="1">
        <v>0.0</v>
      </c>
      <c r="W2594" s="1" t="s">
        <v>26</v>
      </c>
    </row>
    <row r="2595" ht="15.75" customHeight="1">
      <c r="A2595" s="1" t="s">
        <v>2632</v>
      </c>
      <c r="B2595" s="1" t="s">
        <v>24</v>
      </c>
      <c r="C2595" s="1">
        <v>0.0</v>
      </c>
      <c r="D2595" s="1" t="s">
        <v>25</v>
      </c>
      <c r="E2595" s="1" t="s">
        <v>25</v>
      </c>
      <c r="F2595" s="1">
        <v>62.0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1">
        <v>20.3</v>
      </c>
      <c r="T2595" s="1">
        <v>1296.15</v>
      </c>
      <c r="U2595" s="1">
        <v>0.0</v>
      </c>
      <c r="V2595" s="1">
        <v>0.0</v>
      </c>
      <c r="W2595" s="1" t="s">
        <v>26</v>
      </c>
    </row>
    <row r="2596" ht="15.75" customHeight="1">
      <c r="A2596" s="1" t="s">
        <v>2633</v>
      </c>
      <c r="B2596" s="1" t="s">
        <v>24</v>
      </c>
      <c r="C2596" s="1">
        <v>0.0</v>
      </c>
      <c r="D2596" s="1" t="s">
        <v>25</v>
      </c>
      <c r="E2596" s="1" t="s">
        <v>26</v>
      </c>
      <c r="F2596" s="1">
        <v>65.0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1">
        <v>107.65</v>
      </c>
      <c r="T2596" s="1">
        <v>7082.85</v>
      </c>
      <c r="U2596" s="1">
        <v>0.0</v>
      </c>
      <c r="V2596" s="1">
        <v>0.0</v>
      </c>
      <c r="W2596" s="1" t="s">
        <v>26</v>
      </c>
    </row>
    <row r="2597" ht="15.75" customHeight="1">
      <c r="A2597" s="1" t="s">
        <v>2634</v>
      </c>
      <c r="B2597" s="1" t="s">
        <v>24</v>
      </c>
      <c r="C2597" s="1">
        <v>0.0</v>
      </c>
      <c r="D2597" s="1" t="s">
        <v>25</v>
      </c>
      <c r="E2597" s="1" t="s">
        <v>26</v>
      </c>
      <c r="F2597" s="1">
        <v>71.0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1">
        <v>80.45</v>
      </c>
      <c r="T2597" s="1">
        <v>5662.25</v>
      </c>
      <c r="U2597" s="1">
        <v>0.0</v>
      </c>
      <c r="V2597" s="1">
        <v>0.0</v>
      </c>
      <c r="W2597" s="1" t="s">
        <v>26</v>
      </c>
    </row>
    <row r="2598" ht="15.75" customHeight="1">
      <c r="A2598" s="1" t="s">
        <v>2635</v>
      </c>
      <c r="B2598" s="1" t="s">
        <v>24</v>
      </c>
      <c r="C2598" s="1">
        <v>0.0</v>
      </c>
      <c r="D2598" s="1" t="s">
        <v>25</v>
      </c>
      <c r="E2598" s="1" t="s">
        <v>25</v>
      </c>
      <c r="F2598" s="1">
        <v>21.0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1">
        <v>58.85</v>
      </c>
      <c r="T2598" s="1">
        <v>1215.45</v>
      </c>
      <c r="U2598" s="1">
        <v>0.0</v>
      </c>
      <c r="V2598" s="1">
        <v>0.0</v>
      </c>
      <c r="W2598" s="1" t="s">
        <v>26</v>
      </c>
    </row>
    <row r="2599" ht="15.75" customHeight="1">
      <c r="A2599" s="1" t="s">
        <v>2636</v>
      </c>
      <c r="B2599" s="1" t="s">
        <v>32</v>
      </c>
      <c r="C2599" s="1">
        <v>0.0</v>
      </c>
      <c r="D2599" s="1" t="s">
        <v>25</v>
      </c>
      <c r="E2599" s="1" t="s">
        <v>26</v>
      </c>
      <c r="F2599" s="1">
        <v>71.0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1">
        <v>109.6</v>
      </c>
      <c r="T2599" s="1">
        <v>7854.15</v>
      </c>
      <c r="U2599" s="1">
        <v>0.0</v>
      </c>
      <c r="V2599" s="1">
        <v>3.0</v>
      </c>
      <c r="W2599" s="1" t="s">
        <v>26</v>
      </c>
    </row>
    <row r="2600" ht="15.75" customHeight="1">
      <c r="A2600" s="1" t="s">
        <v>2637</v>
      </c>
      <c r="B2600" s="1" t="s">
        <v>24</v>
      </c>
      <c r="C2600" s="1">
        <v>0.0</v>
      </c>
      <c r="D2600" s="1" t="s">
        <v>26</v>
      </c>
      <c r="E2600" s="1" t="s">
        <v>26</v>
      </c>
      <c r="F2600" s="1">
        <v>7.0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1">
        <v>75.15</v>
      </c>
      <c r="T2600" s="1">
        <v>525.0</v>
      </c>
      <c r="U2600" s="1">
        <v>0.0</v>
      </c>
      <c r="V2600" s="1">
        <v>0.0</v>
      </c>
      <c r="W2600" s="1" t="s">
        <v>26</v>
      </c>
    </row>
    <row r="2601" ht="15.75" customHeight="1">
      <c r="A2601" s="1" t="s">
        <v>2638</v>
      </c>
      <c r="B2601" s="1" t="s">
        <v>24</v>
      </c>
      <c r="C2601" s="1">
        <v>0.0</v>
      </c>
      <c r="D2601" s="1" t="s">
        <v>26</v>
      </c>
      <c r="E2601" s="1" t="s">
        <v>26</v>
      </c>
      <c r="F2601" s="1">
        <v>72.0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1">
        <v>73.0</v>
      </c>
      <c r="T2601" s="1">
        <v>5265.2</v>
      </c>
      <c r="U2601" s="1">
        <v>0.0</v>
      </c>
      <c r="V2601" s="1">
        <v>0.0</v>
      </c>
      <c r="W2601" s="1" t="s">
        <v>26</v>
      </c>
    </row>
    <row r="2602" ht="15.75" customHeight="1">
      <c r="A2602" s="1" t="s">
        <v>2639</v>
      </c>
      <c r="B2602" s="1" t="s">
        <v>24</v>
      </c>
      <c r="C2602" s="1">
        <v>0.0</v>
      </c>
      <c r="D2602" s="1" t="s">
        <v>26</v>
      </c>
      <c r="E2602" s="1" t="s">
        <v>26</v>
      </c>
      <c r="F2602" s="1">
        <v>1.0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1">
        <v>70.1</v>
      </c>
      <c r="T2602" s="1">
        <v>70.1</v>
      </c>
      <c r="U2602" s="1">
        <v>5.0</v>
      </c>
      <c r="V2602" s="1">
        <v>0.0</v>
      </c>
      <c r="W2602" s="1" t="s">
        <v>26</v>
      </c>
    </row>
    <row r="2603" ht="15.75" customHeight="1">
      <c r="A2603" s="1" t="s">
        <v>2640</v>
      </c>
      <c r="B2603" s="1" t="s">
        <v>24</v>
      </c>
      <c r="C2603" s="1">
        <v>0.0</v>
      </c>
      <c r="D2603" s="1" t="s">
        <v>25</v>
      </c>
      <c r="E2603" s="1" t="s">
        <v>25</v>
      </c>
      <c r="F2603" s="1">
        <v>72.0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1">
        <v>98.65</v>
      </c>
      <c r="T2603" s="1">
        <v>7129.45</v>
      </c>
      <c r="U2603" s="1">
        <v>3.0</v>
      </c>
      <c r="V2603" s="1">
        <v>0.0</v>
      </c>
      <c r="W2603" s="1" t="s">
        <v>26</v>
      </c>
    </row>
    <row r="2604" ht="15.75" customHeight="1">
      <c r="A2604" s="1" t="s">
        <v>2641</v>
      </c>
      <c r="B2604" s="1" t="s">
        <v>24</v>
      </c>
      <c r="C2604" s="1">
        <v>0.0</v>
      </c>
      <c r="D2604" s="1" t="s">
        <v>25</v>
      </c>
      <c r="E2604" s="1" t="s">
        <v>25</v>
      </c>
      <c r="F2604" s="1">
        <v>64.0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1">
        <v>111.45</v>
      </c>
      <c r="T2604" s="1">
        <v>7266.95</v>
      </c>
      <c r="U2604" s="1">
        <v>1.0</v>
      </c>
      <c r="V2604" s="1">
        <v>0.0</v>
      </c>
      <c r="W2604" s="1" t="s">
        <v>26</v>
      </c>
    </row>
    <row r="2605" ht="15.75" customHeight="1">
      <c r="A2605" s="1" t="s">
        <v>2642</v>
      </c>
      <c r="B2605" s="1" t="s">
        <v>24</v>
      </c>
      <c r="C2605" s="1">
        <v>0.0</v>
      </c>
      <c r="D2605" s="1" t="s">
        <v>26</v>
      </c>
      <c r="E2605" s="1" t="s">
        <v>26</v>
      </c>
      <c r="F2605" s="1">
        <v>72.0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1">
        <v>114.9</v>
      </c>
      <c r="T2605" s="1">
        <v>8496.7</v>
      </c>
      <c r="U2605" s="1">
        <v>0.0</v>
      </c>
      <c r="V2605" s="1">
        <v>0.0</v>
      </c>
      <c r="W2605" s="1" t="s">
        <v>26</v>
      </c>
    </row>
    <row r="2606" ht="15.75" customHeight="1">
      <c r="A2606" s="1" t="s">
        <v>2643</v>
      </c>
      <c r="B2606" s="1" t="s">
        <v>24</v>
      </c>
      <c r="C2606" s="1">
        <v>0.0</v>
      </c>
      <c r="D2606" s="1" t="s">
        <v>26</v>
      </c>
      <c r="E2606" s="1" t="s">
        <v>26</v>
      </c>
      <c r="F2606" s="1">
        <v>29.0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1">
        <v>100.55</v>
      </c>
      <c r="T2606" s="1">
        <v>2878.75</v>
      </c>
      <c r="U2606" s="1">
        <v>0.0</v>
      </c>
      <c r="V2606" s="1">
        <v>0.0</v>
      </c>
      <c r="W2606" s="1" t="s">
        <v>26</v>
      </c>
    </row>
    <row r="2607" ht="15.75" customHeight="1">
      <c r="A2607" s="1" t="s">
        <v>2644</v>
      </c>
      <c r="B2607" s="1" t="s">
        <v>24</v>
      </c>
      <c r="C2607" s="1">
        <v>0.0</v>
      </c>
      <c r="D2607" s="1" t="s">
        <v>26</v>
      </c>
      <c r="E2607" s="1" t="s">
        <v>26</v>
      </c>
      <c r="F2607" s="1">
        <v>13.0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1">
        <v>20.4</v>
      </c>
      <c r="T2607" s="1">
        <v>261.3</v>
      </c>
      <c r="U2607" s="1">
        <v>0.0</v>
      </c>
      <c r="V2607" s="1">
        <v>0.0</v>
      </c>
      <c r="W2607" s="1" t="s">
        <v>26</v>
      </c>
    </row>
    <row r="2608" ht="15.75" customHeight="1">
      <c r="A2608" s="1" t="s">
        <v>2645</v>
      </c>
      <c r="B2608" s="1" t="s">
        <v>24</v>
      </c>
      <c r="C2608" s="1">
        <v>0.0</v>
      </c>
      <c r="D2608" s="1" t="s">
        <v>26</v>
      </c>
      <c r="E2608" s="1" t="s">
        <v>26</v>
      </c>
      <c r="F2608" s="1">
        <v>31.0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1">
        <v>104.35</v>
      </c>
      <c r="T2608" s="1">
        <v>3205.6</v>
      </c>
      <c r="U2608" s="1">
        <v>0.0</v>
      </c>
      <c r="V2608" s="1">
        <v>0.0</v>
      </c>
      <c r="W2608" s="1" t="s">
        <v>26</v>
      </c>
    </row>
    <row r="2609" ht="15.75" customHeight="1">
      <c r="A2609" s="1" t="s">
        <v>2646</v>
      </c>
      <c r="B2609" s="1" t="s">
        <v>32</v>
      </c>
      <c r="C2609" s="1">
        <v>1.0</v>
      </c>
      <c r="D2609" s="1" t="s">
        <v>26</v>
      </c>
      <c r="E2609" s="1" t="s">
        <v>26</v>
      </c>
      <c r="F2609" s="1">
        <v>1.0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1">
        <v>69.75</v>
      </c>
      <c r="T2609" s="1">
        <v>69.75</v>
      </c>
      <c r="U2609" s="1">
        <v>0.0</v>
      </c>
      <c r="V2609" s="1">
        <v>0.0</v>
      </c>
      <c r="W2609" s="1" t="s">
        <v>25</v>
      </c>
    </row>
    <row r="2610" ht="15.75" customHeight="1">
      <c r="A2610" s="1" t="s">
        <v>2647</v>
      </c>
      <c r="B2610" s="1" t="s">
        <v>32</v>
      </c>
      <c r="C2610" s="1">
        <v>0.0</v>
      </c>
      <c r="D2610" s="1" t="s">
        <v>25</v>
      </c>
      <c r="E2610" s="1" t="s">
        <v>25</v>
      </c>
      <c r="F2610" s="1">
        <v>7.0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1">
        <v>34.5</v>
      </c>
      <c r="T2610" s="1">
        <v>279.25</v>
      </c>
      <c r="U2610" s="1">
        <v>0.0</v>
      </c>
      <c r="V2610" s="1">
        <v>0.0</v>
      </c>
      <c r="W2610" s="1" t="s">
        <v>25</v>
      </c>
    </row>
    <row r="2611" ht="15.75" customHeight="1">
      <c r="A2611" s="1" t="s">
        <v>2648</v>
      </c>
      <c r="B2611" s="1" t="s">
        <v>32</v>
      </c>
      <c r="C2611" s="1">
        <v>0.0</v>
      </c>
      <c r="D2611" s="1" t="s">
        <v>25</v>
      </c>
      <c r="E2611" s="1" t="s">
        <v>26</v>
      </c>
      <c r="F2611" s="1">
        <v>61.0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1">
        <v>105.55</v>
      </c>
      <c r="T2611" s="1">
        <v>6281.45</v>
      </c>
      <c r="U2611" s="1">
        <v>4.0</v>
      </c>
      <c r="V2611" s="1">
        <v>6.0</v>
      </c>
      <c r="W2611" s="1" t="s">
        <v>25</v>
      </c>
    </row>
    <row r="2612" ht="15.75" customHeight="1">
      <c r="A2612" s="1" t="s">
        <v>2649</v>
      </c>
      <c r="B2612" s="1" t="s">
        <v>24</v>
      </c>
      <c r="C2612" s="1">
        <v>0.0</v>
      </c>
      <c r="D2612" s="1" t="s">
        <v>26</v>
      </c>
      <c r="E2612" s="1" t="s">
        <v>25</v>
      </c>
      <c r="F2612" s="1">
        <v>39.0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1">
        <v>30.1</v>
      </c>
      <c r="T2612" s="1">
        <v>1131.3</v>
      </c>
      <c r="U2612" s="1">
        <v>0.0</v>
      </c>
      <c r="V2612" s="1">
        <v>0.0</v>
      </c>
      <c r="W2612" s="1" t="s">
        <v>25</v>
      </c>
    </row>
    <row r="2613" ht="15.75" customHeight="1">
      <c r="A2613" s="1" t="s">
        <v>2650</v>
      </c>
      <c r="B2613" s="1" t="s">
        <v>32</v>
      </c>
      <c r="C2613" s="1">
        <v>0.0</v>
      </c>
      <c r="D2613" s="1" t="s">
        <v>25</v>
      </c>
      <c r="E2613" s="1" t="s">
        <v>26</v>
      </c>
      <c r="F2613" s="1">
        <v>10.0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1">
        <v>70.3</v>
      </c>
      <c r="T2613" s="1">
        <v>738.2</v>
      </c>
      <c r="U2613" s="1">
        <v>0.0</v>
      </c>
      <c r="V2613" s="1">
        <v>0.0</v>
      </c>
      <c r="W2613" s="1" t="s">
        <v>25</v>
      </c>
    </row>
    <row r="2614" ht="15.75" customHeight="1">
      <c r="A2614" s="1" t="s">
        <v>2651</v>
      </c>
      <c r="B2614" s="1" t="s">
        <v>24</v>
      </c>
      <c r="C2614" s="1">
        <v>0.0</v>
      </c>
      <c r="D2614" s="1" t="s">
        <v>25</v>
      </c>
      <c r="E2614" s="1" t="s">
        <v>25</v>
      </c>
      <c r="F2614" s="1">
        <v>14.0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1">
        <v>80.45</v>
      </c>
      <c r="T2614" s="1">
        <v>1137.05</v>
      </c>
      <c r="U2614" s="1">
        <v>4.0</v>
      </c>
      <c r="V2614" s="1">
        <v>0.0</v>
      </c>
      <c r="W2614" s="1" t="s">
        <v>26</v>
      </c>
    </row>
    <row r="2615" ht="15.75" customHeight="1">
      <c r="A2615" s="1" t="s">
        <v>2652</v>
      </c>
      <c r="B2615" s="1" t="s">
        <v>24</v>
      </c>
      <c r="C2615" s="1">
        <v>0.0</v>
      </c>
      <c r="D2615" s="1" t="s">
        <v>26</v>
      </c>
      <c r="E2615" s="1" t="s">
        <v>26</v>
      </c>
      <c r="F2615" s="1">
        <v>1.0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1">
        <v>80.2</v>
      </c>
      <c r="T2615" s="1">
        <v>80.2</v>
      </c>
      <c r="U2615" s="1">
        <v>5.0</v>
      </c>
      <c r="V2615" s="1">
        <v>0.0</v>
      </c>
      <c r="W2615" s="1" t="s">
        <v>25</v>
      </c>
    </row>
    <row r="2616" ht="15.75" customHeight="1">
      <c r="A2616" s="1" t="s">
        <v>2653</v>
      </c>
      <c r="B2616" s="1" t="s">
        <v>24</v>
      </c>
      <c r="C2616" s="1">
        <v>0.0</v>
      </c>
      <c r="D2616" s="1" t="s">
        <v>25</v>
      </c>
      <c r="E2616" s="1" t="s">
        <v>25</v>
      </c>
      <c r="F2616" s="1">
        <v>67.0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1">
        <v>94.35</v>
      </c>
      <c r="T2616" s="1">
        <v>6341.45</v>
      </c>
      <c r="U2616" s="1">
        <v>0.0</v>
      </c>
      <c r="V2616" s="1">
        <v>8.0</v>
      </c>
      <c r="W2616" s="1" t="s">
        <v>25</v>
      </c>
    </row>
    <row r="2617" ht="15.75" customHeight="1">
      <c r="A2617" s="1" t="s">
        <v>2654</v>
      </c>
      <c r="B2617" s="1" t="s">
        <v>24</v>
      </c>
      <c r="C2617" s="1">
        <v>0.0</v>
      </c>
      <c r="D2617" s="1" t="s">
        <v>26</v>
      </c>
      <c r="E2617" s="1" t="s">
        <v>26</v>
      </c>
      <c r="F2617" s="1">
        <v>72.0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1">
        <v>91.35</v>
      </c>
      <c r="T2617" s="1">
        <v>6697.2</v>
      </c>
      <c r="U2617" s="1">
        <v>4.0</v>
      </c>
      <c r="V2617" s="1">
        <v>0.0</v>
      </c>
      <c r="W2617" s="1" t="s">
        <v>26</v>
      </c>
    </row>
    <row r="2618" ht="15.75" customHeight="1">
      <c r="A2618" s="1" t="s">
        <v>2655</v>
      </c>
      <c r="B2618" s="1" t="s">
        <v>32</v>
      </c>
      <c r="C2618" s="1">
        <v>0.0</v>
      </c>
      <c r="D2618" s="1" t="s">
        <v>25</v>
      </c>
      <c r="E2618" s="1" t="s">
        <v>25</v>
      </c>
      <c r="F2618" s="1">
        <v>6.0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1">
        <v>44.6</v>
      </c>
      <c r="T2618" s="1">
        <v>260.8</v>
      </c>
      <c r="U2618" s="1">
        <v>0.0</v>
      </c>
      <c r="V2618" s="1">
        <v>0.0</v>
      </c>
      <c r="W2618" s="1" t="s">
        <v>25</v>
      </c>
    </row>
    <row r="2619" ht="15.75" customHeight="1">
      <c r="A2619" s="1" t="s">
        <v>2656</v>
      </c>
      <c r="B2619" s="1" t="s">
        <v>24</v>
      </c>
      <c r="C2619" s="1">
        <v>0.0</v>
      </c>
      <c r="D2619" s="1" t="s">
        <v>26</v>
      </c>
      <c r="E2619" s="1" t="s">
        <v>26</v>
      </c>
      <c r="F2619" s="1">
        <v>1.0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1">
        <v>19.6</v>
      </c>
      <c r="T2619" s="1">
        <v>19.6</v>
      </c>
      <c r="U2619" s="1">
        <v>0.0</v>
      </c>
      <c r="V2619" s="1">
        <v>0.0</v>
      </c>
      <c r="W2619" s="1" t="s">
        <v>25</v>
      </c>
    </row>
    <row r="2620" ht="15.75" customHeight="1">
      <c r="A2620" s="1" t="s">
        <v>2657</v>
      </c>
      <c r="B2620" s="1" t="s">
        <v>32</v>
      </c>
      <c r="C2620" s="1">
        <v>0.0</v>
      </c>
      <c r="D2620" s="1" t="s">
        <v>25</v>
      </c>
      <c r="E2620" s="1" t="s">
        <v>25</v>
      </c>
      <c r="F2620" s="1">
        <v>25.0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1">
        <v>19.9</v>
      </c>
      <c r="T2620" s="1">
        <v>505.45</v>
      </c>
      <c r="U2620" s="1">
        <v>0.0</v>
      </c>
      <c r="V2620" s="1">
        <v>0.0</v>
      </c>
      <c r="W2620" s="1" t="s">
        <v>26</v>
      </c>
    </row>
    <row r="2621" ht="15.75" customHeight="1">
      <c r="A2621" s="1" t="s">
        <v>2658</v>
      </c>
      <c r="B2621" s="1" t="s">
        <v>24</v>
      </c>
      <c r="C2621" s="1">
        <v>1.0</v>
      </c>
      <c r="D2621" s="1" t="s">
        <v>26</v>
      </c>
      <c r="E2621" s="1" t="s">
        <v>26</v>
      </c>
      <c r="F2621" s="1">
        <v>33.0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1">
        <v>110.45</v>
      </c>
      <c r="T2621" s="1">
        <v>3655.45</v>
      </c>
      <c r="U2621" s="1">
        <v>0.0</v>
      </c>
      <c r="V2621" s="1">
        <v>3.0</v>
      </c>
      <c r="W2621" s="1" t="s">
        <v>25</v>
      </c>
    </row>
    <row r="2622" ht="15.75" customHeight="1">
      <c r="A2622" s="1" t="s">
        <v>2659</v>
      </c>
      <c r="B2622" s="1" t="s">
        <v>32</v>
      </c>
      <c r="C2622" s="1">
        <v>0.0</v>
      </c>
      <c r="D2622" s="1" t="s">
        <v>26</v>
      </c>
      <c r="E2622" s="1" t="s">
        <v>26</v>
      </c>
      <c r="F2622" s="1">
        <v>18.0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1">
        <v>68.35</v>
      </c>
      <c r="T2622" s="1">
        <v>1299.8</v>
      </c>
      <c r="U2622" s="1">
        <v>4.0</v>
      </c>
      <c r="V2622" s="1">
        <v>0.0</v>
      </c>
      <c r="W2622" s="1" t="s">
        <v>26</v>
      </c>
    </row>
    <row r="2623" ht="15.75" customHeight="1">
      <c r="A2623" s="1" t="s">
        <v>2660</v>
      </c>
      <c r="B2623" s="1" t="s">
        <v>32</v>
      </c>
      <c r="C2623" s="1">
        <v>0.0</v>
      </c>
      <c r="D2623" s="1" t="s">
        <v>25</v>
      </c>
      <c r="E2623" s="1" t="s">
        <v>26</v>
      </c>
      <c r="F2623" s="1">
        <v>71.0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1">
        <v>79.1</v>
      </c>
      <c r="T2623" s="1">
        <v>5564.85</v>
      </c>
      <c r="U2623" s="1">
        <v>0.0</v>
      </c>
      <c r="V2623" s="1">
        <v>0.0</v>
      </c>
      <c r="W2623" s="1" t="s">
        <v>26</v>
      </c>
    </row>
    <row r="2624" ht="15.75" customHeight="1">
      <c r="A2624" s="1" t="s">
        <v>2661</v>
      </c>
      <c r="B2624" s="1" t="s">
        <v>32</v>
      </c>
      <c r="C2624" s="1">
        <v>1.0</v>
      </c>
      <c r="D2624" s="1" t="s">
        <v>25</v>
      </c>
      <c r="E2624" s="1" t="s">
        <v>25</v>
      </c>
      <c r="F2624" s="1">
        <v>28.0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1">
        <v>51.0</v>
      </c>
      <c r="T2624" s="1">
        <v>1381.8</v>
      </c>
      <c r="U2624" s="1">
        <v>0.0</v>
      </c>
      <c r="V2624" s="1">
        <v>2.0</v>
      </c>
      <c r="W2624" s="1" t="s">
        <v>26</v>
      </c>
    </row>
    <row r="2625" ht="15.75" customHeight="1">
      <c r="A2625" s="1" t="s">
        <v>2662</v>
      </c>
      <c r="B2625" s="1" t="s">
        <v>24</v>
      </c>
      <c r="C2625" s="1">
        <v>0.0</v>
      </c>
      <c r="D2625" s="1" t="s">
        <v>26</v>
      </c>
      <c r="E2625" s="1" t="s">
        <v>25</v>
      </c>
      <c r="F2625" s="1">
        <v>2.0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1">
        <v>80.55</v>
      </c>
      <c r="T2625" s="1">
        <v>188.1</v>
      </c>
      <c r="U2625" s="1">
        <v>5.0</v>
      </c>
      <c r="V2625" s="1">
        <v>0.0</v>
      </c>
      <c r="W2625" s="1" t="s">
        <v>26</v>
      </c>
    </row>
    <row r="2626" ht="15.75" customHeight="1">
      <c r="A2626" s="1" t="s">
        <v>2663</v>
      </c>
      <c r="B2626" s="1" t="s">
        <v>32</v>
      </c>
      <c r="C2626" s="1">
        <v>0.0</v>
      </c>
      <c r="D2626" s="1" t="s">
        <v>25</v>
      </c>
      <c r="E2626" s="1" t="s">
        <v>25</v>
      </c>
      <c r="F2626" s="1">
        <v>17.0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1">
        <v>66.7</v>
      </c>
      <c r="T2626" s="1">
        <v>1077.05</v>
      </c>
      <c r="U2626" s="1">
        <v>0.0</v>
      </c>
      <c r="V2626" s="1">
        <v>0.0</v>
      </c>
      <c r="W2626" s="1" t="s">
        <v>26</v>
      </c>
    </row>
    <row r="2627" ht="15.75" customHeight="1">
      <c r="A2627" s="1" t="s">
        <v>2664</v>
      </c>
      <c r="B2627" s="1" t="s">
        <v>32</v>
      </c>
      <c r="C2627" s="1">
        <v>0.0</v>
      </c>
      <c r="D2627" s="1" t="s">
        <v>26</v>
      </c>
      <c r="E2627" s="1" t="s">
        <v>26</v>
      </c>
      <c r="F2627" s="1">
        <v>56.0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1">
        <v>86.4</v>
      </c>
      <c r="T2627" s="1">
        <v>4922.4</v>
      </c>
      <c r="U2627" s="1">
        <v>0.0</v>
      </c>
      <c r="V2627" s="1">
        <v>0.0</v>
      </c>
      <c r="W2627" s="1" t="s">
        <v>26</v>
      </c>
    </row>
    <row r="2628" ht="15.75" customHeight="1">
      <c r="A2628" s="1" t="s">
        <v>2665</v>
      </c>
      <c r="B2628" s="1" t="s">
        <v>24</v>
      </c>
      <c r="C2628" s="1">
        <v>0.0</v>
      </c>
      <c r="D2628" s="1" t="s">
        <v>25</v>
      </c>
      <c r="E2628" s="1" t="s">
        <v>26</v>
      </c>
      <c r="F2628" s="1">
        <v>60.0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1">
        <v>50.05</v>
      </c>
      <c r="T2628" s="1">
        <v>2911.5</v>
      </c>
      <c r="U2628" s="1">
        <v>0.0</v>
      </c>
      <c r="V2628" s="1">
        <v>0.0</v>
      </c>
      <c r="W2628" s="1" t="s">
        <v>26</v>
      </c>
    </row>
    <row r="2629" ht="15.75" customHeight="1">
      <c r="A2629" s="1" t="s">
        <v>2666</v>
      </c>
      <c r="B2629" s="1" t="s">
        <v>24</v>
      </c>
      <c r="C2629" s="1">
        <v>0.0</v>
      </c>
      <c r="D2629" s="1" t="s">
        <v>26</v>
      </c>
      <c r="E2629" s="1" t="s">
        <v>26</v>
      </c>
      <c r="F2629" s="1">
        <v>33.0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1">
        <v>25.7</v>
      </c>
      <c r="T2629" s="1">
        <v>826.1</v>
      </c>
      <c r="U2629" s="1">
        <v>0.0</v>
      </c>
      <c r="V2629" s="1">
        <v>0.0</v>
      </c>
      <c r="W2629" s="1" t="s">
        <v>26</v>
      </c>
    </row>
    <row r="2630" ht="15.75" customHeight="1">
      <c r="A2630" s="1" t="s">
        <v>2667</v>
      </c>
      <c r="B2630" s="1" t="s">
        <v>24</v>
      </c>
      <c r="C2630" s="1">
        <v>0.0</v>
      </c>
      <c r="D2630" s="1" t="s">
        <v>26</v>
      </c>
      <c r="E2630" s="1" t="s">
        <v>26</v>
      </c>
      <c r="F2630" s="1">
        <v>1.0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1">
        <v>83.4</v>
      </c>
      <c r="T2630" s="1">
        <v>83.4</v>
      </c>
      <c r="U2630" s="1">
        <v>0.0</v>
      </c>
      <c r="V2630" s="1">
        <v>0.0</v>
      </c>
      <c r="W2630" s="1" t="s">
        <v>26</v>
      </c>
    </row>
    <row r="2631" ht="15.75" customHeight="1">
      <c r="A2631" s="1" t="s">
        <v>2668</v>
      </c>
      <c r="B2631" s="1" t="s">
        <v>32</v>
      </c>
      <c r="C2631" s="1">
        <v>0.0</v>
      </c>
      <c r="D2631" s="1" t="s">
        <v>26</v>
      </c>
      <c r="E2631" s="1" t="s">
        <v>26</v>
      </c>
      <c r="F2631" s="1">
        <v>2.0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1">
        <v>70.7</v>
      </c>
      <c r="T2631" s="1">
        <v>140.7</v>
      </c>
      <c r="U2631" s="1">
        <v>0.0</v>
      </c>
      <c r="V2631" s="1">
        <v>0.0</v>
      </c>
      <c r="W2631" s="1" t="s">
        <v>25</v>
      </c>
    </row>
    <row r="2632" ht="15.75" customHeight="1">
      <c r="A2632" s="1" t="s">
        <v>2669</v>
      </c>
      <c r="B2632" s="1" t="s">
        <v>32</v>
      </c>
      <c r="C2632" s="1">
        <v>0.0</v>
      </c>
      <c r="D2632" s="1" t="s">
        <v>25</v>
      </c>
      <c r="E2632" s="1" t="s">
        <v>26</v>
      </c>
      <c r="F2632" s="1">
        <v>63.0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1">
        <v>84.65</v>
      </c>
      <c r="T2632" s="1">
        <v>5377.8</v>
      </c>
      <c r="U2632" s="1">
        <v>0.0</v>
      </c>
      <c r="V2632" s="1">
        <v>0.0</v>
      </c>
      <c r="W2632" s="1" t="s">
        <v>26</v>
      </c>
    </row>
    <row r="2633" ht="15.75" customHeight="1">
      <c r="A2633" s="1" t="s">
        <v>2670</v>
      </c>
      <c r="B2633" s="1" t="s">
        <v>32</v>
      </c>
      <c r="C2633" s="1">
        <v>1.0</v>
      </c>
      <c r="D2633" s="1" t="s">
        <v>25</v>
      </c>
      <c r="E2633" s="1" t="s">
        <v>26</v>
      </c>
      <c r="F2633" s="1">
        <v>7.0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1">
        <v>99.25</v>
      </c>
      <c r="T2633" s="1">
        <v>665.45</v>
      </c>
      <c r="U2633" s="1">
        <v>0.0</v>
      </c>
      <c r="V2633" s="1">
        <v>0.0</v>
      </c>
      <c r="W2633" s="1" t="s">
        <v>25</v>
      </c>
    </row>
    <row r="2634" ht="15.75" customHeight="1">
      <c r="A2634" s="1" t="s">
        <v>2671</v>
      </c>
      <c r="B2634" s="1" t="s">
        <v>24</v>
      </c>
      <c r="C2634" s="1">
        <v>0.0</v>
      </c>
      <c r="D2634" s="1" t="s">
        <v>26</v>
      </c>
      <c r="E2634" s="1" t="s">
        <v>26</v>
      </c>
      <c r="F2634" s="1">
        <v>55.0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1">
        <v>64.75</v>
      </c>
      <c r="T2634" s="1">
        <v>3617.1</v>
      </c>
      <c r="U2634" s="1">
        <v>0.0</v>
      </c>
      <c r="V2634" s="1">
        <v>0.0</v>
      </c>
      <c r="W2634" s="1" t="s">
        <v>26</v>
      </c>
    </row>
    <row r="2635" ht="15.75" customHeight="1">
      <c r="A2635" s="1" t="s">
        <v>2672</v>
      </c>
      <c r="B2635" s="1" t="s">
        <v>24</v>
      </c>
      <c r="C2635" s="1">
        <v>0.0</v>
      </c>
      <c r="D2635" s="1" t="s">
        <v>25</v>
      </c>
      <c r="E2635" s="1" t="s">
        <v>26</v>
      </c>
      <c r="F2635" s="1">
        <v>65.0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1">
        <v>100.15</v>
      </c>
      <c r="T2635" s="1">
        <v>6643.5</v>
      </c>
      <c r="U2635" s="1">
        <v>0.0</v>
      </c>
      <c r="V2635" s="1">
        <v>0.0</v>
      </c>
      <c r="W2635" s="1" t="s">
        <v>26</v>
      </c>
    </row>
    <row r="2636" ht="15.75" customHeight="1">
      <c r="A2636" s="1" t="s">
        <v>2673</v>
      </c>
      <c r="B2636" s="1" t="s">
        <v>32</v>
      </c>
      <c r="C2636" s="1">
        <v>0.0</v>
      </c>
      <c r="D2636" s="1" t="s">
        <v>25</v>
      </c>
      <c r="E2636" s="1" t="s">
        <v>26</v>
      </c>
      <c r="F2636" s="1">
        <v>1.0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1">
        <v>84.8</v>
      </c>
      <c r="T2636" s="1">
        <v>84.8</v>
      </c>
      <c r="U2636" s="1">
        <v>0.0</v>
      </c>
      <c r="V2636" s="1">
        <v>0.0</v>
      </c>
      <c r="W2636" s="1" t="s">
        <v>25</v>
      </c>
    </row>
    <row r="2637" ht="15.75" customHeight="1">
      <c r="A2637" s="1" t="s">
        <v>2674</v>
      </c>
      <c r="B2637" s="1" t="s">
        <v>32</v>
      </c>
      <c r="C2637" s="1">
        <v>0.0</v>
      </c>
      <c r="D2637" s="1" t="s">
        <v>26</v>
      </c>
      <c r="E2637" s="1" t="s">
        <v>26</v>
      </c>
      <c r="F2637" s="1">
        <v>63.0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1">
        <v>25.25</v>
      </c>
      <c r="T2637" s="1">
        <v>1559.3</v>
      </c>
      <c r="U2637" s="1">
        <v>0.0</v>
      </c>
      <c r="V2637" s="1">
        <v>0.0</v>
      </c>
      <c r="W2637" s="1" t="s">
        <v>26</v>
      </c>
    </row>
    <row r="2638" ht="15.75" customHeight="1">
      <c r="A2638" s="1" t="s">
        <v>2675</v>
      </c>
      <c r="B2638" s="1" t="s">
        <v>24</v>
      </c>
      <c r="C2638" s="1">
        <v>1.0</v>
      </c>
      <c r="D2638" s="1" t="s">
        <v>25</v>
      </c>
      <c r="E2638" s="1" t="s">
        <v>26</v>
      </c>
      <c r="F2638" s="1">
        <v>70.0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1">
        <v>113.0</v>
      </c>
      <c r="T2638" s="1">
        <v>7987.6</v>
      </c>
      <c r="U2638" s="1">
        <v>3.0</v>
      </c>
      <c r="V2638" s="1">
        <v>0.0</v>
      </c>
      <c r="W2638" s="1" t="s">
        <v>26</v>
      </c>
    </row>
    <row r="2639" ht="15.75" customHeight="1">
      <c r="A2639" s="1" t="s">
        <v>2676</v>
      </c>
      <c r="B2639" s="1" t="s">
        <v>24</v>
      </c>
      <c r="C2639" s="1">
        <v>0.0</v>
      </c>
      <c r="D2639" s="1" t="s">
        <v>25</v>
      </c>
      <c r="E2639" s="1" t="s">
        <v>25</v>
      </c>
      <c r="F2639" s="1">
        <v>36.0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1">
        <v>40.65</v>
      </c>
      <c r="T2639" s="1">
        <v>1547.35</v>
      </c>
      <c r="U2639" s="1">
        <v>0.0</v>
      </c>
      <c r="V2639" s="1">
        <v>0.0</v>
      </c>
      <c r="W2639" s="1" t="s">
        <v>26</v>
      </c>
    </row>
    <row r="2640" ht="15.75" customHeight="1">
      <c r="A2640" s="1" t="s">
        <v>2677</v>
      </c>
      <c r="B2640" s="1" t="s">
        <v>32</v>
      </c>
      <c r="C2640" s="1">
        <v>0.0</v>
      </c>
      <c r="D2640" s="1" t="s">
        <v>26</v>
      </c>
      <c r="E2640" s="1" t="s">
        <v>26</v>
      </c>
      <c r="F2640" s="1">
        <v>52.0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1">
        <v>105.0</v>
      </c>
      <c r="T2640" s="1">
        <v>5426.85</v>
      </c>
      <c r="U2640" s="1">
        <v>0.0</v>
      </c>
      <c r="V2640" s="1">
        <v>6.0</v>
      </c>
      <c r="W2640" s="1" t="s">
        <v>25</v>
      </c>
    </row>
    <row r="2641" ht="15.75" customHeight="1">
      <c r="A2641" s="1" t="s">
        <v>2678</v>
      </c>
      <c r="B2641" s="1" t="s">
        <v>32</v>
      </c>
      <c r="C2641" s="1">
        <v>0.0</v>
      </c>
      <c r="D2641" s="1" t="s">
        <v>26</v>
      </c>
      <c r="E2641" s="1" t="s">
        <v>26</v>
      </c>
      <c r="F2641" s="1">
        <v>22.0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1">
        <v>54.45</v>
      </c>
      <c r="T2641" s="1">
        <v>1127.35</v>
      </c>
      <c r="U2641" s="1">
        <v>5.0</v>
      </c>
      <c r="V2641" s="1">
        <v>0.0</v>
      </c>
      <c r="W2641" s="1" t="s">
        <v>25</v>
      </c>
    </row>
    <row r="2642" ht="15.75" customHeight="1">
      <c r="A2642" s="1" t="s">
        <v>2679</v>
      </c>
      <c r="B2642" s="1" t="s">
        <v>32</v>
      </c>
      <c r="C2642" s="1">
        <v>0.0</v>
      </c>
      <c r="D2642" s="1" t="s">
        <v>26</v>
      </c>
      <c r="E2642" s="1" t="s">
        <v>26</v>
      </c>
      <c r="F2642" s="1">
        <v>22.0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1">
        <v>94.95</v>
      </c>
      <c r="T2642" s="1">
        <v>2142.8</v>
      </c>
      <c r="U2642" s="1">
        <v>0.0</v>
      </c>
      <c r="V2642" s="1">
        <v>0.0</v>
      </c>
      <c r="W2642" s="1" t="s">
        <v>26</v>
      </c>
    </row>
    <row r="2643" ht="15.75" customHeight="1">
      <c r="A2643" s="1" t="s">
        <v>2680</v>
      </c>
      <c r="B2643" s="1" t="s">
        <v>24</v>
      </c>
      <c r="C2643" s="1">
        <v>1.0</v>
      </c>
      <c r="D2643" s="1" t="s">
        <v>26</v>
      </c>
      <c r="E2643" s="1" t="s">
        <v>26</v>
      </c>
      <c r="F2643" s="1">
        <v>5.0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1">
        <v>59.9</v>
      </c>
      <c r="T2643" s="1">
        <v>287.85</v>
      </c>
      <c r="U2643" s="1">
        <v>1.0</v>
      </c>
      <c r="V2643" s="1">
        <v>0.0</v>
      </c>
      <c r="W2643" s="1" t="s">
        <v>26</v>
      </c>
    </row>
    <row r="2644" ht="15.75" customHeight="1">
      <c r="A2644" s="1" t="s">
        <v>2681</v>
      </c>
      <c r="B2644" s="1" t="s">
        <v>24</v>
      </c>
      <c r="C2644" s="1">
        <v>0.0</v>
      </c>
      <c r="D2644" s="1" t="s">
        <v>25</v>
      </c>
      <c r="E2644" s="1" t="s">
        <v>26</v>
      </c>
      <c r="F2644" s="1">
        <v>47.0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1">
        <v>85.3</v>
      </c>
      <c r="T2644" s="1">
        <v>4045.65</v>
      </c>
      <c r="U2644" s="1">
        <v>1.0</v>
      </c>
      <c r="V2644" s="1">
        <v>3.0</v>
      </c>
      <c r="W2644" s="1" t="s">
        <v>25</v>
      </c>
    </row>
    <row r="2645" ht="15.75" customHeight="1">
      <c r="A2645" s="1" t="s">
        <v>2682</v>
      </c>
      <c r="B2645" s="1" t="s">
        <v>24</v>
      </c>
      <c r="C2645" s="1">
        <v>0.0</v>
      </c>
      <c r="D2645" s="1" t="s">
        <v>26</v>
      </c>
      <c r="E2645" s="1" t="s">
        <v>26</v>
      </c>
      <c r="F2645" s="1">
        <v>33.0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1">
        <v>83.35</v>
      </c>
      <c r="T2645" s="1">
        <v>2757.85</v>
      </c>
      <c r="U2645" s="1">
        <v>3.0</v>
      </c>
      <c r="V2645" s="1">
        <v>2.0</v>
      </c>
      <c r="W2645" s="1" t="s">
        <v>25</v>
      </c>
    </row>
    <row r="2646" ht="15.75" customHeight="1">
      <c r="A2646" s="1" t="s">
        <v>2683</v>
      </c>
      <c r="B2646" s="1" t="s">
        <v>32</v>
      </c>
      <c r="C2646" s="1">
        <v>0.0</v>
      </c>
      <c r="D2646" s="1" t="s">
        <v>26</v>
      </c>
      <c r="E2646" s="1" t="s">
        <v>26</v>
      </c>
      <c r="F2646" s="1">
        <v>18.0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1">
        <v>33.5</v>
      </c>
      <c r="T2646" s="1">
        <v>600.0</v>
      </c>
      <c r="U2646" s="1">
        <v>0.0</v>
      </c>
      <c r="V2646" s="1">
        <v>3.0</v>
      </c>
      <c r="W2646" s="1" t="s">
        <v>25</v>
      </c>
    </row>
    <row r="2647" ht="15.75" customHeight="1">
      <c r="A2647" s="1" t="s">
        <v>2684</v>
      </c>
      <c r="B2647" s="1" t="s">
        <v>24</v>
      </c>
      <c r="C2647" s="1">
        <v>0.0</v>
      </c>
      <c r="D2647" s="1" t="s">
        <v>26</v>
      </c>
      <c r="E2647" s="1" t="s">
        <v>26</v>
      </c>
      <c r="F2647" s="1">
        <v>1.0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1">
        <v>19.8</v>
      </c>
      <c r="T2647" s="1">
        <v>19.8</v>
      </c>
      <c r="U2647" s="1">
        <v>0.0</v>
      </c>
      <c r="V2647" s="1">
        <v>0.0</v>
      </c>
      <c r="W2647" s="1" t="s">
        <v>26</v>
      </c>
    </row>
    <row r="2648" ht="15.75" customHeight="1">
      <c r="A2648" s="1" t="s">
        <v>2685</v>
      </c>
      <c r="B2648" s="1" t="s">
        <v>32</v>
      </c>
      <c r="C2648" s="1">
        <v>0.0</v>
      </c>
      <c r="D2648" s="1" t="s">
        <v>26</v>
      </c>
      <c r="E2648" s="1" t="s">
        <v>26</v>
      </c>
      <c r="F2648" s="1">
        <v>56.0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1">
        <v>81.8</v>
      </c>
      <c r="T2648" s="1">
        <v>4534.45</v>
      </c>
      <c r="U2648" s="1">
        <v>0.0</v>
      </c>
      <c r="V2648" s="1">
        <v>4.0</v>
      </c>
      <c r="W2648" s="1" t="s">
        <v>26</v>
      </c>
    </row>
    <row r="2649" ht="15.75" customHeight="1">
      <c r="A2649" s="1" t="s">
        <v>2686</v>
      </c>
      <c r="B2649" s="1" t="s">
        <v>24</v>
      </c>
      <c r="C2649" s="1">
        <v>0.0</v>
      </c>
      <c r="D2649" s="1" t="s">
        <v>26</v>
      </c>
      <c r="E2649" s="1" t="s">
        <v>26</v>
      </c>
      <c r="F2649" s="1">
        <v>2.0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1">
        <v>20.0</v>
      </c>
      <c r="T2649" s="1">
        <v>40.9</v>
      </c>
      <c r="U2649" s="1">
        <v>0.0</v>
      </c>
      <c r="V2649" s="1">
        <v>0.0</v>
      </c>
      <c r="W2649" s="1" t="s">
        <v>26</v>
      </c>
    </row>
    <row r="2650" ht="15.75" customHeight="1">
      <c r="A2650" s="1" t="s">
        <v>2687</v>
      </c>
      <c r="B2650" s="1" t="s">
        <v>32</v>
      </c>
      <c r="C2650" s="1">
        <v>0.0</v>
      </c>
      <c r="D2650" s="1" t="s">
        <v>26</v>
      </c>
      <c r="E2650" s="1" t="s">
        <v>26</v>
      </c>
      <c r="F2650" s="1">
        <v>35.0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1">
        <v>59.6</v>
      </c>
      <c r="T2650" s="1">
        <v>2094.9</v>
      </c>
      <c r="U2650" s="1">
        <v>0.0</v>
      </c>
      <c r="V2650" s="1">
        <v>0.0</v>
      </c>
      <c r="W2650" s="1" t="s">
        <v>26</v>
      </c>
    </row>
    <row r="2651" ht="15.75" customHeight="1">
      <c r="A2651" s="1" t="s">
        <v>2688</v>
      </c>
      <c r="B2651" s="1" t="s">
        <v>24</v>
      </c>
      <c r="C2651" s="1">
        <v>0.0</v>
      </c>
      <c r="D2651" s="1" t="s">
        <v>25</v>
      </c>
      <c r="E2651" s="1" t="s">
        <v>26</v>
      </c>
      <c r="F2651" s="1">
        <v>64.0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1">
        <v>25.0</v>
      </c>
      <c r="T2651" s="1">
        <v>1584.8</v>
      </c>
      <c r="U2651" s="1">
        <v>0.0</v>
      </c>
      <c r="V2651" s="1">
        <v>0.0</v>
      </c>
      <c r="W2651" s="1" t="s">
        <v>26</v>
      </c>
    </row>
    <row r="2652" ht="15.75" customHeight="1">
      <c r="A2652" s="1" t="s">
        <v>2689</v>
      </c>
      <c r="B2652" s="1" t="s">
        <v>24</v>
      </c>
      <c r="C2652" s="1">
        <v>0.0</v>
      </c>
      <c r="D2652" s="1" t="s">
        <v>26</v>
      </c>
      <c r="E2652" s="1" t="s">
        <v>26</v>
      </c>
      <c r="F2652" s="1">
        <v>15.0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1">
        <v>84.35</v>
      </c>
      <c r="T2652" s="1">
        <v>1302.65</v>
      </c>
      <c r="U2652" s="1">
        <v>4.0</v>
      </c>
      <c r="V2652" s="1">
        <v>0.0</v>
      </c>
      <c r="W2652" s="1" t="s">
        <v>26</v>
      </c>
    </row>
    <row r="2653" ht="15.75" customHeight="1">
      <c r="A2653" s="1" t="s">
        <v>2690</v>
      </c>
      <c r="B2653" s="1" t="s">
        <v>32</v>
      </c>
      <c r="C2653" s="1">
        <v>0.0</v>
      </c>
      <c r="D2653" s="1" t="s">
        <v>26</v>
      </c>
      <c r="E2653" s="1" t="s">
        <v>26</v>
      </c>
      <c r="F2653" s="1">
        <v>24.0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1">
        <v>90.35</v>
      </c>
      <c r="T2653" s="1">
        <v>2238.5</v>
      </c>
      <c r="U2653" s="1">
        <v>4.0</v>
      </c>
      <c r="V2653" s="1">
        <v>2.0</v>
      </c>
      <c r="W2653" s="1" t="s">
        <v>25</v>
      </c>
    </row>
    <row r="2654" ht="15.75" customHeight="1">
      <c r="A2654" s="1" t="s">
        <v>2691</v>
      </c>
      <c r="B2654" s="1" t="s">
        <v>32</v>
      </c>
      <c r="C2654" s="1">
        <v>0.0</v>
      </c>
      <c r="D2654" s="1" t="s">
        <v>26</v>
      </c>
      <c r="E2654" s="1" t="s">
        <v>26</v>
      </c>
      <c r="F2654" s="1">
        <v>1.0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1">
        <v>55.55</v>
      </c>
      <c r="T2654" s="1">
        <v>55.55</v>
      </c>
      <c r="U2654" s="1">
        <v>0.0</v>
      </c>
      <c r="V2654" s="1">
        <v>0.0</v>
      </c>
      <c r="W2654" s="1" t="s">
        <v>26</v>
      </c>
    </row>
    <row r="2655" ht="15.75" customHeight="1">
      <c r="A2655" s="1" t="s">
        <v>2692</v>
      </c>
      <c r="B2655" s="1" t="s">
        <v>24</v>
      </c>
      <c r="C2655" s="1">
        <v>0.0</v>
      </c>
      <c r="D2655" s="1" t="s">
        <v>25</v>
      </c>
      <c r="E2655" s="1" t="s">
        <v>25</v>
      </c>
      <c r="F2655" s="1">
        <v>70.0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1">
        <v>75.35</v>
      </c>
      <c r="T2655" s="1">
        <v>5437.75</v>
      </c>
      <c r="U2655" s="1">
        <v>0.0</v>
      </c>
      <c r="V2655" s="1">
        <v>0.0</v>
      </c>
      <c r="W2655" s="1" t="s">
        <v>26</v>
      </c>
    </row>
    <row r="2656" ht="15.75" customHeight="1">
      <c r="A2656" s="1" t="s">
        <v>2693</v>
      </c>
      <c r="B2656" s="1" t="s">
        <v>32</v>
      </c>
      <c r="C2656" s="1">
        <v>0.0</v>
      </c>
      <c r="D2656" s="1" t="s">
        <v>25</v>
      </c>
      <c r="E2656" s="1" t="s">
        <v>26</v>
      </c>
      <c r="F2656" s="1">
        <v>1.0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1">
        <v>90.75</v>
      </c>
      <c r="T2656" s="1">
        <v>90.75</v>
      </c>
      <c r="U2656" s="1">
        <v>0.0</v>
      </c>
      <c r="V2656" s="1">
        <v>0.0</v>
      </c>
      <c r="W2656" s="1" t="s">
        <v>25</v>
      </c>
    </row>
    <row r="2657" ht="15.75" customHeight="1">
      <c r="A2657" s="1" t="s">
        <v>2694</v>
      </c>
      <c r="B2657" s="1" t="s">
        <v>24</v>
      </c>
      <c r="C2657" s="1">
        <v>0.0</v>
      </c>
      <c r="D2657" s="1" t="s">
        <v>26</v>
      </c>
      <c r="E2657" s="1" t="s">
        <v>25</v>
      </c>
      <c r="F2657" s="1">
        <v>4.0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1">
        <v>89.6</v>
      </c>
      <c r="T2657" s="1">
        <v>365.65</v>
      </c>
      <c r="U2657" s="1">
        <v>0.0</v>
      </c>
      <c r="V2657" s="1">
        <v>2.0</v>
      </c>
      <c r="W2657" s="1" t="s">
        <v>25</v>
      </c>
    </row>
    <row r="2658" ht="15.75" customHeight="1">
      <c r="A2658" s="1" t="s">
        <v>2695</v>
      </c>
      <c r="B2658" s="1" t="s">
        <v>24</v>
      </c>
      <c r="C2658" s="1">
        <v>0.0</v>
      </c>
      <c r="D2658" s="1" t="s">
        <v>26</v>
      </c>
      <c r="E2658" s="1" t="s">
        <v>26</v>
      </c>
      <c r="F2658" s="1">
        <v>39.0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1">
        <v>59.3</v>
      </c>
      <c r="T2658" s="1">
        <v>2209.15</v>
      </c>
      <c r="U2658" s="1">
        <v>0.0</v>
      </c>
      <c r="V2658" s="1">
        <v>0.0</v>
      </c>
      <c r="W2658" s="1" t="s">
        <v>26</v>
      </c>
    </row>
    <row r="2659" ht="15.75" customHeight="1">
      <c r="A2659" s="1" t="s">
        <v>2696</v>
      </c>
      <c r="B2659" s="1" t="s">
        <v>24</v>
      </c>
      <c r="C2659" s="1">
        <v>0.0</v>
      </c>
      <c r="D2659" s="1" t="s">
        <v>26</v>
      </c>
      <c r="E2659" s="1" t="s">
        <v>26</v>
      </c>
      <c r="F2659" s="1">
        <v>29.0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1">
        <v>66.1</v>
      </c>
      <c r="T2659" s="1">
        <v>1912.15</v>
      </c>
      <c r="U2659" s="1">
        <v>0.0</v>
      </c>
      <c r="V2659" s="1">
        <v>0.0</v>
      </c>
      <c r="W2659" s="1" t="s">
        <v>26</v>
      </c>
    </row>
    <row r="2660" ht="15.75" customHeight="1">
      <c r="A2660" s="1" t="s">
        <v>2697</v>
      </c>
      <c r="B2660" s="1" t="s">
        <v>24</v>
      </c>
      <c r="C2660" s="1">
        <v>0.0</v>
      </c>
      <c r="D2660" s="1" t="s">
        <v>25</v>
      </c>
      <c r="E2660" s="1" t="s">
        <v>25</v>
      </c>
      <c r="F2660" s="1">
        <v>14.0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1">
        <v>18.8</v>
      </c>
      <c r="T2660" s="1">
        <v>255.55</v>
      </c>
      <c r="U2660" s="1">
        <v>0.0</v>
      </c>
      <c r="V2660" s="1">
        <v>0.0</v>
      </c>
      <c r="W2660" s="1" t="s">
        <v>26</v>
      </c>
    </row>
    <row r="2661" ht="15.75" customHeight="1">
      <c r="A2661" s="1" t="s">
        <v>2698</v>
      </c>
      <c r="B2661" s="1" t="s">
        <v>24</v>
      </c>
      <c r="C2661" s="1">
        <v>0.0</v>
      </c>
      <c r="D2661" s="1" t="s">
        <v>26</v>
      </c>
      <c r="E2661" s="1" t="s">
        <v>26</v>
      </c>
      <c r="F2661" s="1">
        <v>61.0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1">
        <v>86.45</v>
      </c>
      <c r="T2661" s="1">
        <v>5175.3</v>
      </c>
      <c r="U2661" s="1">
        <v>1.0</v>
      </c>
      <c r="V2661" s="1">
        <v>0.0</v>
      </c>
      <c r="W2661" s="1" t="s">
        <v>26</v>
      </c>
    </row>
    <row r="2662" ht="15.75" customHeight="1">
      <c r="A2662" s="1" t="s">
        <v>2699</v>
      </c>
      <c r="B2662" s="1" t="s">
        <v>32</v>
      </c>
      <c r="C2662" s="1">
        <v>0.0</v>
      </c>
      <c r="D2662" s="1" t="s">
        <v>26</v>
      </c>
      <c r="E2662" s="1" t="s">
        <v>25</v>
      </c>
      <c r="F2662" s="1">
        <v>13.0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1">
        <v>52.1</v>
      </c>
      <c r="T2662" s="1">
        <v>670.65</v>
      </c>
      <c r="U2662" s="1">
        <v>0.0</v>
      </c>
      <c r="V2662" s="1">
        <v>0.0</v>
      </c>
      <c r="W2662" s="1" t="s">
        <v>26</v>
      </c>
    </row>
    <row r="2663" ht="15.75" customHeight="1">
      <c r="A2663" s="1" t="s">
        <v>2700</v>
      </c>
      <c r="B2663" s="1" t="s">
        <v>24</v>
      </c>
      <c r="C2663" s="1">
        <v>0.0</v>
      </c>
      <c r="D2663" s="1" t="s">
        <v>26</v>
      </c>
      <c r="E2663" s="1" t="s">
        <v>26</v>
      </c>
      <c r="F2663" s="1">
        <v>66.0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1">
        <v>47.4</v>
      </c>
      <c r="T2663" s="1">
        <v>3177.25</v>
      </c>
      <c r="U2663" s="1">
        <v>0.0</v>
      </c>
      <c r="V2663" s="1">
        <v>0.0</v>
      </c>
      <c r="W2663" s="1" t="s">
        <v>26</v>
      </c>
    </row>
    <row r="2664" ht="15.75" customHeight="1">
      <c r="A2664" s="1" t="s">
        <v>2701</v>
      </c>
      <c r="B2664" s="1" t="s">
        <v>32</v>
      </c>
      <c r="C2664" s="1">
        <v>0.0</v>
      </c>
      <c r="D2664" s="1" t="s">
        <v>26</v>
      </c>
      <c r="E2664" s="1" t="s">
        <v>26</v>
      </c>
      <c r="F2664" s="1">
        <v>2.0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1">
        <v>49.25</v>
      </c>
      <c r="T2664" s="1">
        <v>90.35</v>
      </c>
      <c r="U2664" s="1">
        <v>0.0</v>
      </c>
      <c r="V2664" s="1">
        <v>0.0</v>
      </c>
      <c r="W2664" s="1" t="s">
        <v>25</v>
      </c>
    </row>
    <row r="2665" ht="15.75" customHeight="1">
      <c r="A2665" s="1" t="s">
        <v>2702</v>
      </c>
      <c r="B2665" s="1" t="s">
        <v>24</v>
      </c>
      <c r="C2665" s="1">
        <v>0.0</v>
      </c>
      <c r="D2665" s="1" t="s">
        <v>25</v>
      </c>
      <c r="E2665" s="1" t="s">
        <v>26</v>
      </c>
      <c r="F2665" s="1">
        <v>59.0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1">
        <v>109.15</v>
      </c>
      <c r="T2665" s="1">
        <v>6557.75</v>
      </c>
      <c r="U2665" s="1">
        <v>0.0</v>
      </c>
      <c r="V2665" s="1">
        <v>1.0</v>
      </c>
      <c r="W2665" s="1" t="s">
        <v>26</v>
      </c>
    </row>
    <row r="2666" ht="15.75" customHeight="1">
      <c r="A2666" s="1" t="s">
        <v>2703</v>
      </c>
      <c r="B2666" s="1" t="s">
        <v>32</v>
      </c>
      <c r="C2666" s="1">
        <v>0.0</v>
      </c>
      <c r="D2666" s="1" t="s">
        <v>25</v>
      </c>
      <c r="E2666" s="1" t="s">
        <v>25</v>
      </c>
      <c r="F2666" s="1">
        <v>62.0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1">
        <v>94.95</v>
      </c>
      <c r="T2666" s="1">
        <v>5791.85</v>
      </c>
      <c r="U2666" s="1">
        <v>1.0</v>
      </c>
      <c r="V2666" s="1">
        <v>0.0</v>
      </c>
      <c r="W2666" s="1" t="s">
        <v>26</v>
      </c>
    </row>
    <row r="2667" ht="15.75" customHeight="1">
      <c r="A2667" s="1" t="s">
        <v>2704</v>
      </c>
      <c r="B2667" s="1" t="s">
        <v>32</v>
      </c>
      <c r="C2667" s="1">
        <v>1.0</v>
      </c>
      <c r="D2667" s="1" t="s">
        <v>25</v>
      </c>
      <c r="E2667" s="1" t="s">
        <v>26</v>
      </c>
      <c r="F2667" s="1">
        <v>33.0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1">
        <v>93.55</v>
      </c>
      <c r="T2667" s="1">
        <v>3055.5</v>
      </c>
      <c r="U2667" s="1">
        <v>0.0</v>
      </c>
      <c r="V2667" s="1">
        <v>0.0</v>
      </c>
      <c r="W2667" s="1" t="s">
        <v>26</v>
      </c>
    </row>
    <row r="2668" ht="15.75" customHeight="1">
      <c r="A2668" s="1" t="s">
        <v>2705</v>
      </c>
      <c r="B2668" s="1" t="s">
        <v>32</v>
      </c>
      <c r="C2668" s="1">
        <v>0.0</v>
      </c>
      <c r="D2668" s="1" t="s">
        <v>26</v>
      </c>
      <c r="E2668" s="1" t="s">
        <v>25</v>
      </c>
      <c r="F2668" s="1">
        <v>66.0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1">
        <v>79.5</v>
      </c>
      <c r="T2668" s="1">
        <v>5196.1</v>
      </c>
      <c r="U2668" s="1">
        <v>0.0</v>
      </c>
      <c r="V2668" s="1">
        <v>0.0</v>
      </c>
      <c r="W2668" s="1" t="s">
        <v>26</v>
      </c>
    </row>
    <row r="2669" ht="15.75" customHeight="1">
      <c r="A2669" s="1" t="s">
        <v>2706</v>
      </c>
      <c r="B2669" s="1" t="s">
        <v>24</v>
      </c>
      <c r="C2669" s="1">
        <v>0.0</v>
      </c>
      <c r="D2669" s="1" t="s">
        <v>26</v>
      </c>
      <c r="E2669" s="1" t="s">
        <v>26</v>
      </c>
      <c r="F2669" s="1">
        <v>72.0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1">
        <v>115.05</v>
      </c>
      <c r="T2669" s="1">
        <v>8405.0</v>
      </c>
      <c r="U2669" s="1">
        <v>0.0</v>
      </c>
      <c r="V2669" s="1">
        <v>0.0</v>
      </c>
      <c r="W2669" s="1" t="s">
        <v>26</v>
      </c>
    </row>
    <row r="2670" ht="15.75" customHeight="1">
      <c r="A2670" s="1" t="s">
        <v>2707</v>
      </c>
      <c r="B2670" s="1" t="s">
        <v>32</v>
      </c>
      <c r="C2670" s="1">
        <v>0.0</v>
      </c>
      <c r="D2670" s="1" t="s">
        <v>26</v>
      </c>
      <c r="E2670" s="1" t="s">
        <v>25</v>
      </c>
      <c r="F2670" s="1">
        <v>1.0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1">
        <v>19.75</v>
      </c>
      <c r="T2670" s="1">
        <v>19.75</v>
      </c>
      <c r="U2670" s="1">
        <v>0.0</v>
      </c>
      <c r="V2670" s="1">
        <v>0.0</v>
      </c>
      <c r="W2670" s="1" t="s">
        <v>25</v>
      </c>
    </row>
    <row r="2671" ht="15.75" customHeight="1">
      <c r="A2671" s="1" t="s">
        <v>2708</v>
      </c>
      <c r="B2671" s="1" t="s">
        <v>24</v>
      </c>
      <c r="C2671" s="1">
        <v>0.0</v>
      </c>
      <c r="D2671" s="1" t="s">
        <v>26</v>
      </c>
      <c r="E2671" s="1" t="s">
        <v>26</v>
      </c>
      <c r="F2671" s="1">
        <v>19.0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1">
        <v>95.15</v>
      </c>
      <c r="T2671" s="1">
        <v>1789.25</v>
      </c>
      <c r="U2671" s="1">
        <v>0.0</v>
      </c>
      <c r="V2671" s="1">
        <v>1.0</v>
      </c>
      <c r="W2671" s="1" t="s">
        <v>25</v>
      </c>
    </row>
    <row r="2672" ht="15.75" customHeight="1">
      <c r="A2672" s="1" t="s">
        <v>2709</v>
      </c>
      <c r="B2672" s="1" t="s">
        <v>24</v>
      </c>
      <c r="C2672" s="1">
        <v>0.0</v>
      </c>
      <c r="D2672" s="1" t="s">
        <v>25</v>
      </c>
      <c r="E2672" s="1" t="s">
        <v>25</v>
      </c>
      <c r="F2672" s="1">
        <v>51.0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1">
        <v>95.15</v>
      </c>
      <c r="T2672" s="1">
        <v>5000.05</v>
      </c>
      <c r="U2672" s="1">
        <v>0.0</v>
      </c>
      <c r="V2672" s="1">
        <v>0.0</v>
      </c>
      <c r="W2672" s="1" t="s">
        <v>26</v>
      </c>
    </row>
    <row r="2673" ht="15.75" customHeight="1">
      <c r="A2673" s="1" t="s">
        <v>2710</v>
      </c>
      <c r="B2673" s="1" t="s">
        <v>32</v>
      </c>
      <c r="C2673" s="1">
        <v>0.0</v>
      </c>
      <c r="D2673" s="1" t="s">
        <v>26</v>
      </c>
      <c r="E2673" s="1" t="s">
        <v>26</v>
      </c>
      <c r="F2673" s="1">
        <v>63.0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1">
        <v>105.4</v>
      </c>
      <c r="T2673" s="1">
        <v>6713.2</v>
      </c>
      <c r="U2673" s="1">
        <v>2.0</v>
      </c>
      <c r="V2673" s="1">
        <v>0.0</v>
      </c>
      <c r="W2673" s="1" t="s">
        <v>26</v>
      </c>
    </row>
    <row r="2674" ht="15.75" customHeight="1">
      <c r="A2674" s="1" t="s">
        <v>2711</v>
      </c>
      <c r="B2674" s="1" t="s">
        <v>32</v>
      </c>
      <c r="C2674" s="1">
        <v>0.0</v>
      </c>
      <c r="D2674" s="1" t="s">
        <v>26</v>
      </c>
      <c r="E2674" s="1" t="s">
        <v>26</v>
      </c>
      <c r="F2674" s="1">
        <v>27.0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1">
        <v>20.1</v>
      </c>
      <c r="T2674" s="1">
        <v>562.6</v>
      </c>
      <c r="U2674" s="1">
        <v>0.0</v>
      </c>
      <c r="V2674" s="1">
        <v>0.0</v>
      </c>
      <c r="W2674" s="1" t="s">
        <v>26</v>
      </c>
    </row>
    <row r="2675" ht="15.75" customHeight="1">
      <c r="A2675" s="1" t="s">
        <v>2712</v>
      </c>
      <c r="B2675" s="1" t="s">
        <v>32</v>
      </c>
      <c r="C2675" s="1">
        <v>0.0</v>
      </c>
      <c r="D2675" s="1" t="s">
        <v>26</v>
      </c>
      <c r="E2675" s="1" t="s">
        <v>26</v>
      </c>
      <c r="F2675" s="1">
        <v>22.0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1">
        <v>101.35</v>
      </c>
      <c r="T2675" s="1">
        <v>2317.1</v>
      </c>
      <c r="U2675" s="1">
        <v>0.0</v>
      </c>
      <c r="V2675" s="1">
        <v>2.0</v>
      </c>
      <c r="W2675" s="1" t="s">
        <v>25</v>
      </c>
    </row>
    <row r="2676" ht="15.75" customHeight="1">
      <c r="A2676" s="1" t="s">
        <v>2713</v>
      </c>
      <c r="B2676" s="1" t="s">
        <v>24</v>
      </c>
      <c r="C2676" s="1">
        <v>1.0</v>
      </c>
      <c r="D2676" s="1" t="s">
        <v>26</v>
      </c>
      <c r="E2676" s="1" t="s">
        <v>26</v>
      </c>
      <c r="F2676" s="1">
        <v>4.0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1">
        <v>20.05</v>
      </c>
      <c r="T2676" s="1">
        <v>91.45</v>
      </c>
      <c r="U2676" s="1">
        <v>0.0</v>
      </c>
      <c r="V2676" s="1">
        <v>0.0</v>
      </c>
      <c r="W2676" s="1" t="s">
        <v>26</v>
      </c>
    </row>
    <row r="2677" ht="15.75" customHeight="1">
      <c r="A2677" s="1" t="s">
        <v>2714</v>
      </c>
      <c r="B2677" s="1" t="s">
        <v>32</v>
      </c>
      <c r="C2677" s="1">
        <v>0.0</v>
      </c>
      <c r="D2677" s="1" t="s">
        <v>25</v>
      </c>
      <c r="E2677" s="1" t="s">
        <v>25</v>
      </c>
      <c r="F2677" s="1">
        <v>42.0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1">
        <v>20.7</v>
      </c>
      <c r="T2677" s="1">
        <v>828.85</v>
      </c>
      <c r="U2677" s="1">
        <v>5.0</v>
      </c>
      <c r="V2677" s="1">
        <v>0.0</v>
      </c>
      <c r="W2677" s="1" t="s">
        <v>26</v>
      </c>
    </row>
    <row r="2678" ht="15.75" customHeight="1">
      <c r="A2678" s="1" t="s">
        <v>2715</v>
      </c>
      <c r="B2678" s="1" t="s">
        <v>24</v>
      </c>
      <c r="C2678" s="1">
        <v>0.0</v>
      </c>
      <c r="D2678" s="1" t="s">
        <v>26</v>
      </c>
      <c r="E2678" s="1" t="s">
        <v>26</v>
      </c>
      <c r="F2678" s="1">
        <v>29.0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1">
        <v>20.35</v>
      </c>
      <c r="T2678" s="1">
        <v>617.35</v>
      </c>
      <c r="U2678" s="1">
        <v>2.0</v>
      </c>
      <c r="V2678" s="1">
        <v>0.0</v>
      </c>
      <c r="W2678" s="1" t="s">
        <v>26</v>
      </c>
    </row>
    <row r="2679" ht="15.75" customHeight="1">
      <c r="A2679" s="1" t="s">
        <v>2716</v>
      </c>
      <c r="B2679" s="1" t="s">
        <v>24</v>
      </c>
      <c r="C2679" s="1">
        <v>0.0</v>
      </c>
      <c r="D2679" s="1" t="s">
        <v>26</v>
      </c>
      <c r="E2679" s="1" t="s">
        <v>26</v>
      </c>
      <c r="F2679" s="1">
        <v>4.0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1">
        <v>70.05</v>
      </c>
      <c r="T2679" s="1">
        <v>266.9</v>
      </c>
      <c r="U2679" s="1">
        <v>0.0</v>
      </c>
      <c r="V2679" s="1">
        <v>0.0</v>
      </c>
      <c r="W2679" s="1" t="s">
        <v>25</v>
      </c>
    </row>
    <row r="2680" ht="15.75" customHeight="1">
      <c r="A2680" s="1" t="s">
        <v>2717</v>
      </c>
      <c r="B2680" s="1" t="s">
        <v>32</v>
      </c>
      <c r="C2680" s="1">
        <v>0.0</v>
      </c>
      <c r="D2680" s="1" t="s">
        <v>26</v>
      </c>
      <c r="E2680" s="1" t="s">
        <v>26</v>
      </c>
      <c r="F2680" s="1">
        <v>30.0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1">
        <v>19.7</v>
      </c>
      <c r="T2680" s="1">
        <v>625.05</v>
      </c>
      <c r="U2680" s="1">
        <v>0.0</v>
      </c>
      <c r="V2680" s="1">
        <v>0.0</v>
      </c>
      <c r="W2680" s="1" t="s">
        <v>26</v>
      </c>
    </row>
    <row r="2681" ht="15.75" customHeight="1">
      <c r="A2681" s="1" t="s">
        <v>2718</v>
      </c>
      <c r="B2681" s="1" t="s">
        <v>32</v>
      </c>
      <c r="C2681" s="1">
        <v>0.0</v>
      </c>
      <c r="D2681" s="1" t="s">
        <v>25</v>
      </c>
      <c r="E2681" s="1" t="s">
        <v>26</v>
      </c>
      <c r="F2681" s="1">
        <v>4.0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1">
        <v>74.65</v>
      </c>
      <c r="T2681" s="1">
        <v>301.4</v>
      </c>
      <c r="U2681" s="1">
        <v>0.0</v>
      </c>
      <c r="V2681" s="1">
        <v>0.0</v>
      </c>
      <c r="W2681" s="1" t="s">
        <v>25</v>
      </c>
    </row>
    <row r="2682" ht="15.75" customHeight="1">
      <c r="A2682" s="1" t="s">
        <v>2719</v>
      </c>
      <c r="B2682" s="1" t="s">
        <v>32</v>
      </c>
      <c r="C2682" s="1">
        <v>0.0</v>
      </c>
      <c r="D2682" s="1" t="s">
        <v>25</v>
      </c>
      <c r="E2682" s="1" t="s">
        <v>25</v>
      </c>
      <c r="F2682" s="1">
        <v>71.0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1">
        <v>85.45</v>
      </c>
      <c r="T2682" s="1">
        <v>6029.9</v>
      </c>
      <c r="U2682" s="1">
        <v>5.0</v>
      </c>
      <c r="V2682" s="1">
        <v>0.0</v>
      </c>
      <c r="W2682" s="1" t="s">
        <v>26</v>
      </c>
    </row>
    <row r="2683" ht="15.75" customHeight="1">
      <c r="A2683" s="1" t="s">
        <v>2720</v>
      </c>
      <c r="B2683" s="1" t="s">
        <v>32</v>
      </c>
      <c r="C2683" s="1">
        <v>0.0</v>
      </c>
      <c r="D2683" s="1" t="s">
        <v>25</v>
      </c>
      <c r="E2683" s="1" t="s">
        <v>26</v>
      </c>
      <c r="F2683" s="1">
        <v>46.0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1">
        <v>40.4</v>
      </c>
      <c r="T2683" s="1">
        <v>1842.7</v>
      </c>
      <c r="U2683" s="1">
        <v>0.0</v>
      </c>
      <c r="V2683" s="1">
        <v>0.0</v>
      </c>
      <c r="W2683" s="1" t="s">
        <v>26</v>
      </c>
    </row>
    <row r="2684" ht="15.75" customHeight="1">
      <c r="A2684" s="1" t="s">
        <v>2721</v>
      </c>
      <c r="B2684" s="1" t="s">
        <v>32</v>
      </c>
      <c r="C2684" s="1">
        <v>0.0</v>
      </c>
      <c r="D2684" s="1" t="s">
        <v>26</v>
      </c>
      <c r="E2684" s="1" t="s">
        <v>26</v>
      </c>
      <c r="F2684" s="1">
        <v>4.0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1">
        <v>50.4</v>
      </c>
      <c r="T2684" s="1">
        <v>206.6</v>
      </c>
      <c r="U2684" s="1">
        <v>0.0</v>
      </c>
      <c r="V2684" s="1">
        <v>0.0</v>
      </c>
      <c r="W2684" s="1" t="s">
        <v>25</v>
      </c>
    </row>
    <row r="2685" ht="15.75" customHeight="1">
      <c r="A2685" s="1" t="s">
        <v>2722</v>
      </c>
      <c r="B2685" s="1" t="s">
        <v>24</v>
      </c>
      <c r="C2685" s="1">
        <v>0.0</v>
      </c>
      <c r="D2685" s="1" t="s">
        <v>26</v>
      </c>
      <c r="E2685" s="1" t="s">
        <v>26</v>
      </c>
      <c r="F2685" s="1">
        <v>7.0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1">
        <v>79.65</v>
      </c>
      <c r="T2685" s="1">
        <v>604.7</v>
      </c>
      <c r="U2685" s="1">
        <v>5.0</v>
      </c>
      <c r="V2685" s="1">
        <v>0.0</v>
      </c>
      <c r="W2685" s="1" t="s">
        <v>25</v>
      </c>
    </row>
    <row r="2686" ht="15.75" customHeight="1">
      <c r="A2686" s="1" t="s">
        <v>2723</v>
      </c>
      <c r="B2686" s="1" t="s">
        <v>32</v>
      </c>
      <c r="C2686" s="1">
        <v>0.0</v>
      </c>
      <c r="D2686" s="1" t="s">
        <v>26</v>
      </c>
      <c r="E2686" s="1" t="s">
        <v>26</v>
      </c>
      <c r="F2686" s="1">
        <v>69.0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1">
        <v>105.2</v>
      </c>
      <c r="T2686" s="1">
        <v>7386.05</v>
      </c>
      <c r="U2686" s="1">
        <v>4.0</v>
      </c>
      <c r="V2686" s="1">
        <v>0.0</v>
      </c>
      <c r="W2686" s="1" t="s">
        <v>26</v>
      </c>
    </row>
    <row r="2687" ht="15.75" customHeight="1">
      <c r="A2687" s="1" t="s">
        <v>2724</v>
      </c>
      <c r="B2687" s="1" t="s">
        <v>24</v>
      </c>
      <c r="C2687" s="1">
        <v>0.0</v>
      </c>
      <c r="D2687" s="1" t="s">
        <v>25</v>
      </c>
      <c r="E2687" s="1" t="s">
        <v>26</v>
      </c>
      <c r="F2687" s="1">
        <v>72.0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1">
        <v>100.65</v>
      </c>
      <c r="T2687" s="1">
        <v>7334.05</v>
      </c>
      <c r="U2687" s="1">
        <v>5.0</v>
      </c>
      <c r="V2687" s="1">
        <v>0.0</v>
      </c>
      <c r="W2687" s="1" t="s">
        <v>26</v>
      </c>
    </row>
    <row r="2688" ht="15.75" customHeight="1">
      <c r="A2688" s="1" t="s">
        <v>2725</v>
      </c>
      <c r="B2688" s="1" t="s">
        <v>32</v>
      </c>
      <c r="C2688" s="1">
        <v>1.0</v>
      </c>
      <c r="D2688" s="1" t="s">
        <v>26</v>
      </c>
      <c r="E2688" s="1" t="s">
        <v>26</v>
      </c>
      <c r="F2688" s="1">
        <v>19.0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1">
        <v>79.85</v>
      </c>
      <c r="T2688" s="1">
        <v>1471.75</v>
      </c>
      <c r="U2688" s="1">
        <v>0.0</v>
      </c>
      <c r="V2688" s="1">
        <v>0.0</v>
      </c>
      <c r="W2688" s="1" t="s">
        <v>25</v>
      </c>
    </row>
    <row r="2689" ht="15.75" customHeight="1">
      <c r="A2689" s="1" t="s">
        <v>2726</v>
      </c>
      <c r="B2689" s="1" t="s">
        <v>32</v>
      </c>
      <c r="C2689" s="1">
        <v>0.0</v>
      </c>
      <c r="D2689" s="1" t="s">
        <v>26</v>
      </c>
      <c r="E2689" s="1" t="s">
        <v>26</v>
      </c>
      <c r="F2689" s="1">
        <v>28.0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1">
        <v>91.0</v>
      </c>
      <c r="T2689" s="1">
        <v>2626.15</v>
      </c>
      <c r="U2689" s="1">
        <v>4.0</v>
      </c>
      <c r="V2689" s="1">
        <v>0.0</v>
      </c>
      <c r="W2689" s="1" t="s">
        <v>26</v>
      </c>
    </row>
    <row r="2690" ht="15.75" customHeight="1">
      <c r="A2690" s="1" t="s">
        <v>2727</v>
      </c>
      <c r="B2690" s="1" t="s">
        <v>32</v>
      </c>
      <c r="C2690" s="1">
        <v>0.0</v>
      </c>
      <c r="D2690" s="1" t="s">
        <v>25</v>
      </c>
      <c r="E2690" s="1" t="s">
        <v>26</v>
      </c>
      <c r="F2690" s="1">
        <v>5.0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1">
        <v>78.75</v>
      </c>
      <c r="T2690" s="1">
        <v>412.1</v>
      </c>
      <c r="U2690" s="1">
        <v>0.0</v>
      </c>
      <c r="V2690" s="1">
        <v>0.0</v>
      </c>
      <c r="W2690" s="1" t="s">
        <v>25</v>
      </c>
    </row>
    <row r="2691" ht="15.75" customHeight="1">
      <c r="A2691" s="1" t="s">
        <v>2728</v>
      </c>
      <c r="B2691" s="1" t="s">
        <v>24</v>
      </c>
      <c r="C2691" s="1">
        <v>1.0</v>
      </c>
      <c r="D2691" s="1" t="s">
        <v>25</v>
      </c>
      <c r="E2691" s="1" t="s">
        <v>26</v>
      </c>
      <c r="F2691" s="1">
        <v>72.0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1">
        <v>116.75</v>
      </c>
      <c r="T2691" s="1">
        <v>8277.05</v>
      </c>
      <c r="U2691" s="1">
        <v>3.0</v>
      </c>
      <c r="V2691" s="1">
        <v>0.0</v>
      </c>
      <c r="W2691" s="1" t="s">
        <v>26</v>
      </c>
    </row>
    <row r="2692" ht="15.75" customHeight="1">
      <c r="A2692" s="1" t="s">
        <v>2729</v>
      </c>
      <c r="B2692" s="1" t="s">
        <v>32</v>
      </c>
      <c r="C2692" s="1">
        <v>1.0</v>
      </c>
      <c r="D2692" s="1" t="s">
        <v>25</v>
      </c>
      <c r="E2692" s="1" t="s">
        <v>25</v>
      </c>
      <c r="F2692" s="1">
        <v>8.0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1">
        <v>80.45</v>
      </c>
      <c r="T2692" s="1">
        <v>583.45</v>
      </c>
      <c r="U2692" s="1">
        <v>0.0</v>
      </c>
      <c r="V2692" s="1">
        <v>0.0</v>
      </c>
      <c r="W2692" s="1" t="s">
        <v>25</v>
      </c>
    </row>
    <row r="2693" ht="15.75" customHeight="1">
      <c r="A2693" s="1" t="s">
        <v>2730</v>
      </c>
      <c r="B2693" s="1" t="s">
        <v>24</v>
      </c>
      <c r="C2693" s="1">
        <v>0.0</v>
      </c>
      <c r="D2693" s="1" t="s">
        <v>26</v>
      </c>
      <c r="E2693" s="1" t="s">
        <v>26</v>
      </c>
      <c r="F2693" s="1">
        <v>7.0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1">
        <v>59.1</v>
      </c>
      <c r="T2693" s="1">
        <v>369.25</v>
      </c>
      <c r="U2693" s="1">
        <v>0.0</v>
      </c>
      <c r="V2693" s="1">
        <v>0.0</v>
      </c>
      <c r="W2693" s="1" t="s">
        <v>26</v>
      </c>
    </row>
    <row r="2694" ht="15.75" customHeight="1">
      <c r="A2694" s="1" t="s">
        <v>2731</v>
      </c>
      <c r="B2694" s="1" t="s">
        <v>24</v>
      </c>
      <c r="C2694" s="1">
        <v>0.0</v>
      </c>
      <c r="D2694" s="1" t="s">
        <v>26</v>
      </c>
      <c r="E2694" s="1" t="s">
        <v>26</v>
      </c>
      <c r="F2694" s="1">
        <v>22.0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1">
        <v>49.8</v>
      </c>
      <c r="T2694" s="1">
        <v>1049.05</v>
      </c>
      <c r="U2694" s="1">
        <v>0.0</v>
      </c>
      <c r="V2694" s="1">
        <v>0.0</v>
      </c>
      <c r="W2694" s="1" t="s">
        <v>26</v>
      </c>
    </row>
    <row r="2695" ht="15.75" customHeight="1">
      <c r="A2695" s="1" t="s">
        <v>2732</v>
      </c>
      <c r="B2695" s="1" t="s">
        <v>32</v>
      </c>
      <c r="C2695" s="1">
        <v>0.0</v>
      </c>
      <c r="D2695" s="1" t="s">
        <v>26</v>
      </c>
      <c r="E2695" s="1" t="s">
        <v>26</v>
      </c>
      <c r="F2695" s="1">
        <v>72.0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1">
        <v>19.3</v>
      </c>
      <c r="T2695" s="1">
        <v>1414.8</v>
      </c>
      <c r="U2695" s="1">
        <v>0.0</v>
      </c>
      <c r="V2695" s="1">
        <v>0.0</v>
      </c>
      <c r="W2695" s="1" t="s">
        <v>26</v>
      </c>
    </row>
    <row r="2696" ht="15.75" customHeight="1">
      <c r="A2696" s="1" t="s">
        <v>2733</v>
      </c>
      <c r="B2696" s="1" t="s">
        <v>32</v>
      </c>
      <c r="C2696" s="1">
        <v>0.0</v>
      </c>
      <c r="D2696" s="1" t="s">
        <v>25</v>
      </c>
      <c r="E2696" s="1" t="s">
        <v>25</v>
      </c>
      <c r="F2696" s="1">
        <v>8.0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1">
        <v>19.65</v>
      </c>
      <c r="T2696" s="1">
        <v>169.75</v>
      </c>
      <c r="U2696" s="1">
        <v>2.0</v>
      </c>
      <c r="V2696" s="1">
        <v>0.0</v>
      </c>
      <c r="W2696" s="1" t="s">
        <v>26</v>
      </c>
    </row>
    <row r="2697" ht="15.75" customHeight="1">
      <c r="A2697" s="1" t="s">
        <v>2734</v>
      </c>
      <c r="B2697" s="1" t="s">
        <v>32</v>
      </c>
      <c r="C2697" s="1">
        <v>0.0</v>
      </c>
      <c r="D2697" s="1" t="s">
        <v>25</v>
      </c>
      <c r="E2697" s="1" t="s">
        <v>26</v>
      </c>
      <c r="F2697" s="1">
        <v>52.0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1">
        <v>81.4</v>
      </c>
      <c r="T2697" s="1">
        <v>4354.45</v>
      </c>
      <c r="U2697" s="1">
        <v>0.0</v>
      </c>
      <c r="V2697" s="1">
        <v>0.0</v>
      </c>
      <c r="W2697" s="1" t="s">
        <v>26</v>
      </c>
    </row>
    <row r="2698" ht="15.75" customHeight="1">
      <c r="A2698" s="1" t="s">
        <v>2735</v>
      </c>
      <c r="B2698" s="1" t="s">
        <v>24</v>
      </c>
      <c r="C2698" s="1">
        <v>0.0</v>
      </c>
      <c r="D2698" s="1" t="s">
        <v>26</v>
      </c>
      <c r="E2698" s="1" t="s">
        <v>26</v>
      </c>
      <c r="F2698" s="1">
        <v>68.0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1">
        <v>38.9</v>
      </c>
      <c r="T2698" s="1">
        <v>2719.2</v>
      </c>
      <c r="U2698" s="1">
        <v>0.0</v>
      </c>
      <c r="V2698" s="1">
        <v>0.0</v>
      </c>
      <c r="W2698" s="1" t="s">
        <v>26</v>
      </c>
    </row>
    <row r="2699" ht="15.75" customHeight="1">
      <c r="A2699" s="1" t="s">
        <v>2736</v>
      </c>
      <c r="B2699" s="1" t="s">
        <v>24</v>
      </c>
      <c r="C2699" s="1">
        <v>0.0</v>
      </c>
      <c r="D2699" s="1" t="s">
        <v>25</v>
      </c>
      <c r="E2699" s="1" t="s">
        <v>26</v>
      </c>
      <c r="F2699" s="1">
        <v>71.0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1">
        <v>87.95</v>
      </c>
      <c r="T2699" s="1">
        <v>6365.35</v>
      </c>
      <c r="U2699" s="1">
        <v>0.0</v>
      </c>
      <c r="V2699" s="1">
        <v>0.0</v>
      </c>
      <c r="W2699" s="1" t="s">
        <v>26</v>
      </c>
    </row>
    <row r="2700" ht="15.75" customHeight="1">
      <c r="A2700" s="1" t="s">
        <v>2737</v>
      </c>
      <c r="B2700" s="1" t="s">
        <v>32</v>
      </c>
      <c r="C2700" s="1">
        <v>0.0</v>
      </c>
      <c r="D2700" s="1" t="s">
        <v>26</v>
      </c>
      <c r="E2700" s="1" t="s">
        <v>26</v>
      </c>
      <c r="F2700" s="1">
        <v>2.0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1">
        <v>19.85</v>
      </c>
      <c r="T2700" s="1">
        <v>51.6</v>
      </c>
      <c r="U2700" s="1">
        <v>0.0</v>
      </c>
      <c r="V2700" s="1">
        <v>0.0</v>
      </c>
      <c r="W2700" s="1" t="s">
        <v>26</v>
      </c>
    </row>
    <row r="2701" ht="15.75" customHeight="1">
      <c r="A2701" s="1" t="s">
        <v>2738</v>
      </c>
      <c r="B2701" s="1" t="s">
        <v>24</v>
      </c>
      <c r="C2701" s="1">
        <v>1.0</v>
      </c>
      <c r="D2701" s="1" t="s">
        <v>26</v>
      </c>
      <c r="E2701" s="1" t="s">
        <v>26</v>
      </c>
      <c r="F2701" s="1">
        <v>34.0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1">
        <v>96.35</v>
      </c>
      <c r="T2701" s="1">
        <v>3190.25</v>
      </c>
      <c r="U2701" s="1">
        <v>0.0</v>
      </c>
      <c r="V2701" s="1">
        <v>0.0</v>
      </c>
      <c r="W2701" s="1" t="s">
        <v>26</v>
      </c>
    </row>
    <row r="2702" ht="15.75" customHeight="1">
      <c r="A2702" s="1" t="s">
        <v>2739</v>
      </c>
      <c r="B2702" s="1" t="s">
        <v>24</v>
      </c>
      <c r="C2702" s="1">
        <v>0.0</v>
      </c>
      <c r="D2702" s="1" t="s">
        <v>26</v>
      </c>
      <c r="E2702" s="1" t="s">
        <v>26</v>
      </c>
      <c r="F2702" s="1">
        <v>35.0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1">
        <v>24.15</v>
      </c>
      <c r="T2702" s="1">
        <v>812.5</v>
      </c>
      <c r="U2702" s="1">
        <v>0.0</v>
      </c>
      <c r="V2702" s="1">
        <v>0.0</v>
      </c>
      <c r="W2702" s="1" t="s">
        <v>26</v>
      </c>
    </row>
    <row r="2703" ht="15.75" customHeight="1">
      <c r="A2703" s="1" t="s">
        <v>2740</v>
      </c>
      <c r="B2703" s="1" t="s">
        <v>24</v>
      </c>
      <c r="C2703" s="1">
        <v>0.0</v>
      </c>
      <c r="D2703" s="1" t="s">
        <v>25</v>
      </c>
      <c r="E2703" s="1" t="s">
        <v>25</v>
      </c>
      <c r="F2703" s="1">
        <v>61.0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1">
        <v>19.1</v>
      </c>
      <c r="T2703" s="1">
        <v>1143.8</v>
      </c>
      <c r="U2703" s="1">
        <v>0.0</v>
      </c>
      <c r="V2703" s="1">
        <v>0.0</v>
      </c>
      <c r="W2703" s="1" t="s">
        <v>26</v>
      </c>
    </row>
    <row r="2704" ht="15.75" customHeight="1">
      <c r="A2704" s="1" t="s">
        <v>2741</v>
      </c>
      <c r="B2704" s="1" t="s">
        <v>32</v>
      </c>
      <c r="C2704" s="1">
        <v>0.0</v>
      </c>
      <c r="D2704" s="1" t="s">
        <v>26</v>
      </c>
      <c r="E2704" s="1" t="s">
        <v>26</v>
      </c>
      <c r="F2704" s="1">
        <v>1.0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1">
        <v>44.0</v>
      </c>
      <c r="T2704" s="1">
        <v>44.0</v>
      </c>
      <c r="U2704" s="1">
        <v>1.0</v>
      </c>
      <c r="V2704" s="1">
        <v>0.0</v>
      </c>
      <c r="W2704" s="1" t="s">
        <v>26</v>
      </c>
    </row>
    <row r="2705" ht="15.75" customHeight="1">
      <c r="A2705" s="1" t="s">
        <v>2742</v>
      </c>
      <c r="B2705" s="1" t="s">
        <v>24</v>
      </c>
      <c r="C2705" s="1">
        <v>0.0</v>
      </c>
      <c r="D2705" s="1" t="s">
        <v>26</v>
      </c>
      <c r="E2705" s="1" t="s">
        <v>26</v>
      </c>
      <c r="F2705" s="1">
        <v>1.0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1">
        <v>50.1</v>
      </c>
      <c r="T2705" s="1">
        <v>50.1</v>
      </c>
      <c r="U2705" s="1">
        <v>0.0</v>
      </c>
      <c r="V2705" s="1">
        <v>0.0</v>
      </c>
      <c r="W2705" s="1" t="s">
        <v>25</v>
      </c>
    </row>
    <row r="2706" ht="15.75" customHeight="1">
      <c r="A2706" s="1" t="s">
        <v>2743</v>
      </c>
      <c r="B2706" s="1" t="s">
        <v>24</v>
      </c>
      <c r="C2706" s="1">
        <v>0.0</v>
      </c>
      <c r="D2706" s="1" t="s">
        <v>25</v>
      </c>
      <c r="E2706" s="1" t="s">
        <v>25</v>
      </c>
      <c r="F2706" s="1">
        <v>53.0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1">
        <v>60.6</v>
      </c>
      <c r="T2706" s="1">
        <v>3297.0</v>
      </c>
      <c r="U2706" s="1">
        <v>0.0</v>
      </c>
      <c r="V2706" s="1">
        <v>0.0</v>
      </c>
      <c r="W2706" s="1" t="s">
        <v>26</v>
      </c>
    </row>
    <row r="2707" ht="15.75" customHeight="1">
      <c r="A2707" s="1" t="s">
        <v>2744</v>
      </c>
      <c r="B2707" s="1" t="s">
        <v>24</v>
      </c>
      <c r="C2707" s="1">
        <v>0.0</v>
      </c>
      <c r="D2707" s="1" t="s">
        <v>25</v>
      </c>
      <c r="E2707" s="1" t="s">
        <v>26</v>
      </c>
      <c r="F2707" s="1">
        <v>72.0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1">
        <v>25.65</v>
      </c>
      <c r="T2707" s="1">
        <v>1887.0</v>
      </c>
      <c r="U2707" s="1">
        <v>0.0</v>
      </c>
      <c r="V2707" s="1">
        <v>0.0</v>
      </c>
      <c r="W2707" s="1" t="s">
        <v>26</v>
      </c>
    </row>
    <row r="2708" ht="15.75" customHeight="1">
      <c r="A2708" s="1" t="s">
        <v>2745</v>
      </c>
      <c r="B2708" s="1" t="s">
        <v>32</v>
      </c>
      <c r="C2708" s="1">
        <v>0.0</v>
      </c>
      <c r="D2708" s="1" t="s">
        <v>25</v>
      </c>
      <c r="E2708" s="1" t="s">
        <v>26</v>
      </c>
      <c r="F2708" s="1">
        <v>2.0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1">
        <v>76.4</v>
      </c>
      <c r="T2708" s="1">
        <v>151.8</v>
      </c>
      <c r="U2708" s="1">
        <v>1.0</v>
      </c>
      <c r="V2708" s="1">
        <v>0.0</v>
      </c>
      <c r="W2708" s="1" t="s">
        <v>25</v>
      </c>
    </row>
    <row r="2709" ht="15.75" customHeight="1">
      <c r="A2709" s="1" t="s">
        <v>2746</v>
      </c>
      <c r="B2709" s="1" t="s">
        <v>32</v>
      </c>
      <c r="C2709" s="1">
        <v>0.0</v>
      </c>
      <c r="D2709" s="1" t="s">
        <v>26</v>
      </c>
      <c r="E2709" s="1" t="s">
        <v>26</v>
      </c>
      <c r="F2709" s="1">
        <v>3.0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1">
        <v>98.7</v>
      </c>
      <c r="T2709" s="1">
        <v>293.65</v>
      </c>
      <c r="U2709" s="1">
        <v>0.0</v>
      </c>
      <c r="V2709" s="1">
        <v>0.0</v>
      </c>
      <c r="W2709" s="1" t="s">
        <v>25</v>
      </c>
    </row>
    <row r="2710" ht="15.75" customHeight="1">
      <c r="A2710" s="1" t="s">
        <v>2747</v>
      </c>
      <c r="B2710" s="1" t="s">
        <v>24</v>
      </c>
      <c r="C2710" s="1">
        <v>1.0</v>
      </c>
      <c r="D2710" s="1" t="s">
        <v>26</v>
      </c>
      <c r="E2710" s="1" t="s">
        <v>26</v>
      </c>
      <c r="F2710" s="1">
        <v>13.0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1">
        <v>100.8</v>
      </c>
      <c r="T2710" s="1">
        <v>1308.1</v>
      </c>
      <c r="U2710" s="1">
        <v>5.0</v>
      </c>
      <c r="V2710" s="1">
        <v>1.0</v>
      </c>
      <c r="W2710" s="1" t="s">
        <v>25</v>
      </c>
    </row>
    <row r="2711" ht="15.75" customHeight="1">
      <c r="A2711" s="1" t="s">
        <v>2748</v>
      </c>
      <c r="B2711" s="1" t="s">
        <v>32</v>
      </c>
      <c r="C2711" s="1">
        <v>1.0</v>
      </c>
      <c r="D2711" s="1" t="s">
        <v>25</v>
      </c>
      <c r="E2711" s="1" t="s">
        <v>26</v>
      </c>
      <c r="F2711" s="1">
        <v>41.0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1">
        <v>53.95</v>
      </c>
      <c r="T2711" s="1">
        <v>2215.4</v>
      </c>
      <c r="U2711" s="1">
        <v>4.0</v>
      </c>
      <c r="V2711" s="1">
        <v>0.0</v>
      </c>
      <c r="W2711" s="1" t="s">
        <v>26</v>
      </c>
    </row>
    <row r="2712" ht="15.75" customHeight="1">
      <c r="A2712" s="1" t="s">
        <v>2749</v>
      </c>
      <c r="B2712" s="1" t="s">
        <v>24</v>
      </c>
      <c r="C2712" s="1">
        <v>0.0</v>
      </c>
      <c r="D2712" s="1" t="s">
        <v>25</v>
      </c>
      <c r="E2712" s="1" t="s">
        <v>26</v>
      </c>
      <c r="F2712" s="1">
        <v>24.0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1">
        <v>20.4</v>
      </c>
      <c r="T2712" s="1">
        <v>482.8</v>
      </c>
      <c r="U2712" s="1">
        <v>0.0</v>
      </c>
      <c r="V2712" s="1">
        <v>0.0</v>
      </c>
      <c r="W2712" s="1" t="s">
        <v>26</v>
      </c>
    </row>
    <row r="2713" ht="15.75" customHeight="1">
      <c r="A2713" s="1" t="s">
        <v>2750</v>
      </c>
      <c r="B2713" s="1" t="s">
        <v>24</v>
      </c>
      <c r="C2713" s="1">
        <v>0.0</v>
      </c>
      <c r="D2713" s="1" t="s">
        <v>25</v>
      </c>
      <c r="E2713" s="1" t="s">
        <v>25</v>
      </c>
      <c r="F2713" s="1">
        <v>28.0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1">
        <v>90.1</v>
      </c>
      <c r="T2713" s="1">
        <v>2598.95</v>
      </c>
      <c r="U2713" s="1">
        <v>0.0</v>
      </c>
      <c r="V2713" s="1">
        <v>2.0</v>
      </c>
      <c r="W2713" s="1" t="s">
        <v>25</v>
      </c>
    </row>
    <row r="2714" ht="15.75" customHeight="1">
      <c r="A2714" s="1" t="s">
        <v>2751</v>
      </c>
      <c r="B2714" s="1" t="s">
        <v>32</v>
      </c>
      <c r="C2714" s="1">
        <v>0.0</v>
      </c>
      <c r="D2714" s="1" t="s">
        <v>26</v>
      </c>
      <c r="E2714" s="1" t="s">
        <v>26</v>
      </c>
      <c r="F2714" s="1">
        <v>8.0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1">
        <v>29.35</v>
      </c>
      <c r="T2714" s="1">
        <v>216.45</v>
      </c>
      <c r="U2714" s="1">
        <v>0.0</v>
      </c>
      <c r="V2714" s="1">
        <v>0.0</v>
      </c>
      <c r="W2714" s="1" t="s">
        <v>26</v>
      </c>
    </row>
    <row r="2715" ht="15.75" customHeight="1">
      <c r="A2715" s="1" t="s">
        <v>2752</v>
      </c>
      <c r="B2715" s="1" t="s">
        <v>32</v>
      </c>
      <c r="C2715" s="1">
        <v>0.0</v>
      </c>
      <c r="D2715" s="1" t="s">
        <v>26</v>
      </c>
      <c r="E2715" s="1" t="s">
        <v>26</v>
      </c>
      <c r="F2715" s="1">
        <v>1.0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1">
        <v>20.45</v>
      </c>
      <c r="T2715" s="1">
        <v>20.45</v>
      </c>
      <c r="U2715" s="1">
        <v>0.0</v>
      </c>
      <c r="V2715" s="1">
        <v>0.0</v>
      </c>
      <c r="W2715" s="1" t="s">
        <v>26</v>
      </c>
    </row>
    <row r="2716" ht="15.75" customHeight="1">
      <c r="A2716" s="1" t="s">
        <v>2753</v>
      </c>
      <c r="B2716" s="1" t="s">
        <v>24</v>
      </c>
      <c r="C2716" s="1">
        <v>0.0</v>
      </c>
      <c r="D2716" s="1" t="s">
        <v>26</v>
      </c>
      <c r="E2716" s="1" t="s">
        <v>26</v>
      </c>
      <c r="F2716" s="1">
        <v>54.0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1">
        <v>95.1</v>
      </c>
      <c r="T2716" s="1">
        <v>5064.85</v>
      </c>
      <c r="U2716" s="1">
        <v>0.0</v>
      </c>
      <c r="V2716" s="1">
        <v>0.0</v>
      </c>
      <c r="W2716" s="1" t="s">
        <v>26</v>
      </c>
    </row>
    <row r="2717" ht="15.75" customHeight="1">
      <c r="A2717" s="1" t="s">
        <v>2754</v>
      </c>
      <c r="B2717" s="1" t="s">
        <v>32</v>
      </c>
      <c r="C2717" s="1">
        <v>0.0</v>
      </c>
      <c r="D2717" s="1" t="s">
        <v>26</v>
      </c>
      <c r="E2717" s="1" t="s">
        <v>26</v>
      </c>
      <c r="F2717" s="1">
        <v>41.0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1">
        <v>25.25</v>
      </c>
      <c r="T2717" s="1">
        <v>996.45</v>
      </c>
      <c r="U2717" s="1">
        <v>4.0</v>
      </c>
      <c r="V2717" s="1">
        <v>0.0</v>
      </c>
      <c r="W2717" s="1" t="s">
        <v>26</v>
      </c>
    </row>
    <row r="2718" ht="15.75" customHeight="1">
      <c r="A2718" s="1" t="s">
        <v>2755</v>
      </c>
      <c r="B2718" s="1" t="s">
        <v>24</v>
      </c>
      <c r="C2718" s="1">
        <v>0.0</v>
      </c>
      <c r="D2718" s="1" t="s">
        <v>25</v>
      </c>
      <c r="E2718" s="1" t="s">
        <v>26</v>
      </c>
      <c r="F2718" s="1">
        <v>19.0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1">
        <v>44.9</v>
      </c>
      <c r="T2718" s="1">
        <v>839.65</v>
      </c>
      <c r="U2718" s="1">
        <v>0.0</v>
      </c>
      <c r="V2718" s="1">
        <v>0.0</v>
      </c>
      <c r="W2718" s="1" t="s">
        <v>26</v>
      </c>
    </row>
    <row r="2719" ht="15.75" customHeight="1">
      <c r="A2719" s="1" t="s">
        <v>2756</v>
      </c>
      <c r="B2719" s="1" t="s">
        <v>24</v>
      </c>
      <c r="C2719" s="1">
        <v>0.0</v>
      </c>
      <c r="D2719" s="1" t="s">
        <v>25</v>
      </c>
      <c r="E2719" s="1" t="s">
        <v>25</v>
      </c>
      <c r="F2719" s="1">
        <v>72.0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1">
        <v>92.65</v>
      </c>
      <c r="T2719" s="1">
        <v>6733.0</v>
      </c>
      <c r="U2719" s="1">
        <v>0.0</v>
      </c>
      <c r="V2719" s="1">
        <v>0.0</v>
      </c>
      <c r="W2719" s="1" t="s">
        <v>26</v>
      </c>
    </row>
    <row r="2720" ht="15.75" customHeight="1">
      <c r="A2720" s="1" t="s">
        <v>2757</v>
      </c>
      <c r="B2720" s="1" t="s">
        <v>32</v>
      </c>
      <c r="C2720" s="1">
        <v>0.0</v>
      </c>
      <c r="D2720" s="1" t="s">
        <v>26</v>
      </c>
      <c r="E2720" s="1" t="s">
        <v>26</v>
      </c>
      <c r="F2720" s="1">
        <v>62.0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1">
        <v>43.7</v>
      </c>
      <c r="T2720" s="1">
        <v>2618.3</v>
      </c>
      <c r="U2720" s="1">
        <v>0.0</v>
      </c>
      <c r="V2720" s="1">
        <v>0.0</v>
      </c>
      <c r="W2720" s="1" t="s">
        <v>26</v>
      </c>
    </row>
    <row r="2721" ht="15.75" customHeight="1">
      <c r="A2721" s="1" t="s">
        <v>2758</v>
      </c>
      <c r="B2721" s="1" t="s">
        <v>24</v>
      </c>
      <c r="C2721" s="1">
        <v>1.0</v>
      </c>
      <c r="D2721" s="1" t="s">
        <v>25</v>
      </c>
      <c r="E2721" s="1" t="s">
        <v>25</v>
      </c>
      <c r="F2721" s="1">
        <v>56.0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1">
        <v>72.6</v>
      </c>
      <c r="T2721" s="1">
        <v>4084.35</v>
      </c>
      <c r="U2721" s="1">
        <v>0.0</v>
      </c>
      <c r="V2721" s="1">
        <v>0.0</v>
      </c>
      <c r="W2721" s="1" t="s">
        <v>26</v>
      </c>
    </row>
    <row r="2722" ht="15.75" customHeight="1">
      <c r="A2722" s="1" t="s">
        <v>2759</v>
      </c>
      <c r="B2722" s="1" t="s">
        <v>32</v>
      </c>
      <c r="C2722" s="1">
        <v>0.0</v>
      </c>
      <c r="D2722" s="1" t="s">
        <v>26</v>
      </c>
      <c r="E2722" s="1" t="s">
        <v>26</v>
      </c>
      <c r="F2722" s="1">
        <v>15.0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1">
        <v>51.55</v>
      </c>
      <c r="T2722" s="1">
        <v>765.5</v>
      </c>
      <c r="U2722" s="1">
        <v>0.0</v>
      </c>
      <c r="V2722" s="1">
        <v>0.0</v>
      </c>
      <c r="W2722" s="1" t="s">
        <v>25</v>
      </c>
    </row>
    <row r="2723" ht="15.75" customHeight="1">
      <c r="A2723" s="1" t="s">
        <v>2760</v>
      </c>
      <c r="B2723" s="1" t="s">
        <v>32</v>
      </c>
      <c r="C2723" s="1">
        <v>1.0</v>
      </c>
      <c r="D2723" s="1" t="s">
        <v>26</v>
      </c>
      <c r="E2723" s="1" t="s">
        <v>26</v>
      </c>
      <c r="F2723" s="1">
        <v>10.0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1">
        <v>79.25</v>
      </c>
      <c r="T2723" s="1">
        <v>793.55</v>
      </c>
      <c r="U2723" s="1">
        <v>0.0</v>
      </c>
      <c r="V2723" s="1">
        <v>0.0</v>
      </c>
      <c r="W2723" s="1" t="s">
        <v>25</v>
      </c>
    </row>
    <row r="2724" ht="15.75" customHeight="1">
      <c r="A2724" s="1" t="s">
        <v>2761</v>
      </c>
      <c r="B2724" s="1" t="s">
        <v>32</v>
      </c>
      <c r="C2724" s="1">
        <v>0.0</v>
      </c>
      <c r="D2724" s="1" t="s">
        <v>25</v>
      </c>
      <c r="E2724" s="1" t="s">
        <v>25</v>
      </c>
      <c r="F2724" s="1">
        <v>32.0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1">
        <v>18.95</v>
      </c>
      <c r="T2724" s="1">
        <v>613.95</v>
      </c>
      <c r="U2724" s="1">
        <v>0.0</v>
      </c>
      <c r="V2724" s="1">
        <v>0.0</v>
      </c>
      <c r="W2724" s="1" t="s">
        <v>26</v>
      </c>
    </row>
    <row r="2725" ht="15.75" customHeight="1">
      <c r="A2725" s="1" t="s">
        <v>2762</v>
      </c>
      <c r="B2725" s="1" t="s">
        <v>32</v>
      </c>
      <c r="C2725" s="1">
        <v>0.0</v>
      </c>
      <c r="D2725" s="1" t="s">
        <v>26</v>
      </c>
      <c r="E2725" s="1" t="s">
        <v>26</v>
      </c>
      <c r="F2725" s="1">
        <v>21.0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1">
        <v>20.5</v>
      </c>
      <c r="T2725" s="1">
        <v>402.85</v>
      </c>
      <c r="U2725" s="1">
        <v>0.0</v>
      </c>
      <c r="V2725" s="1">
        <v>0.0</v>
      </c>
      <c r="W2725" s="1" t="s">
        <v>26</v>
      </c>
    </row>
    <row r="2726" ht="15.75" customHeight="1">
      <c r="A2726" s="1" t="s">
        <v>2763</v>
      </c>
      <c r="B2726" s="1" t="s">
        <v>32</v>
      </c>
      <c r="C2726" s="1">
        <v>0.0</v>
      </c>
      <c r="D2726" s="1" t="s">
        <v>25</v>
      </c>
      <c r="E2726" s="1" t="s">
        <v>25</v>
      </c>
      <c r="F2726" s="1">
        <v>62.0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1">
        <v>19.95</v>
      </c>
      <c r="T2726" s="1">
        <v>1244.8</v>
      </c>
      <c r="U2726" s="1">
        <v>0.0</v>
      </c>
      <c r="V2726" s="1">
        <v>0.0</v>
      </c>
      <c r="W2726" s="1" t="s">
        <v>26</v>
      </c>
    </row>
    <row r="2727" ht="15.75" customHeight="1">
      <c r="A2727" s="1" t="s">
        <v>2764</v>
      </c>
      <c r="B2727" s="1" t="s">
        <v>24</v>
      </c>
      <c r="C2727" s="1">
        <v>0.0</v>
      </c>
      <c r="D2727" s="1" t="s">
        <v>26</v>
      </c>
      <c r="E2727" s="1" t="s">
        <v>26</v>
      </c>
      <c r="F2727" s="1">
        <v>2.0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1">
        <v>24.5</v>
      </c>
      <c r="T2727" s="1">
        <v>46.4</v>
      </c>
      <c r="U2727" s="1">
        <v>0.0</v>
      </c>
      <c r="V2727" s="1">
        <v>0.0</v>
      </c>
      <c r="W2727" s="1" t="s">
        <v>26</v>
      </c>
    </row>
    <row r="2728" ht="15.75" customHeight="1">
      <c r="A2728" s="1" t="s">
        <v>2765</v>
      </c>
      <c r="B2728" s="1" t="s">
        <v>32</v>
      </c>
      <c r="C2728" s="1">
        <v>0.0</v>
      </c>
      <c r="D2728" s="1" t="s">
        <v>26</v>
      </c>
      <c r="E2728" s="1" t="s">
        <v>25</v>
      </c>
      <c r="F2728" s="1">
        <v>27.0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1">
        <v>20.6</v>
      </c>
      <c r="T2728" s="1">
        <v>581.85</v>
      </c>
      <c r="U2728" s="1">
        <v>0.0</v>
      </c>
      <c r="V2728" s="1">
        <v>0.0</v>
      </c>
      <c r="W2728" s="1" t="s">
        <v>26</v>
      </c>
    </row>
    <row r="2729" ht="15.75" customHeight="1">
      <c r="A2729" s="1" t="s">
        <v>2766</v>
      </c>
      <c r="B2729" s="1" t="s">
        <v>32</v>
      </c>
      <c r="C2729" s="1">
        <v>0.0</v>
      </c>
      <c r="D2729" s="1" t="s">
        <v>26</v>
      </c>
      <c r="E2729" s="1" t="s">
        <v>26</v>
      </c>
      <c r="F2729" s="1">
        <v>5.0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1">
        <v>94.85</v>
      </c>
      <c r="T2729" s="1">
        <v>462.8</v>
      </c>
      <c r="U2729" s="1">
        <v>0.0</v>
      </c>
      <c r="V2729" s="1">
        <v>0.0</v>
      </c>
      <c r="W2729" s="1" t="s">
        <v>25</v>
      </c>
    </row>
    <row r="2730" ht="15.75" customHeight="1">
      <c r="A2730" s="1" t="s">
        <v>2767</v>
      </c>
      <c r="B2730" s="1" t="s">
        <v>24</v>
      </c>
      <c r="C2730" s="1">
        <v>0.0</v>
      </c>
      <c r="D2730" s="1" t="s">
        <v>26</v>
      </c>
      <c r="E2730" s="1" t="s">
        <v>26</v>
      </c>
      <c r="F2730" s="1">
        <v>25.0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1">
        <v>61.05</v>
      </c>
      <c r="T2730" s="1">
        <v>1540.2</v>
      </c>
      <c r="U2730" s="1">
        <v>0.0</v>
      </c>
      <c r="V2730" s="1">
        <v>0.0</v>
      </c>
      <c r="W2730" s="1" t="s">
        <v>26</v>
      </c>
    </row>
    <row r="2731" ht="15.75" customHeight="1">
      <c r="A2731" s="1" t="s">
        <v>2768</v>
      </c>
      <c r="B2731" s="1" t="s">
        <v>24</v>
      </c>
      <c r="C2731" s="1">
        <v>0.0</v>
      </c>
      <c r="D2731" s="1" t="s">
        <v>26</v>
      </c>
      <c r="E2731" s="1" t="s">
        <v>26</v>
      </c>
      <c r="F2731" s="1">
        <v>2.0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1">
        <v>85.7</v>
      </c>
      <c r="T2731" s="1">
        <v>169.8</v>
      </c>
      <c r="U2731" s="1">
        <v>0.0</v>
      </c>
      <c r="V2731" s="1">
        <v>0.0</v>
      </c>
      <c r="W2731" s="1" t="s">
        <v>25</v>
      </c>
    </row>
    <row r="2732" ht="15.75" customHeight="1">
      <c r="A2732" s="1" t="s">
        <v>2769</v>
      </c>
      <c r="B2732" s="1" t="s">
        <v>32</v>
      </c>
      <c r="C2732" s="1">
        <v>0.0</v>
      </c>
      <c r="D2732" s="1" t="s">
        <v>26</v>
      </c>
      <c r="E2732" s="1" t="s">
        <v>26</v>
      </c>
      <c r="F2732" s="1">
        <v>49.0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1">
        <v>106.65</v>
      </c>
      <c r="T2732" s="1">
        <v>5168.1</v>
      </c>
      <c r="U2732" s="1">
        <v>0.0</v>
      </c>
      <c r="V2732" s="1">
        <v>0.0</v>
      </c>
      <c r="W2732" s="1" t="s">
        <v>26</v>
      </c>
    </row>
    <row r="2733" ht="15.75" customHeight="1">
      <c r="A2733" s="1" t="s">
        <v>2770</v>
      </c>
      <c r="B2733" s="1" t="s">
        <v>24</v>
      </c>
      <c r="C2733" s="1">
        <v>0.0</v>
      </c>
      <c r="D2733" s="1" t="s">
        <v>26</v>
      </c>
      <c r="E2733" s="1" t="s">
        <v>26</v>
      </c>
      <c r="F2733" s="1">
        <v>63.0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1">
        <v>108.25</v>
      </c>
      <c r="T2733" s="1">
        <v>6780.1</v>
      </c>
      <c r="U2733" s="1">
        <v>1.0</v>
      </c>
      <c r="V2733" s="1">
        <v>0.0</v>
      </c>
      <c r="W2733" s="1" t="s">
        <v>26</v>
      </c>
    </row>
    <row r="2734" ht="15.75" customHeight="1">
      <c r="A2734" s="1" t="s">
        <v>2771</v>
      </c>
      <c r="B2734" s="1" t="s">
        <v>24</v>
      </c>
      <c r="C2734" s="1">
        <v>0.0</v>
      </c>
      <c r="D2734" s="1" t="s">
        <v>26</v>
      </c>
      <c r="E2734" s="1" t="s">
        <v>25</v>
      </c>
      <c r="F2734" s="1">
        <v>4.0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1">
        <v>20.4</v>
      </c>
      <c r="T2734" s="1">
        <v>94.5</v>
      </c>
      <c r="U2734" s="1">
        <v>3.0</v>
      </c>
      <c r="V2734" s="1">
        <v>0.0</v>
      </c>
      <c r="W2734" s="1" t="s">
        <v>26</v>
      </c>
    </row>
    <row r="2735" ht="15.75" customHeight="1">
      <c r="A2735" s="1" t="s">
        <v>2772</v>
      </c>
      <c r="B2735" s="1" t="s">
        <v>24</v>
      </c>
      <c r="C2735" s="1">
        <v>0.0</v>
      </c>
      <c r="D2735" s="1" t="s">
        <v>25</v>
      </c>
      <c r="E2735" s="1" t="s">
        <v>26</v>
      </c>
      <c r="F2735" s="1">
        <v>1.0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1">
        <v>55.3</v>
      </c>
      <c r="T2735" s="1">
        <v>55.3</v>
      </c>
      <c r="U2735" s="1">
        <v>0.0</v>
      </c>
      <c r="V2735" s="1">
        <v>0.0</v>
      </c>
      <c r="W2735" s="1" t="s">
        <v>26</v>
      </c>
    </row>
    <row r="2736" ht="15.75" customHeight="1">
      <c r="A2736" s="1" t="s">
        <v>2773</v>
      </c>
      <c r="B2736" s="1" t="s">
        <v>32</v>
      </c>
      <c r="C2736" s="1">
        <v>0.0</v>
      </c>
      <c r="D2736" s="1" t="s">
        <v>26</v>
      </c>
      <c r="E2736" s="1" t="s">
        <v>26</v>
      </c>
      <c r="F2736" s="1">
        <v>11.0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1">
        <v>20.25</v>
      </c>
      <c r="T2736" s="1">
        <v>208.0</v>
      </c>
      <c r="U2736" s="1">
        <v>5.0</v>
      </c>
      <c r="V2736" s="1">
        <v>0.0</v>
      </c>
      <c r="W2736" s="1" t="s">
        <v>26</v>
      </c>
    </row>
    <row r="2737" ht="15.75" customHeight="1">
      <c r="A2737" s="1" t="s">
        <v>2774</v>
      </c>
      <c r="B2737" s="1" t="s">
        <v>32</v>
      </c>
      <c r="C2737" s="1">
        <v>1.0</v>
      </c>
      <c r="D2737" s="1" t="s">
        <v>26</v>
      </c>
      <c r="E2737" s="1" t="s">
        <v>26</v>
      </c>
      <c r="F2737" s="1">
        <v>52.0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1">
        <v>72.95</v>
      </c>
      <c r="T2737" s="1">
        <v>3829.75</v>
      </c>
      <c r="U2737" s="1">
        <v>0.0</v>
      </c>
      <c r="V2737" s="1">
        <v>0.0</v>
      </c>
      <c r="W2737" s="1" t="s">
        <v>26</v>
      </c>
    </row>
    <row r="2738" ht="15.75" customHeight="1">
      <c r="A2738" s="1" t="s">
        <v>2775</v>
      </c>
      <c r="B2738" s="1" t="s">
        <v>24</v>
      </c>
      <c r="C2738" s="1">
        <v>1.0</v>
      </c>
      <c r="D2738" s="1" t="s">
        <v>25</v>
      </c>
      <c r="E2738" s="1" t="s">
        <v>26</v>
      </c>
      <c r="F2738" s="1">
        <v>60.0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1">
        <v>89.45</v>
      </c>
      <c r="T2738" s="1">
        <v>5294.6</v>
      </c>
      <c r="U2738" s="1">
        <v>0.0</v>
      </c>
      <c r="V2738" s="1">
        <v>0.0</v>
      </c>
      <c r="W2738" s="1" t="s">
        <v>26</v>
      </c>
    </row>
    <row r="2739" ht="15.75" customHeight="1">
      <c r="A2739" s="1" t="s">
        <v>2776</v>
      </c>
      <c r="B2739" s="1" t="s">
        <v>32</v>
      </c>
      <c r="C2739" s="1">
        <v>0.0</v>
      </c>
      <c r="D2739" s="1" t="s">
        <v>26</v>
      </c>
      <c r="E2739" s="1" t="s">
        <v>26</v>
      </c>
      <c r="F2739" s="1">
        <v>64.0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1">
        <v>104.65</v>
      </c>
      <c r="T2739" s="1">
        <v>6889.8</v>
      </c>
      <c r="U2739" s="1">
        <v>0.0</v>
      </c>
      <c r="V2739" s="1">
        <v>0.0</v>
      </c>
      <c r="W2739" s="1" t="s">
        <v>26</v>
      </c>
    </row>
    <row r="2740" ht="15.75" customHeight="1">
      <c r="A2740" s="1" t="s">
        <v>2777</v>
      </c>
      <c r="B2740" s="1" t="s">
        <v>24</v>
      </c>
      <c r="C2740" s="1">
        <v>0.0</v>
      </c>
      <c r="D2740" s="1" t="s">
        <v>25</v>
      </c>
      <c r="E2740" s="1" t="s">
        <v>25</v>
      </c>
      <c r="F2740" s="1">
        <v>43.0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1">
        <v>75.2</v>
      </c>
      <c r="T2740" s="1">
        <v>3254.35</v>
      </c>
      <c r="U2740" s="1">
        <v>0.0</v>
      </c>
      <c r="V2740" s="1">
        <v>0.0</v>
      </c>
      <c r="W2740" s="1" t="s">
        <v>26</v>
      </c>
    </row>
    <row r="2741" ht="15.75" customHeight="1">
      <c r="A2741" s="1" t="s">
        <v>2778</v>
      </c>
      <c r="B2741" s="1" t="s">
        <v>24</v>
      </c>
      <c r="C2741" s="1">
        <v>0.0</v>
      </c>
      <c r="D2741" s="1" t="s">
        <v>25</v>
      </c>
      <c r="E2741" s="1" t="s">
        <v>26</v>
      </c>
      <c r="F2741" s="1">
        <v>61.0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1">
        <v>101.15</v>
      </c>
      <c r="T2741" s="1">
        <v>6383.9</v>
      </c>
      <c r="U2741" s="1">
        <v>5.0</v>
      </c>
      <c r="V2741" s="1">
        <v>0.0</v>
      </c>
      <c r="W2741" s="1" t="s">
        <v>26</v>
      </c>
    </row>
    <row r="2742" ht="15.75" customHeight="1">
      <c r="A2742" s="1" t="s">
        <v>2779</v>
      </c>
      <c r="B2742" s="1" t="s">
        <v>24</v>
      </c>
      <c r="C2742" s="1">
        <v>0.0</v>
      </c>
      <c r="D2742" s="1" t="s">
        <v>26</v>
      </c>
      <c r="E2742" s="1" t="s">
        <v>26</v>
      </c>
      <c r="F2742" s="1">
        <v>1.0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1">
        <v>44.4</v>
      </c>
      <c r="T2742" s="1">
        <v>44.4</v>
      </c>
      <c r="U2742" s="1">
        <v>2.0</v>
      </c>
      <c r="V2742" s="1">
        <v>0.0</v>
      </c>
      <c r="W2742" s="1" t="s">
        <v>25</v>
      </c>
    </row>
    <row r="2743" ht="15.75" customHeight="1">
      <c r="A2743" s="1" t="s">
        <v>2780</v>
      </c>
      <c r="B2743" s="1" t="s">
        <v>32</v>
      </c>
      <c r="C2743" s="1">
        <v>1.0</v>
      </c>
      <c r="D2743" s="1" t="s">
        <v>26</v>
      </c>
      <c r="E2743" s="1" t="s">
        <v>26</v>
      </c>
      <c r="F2743" s="1">
        <v>5.0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1">
        <v>89.5</v>
      </c>
      <c r="T2743" s="1">
        <v>477.7</v>
      </c>
      <c r="U2743" s="1">
        <v>0.0</v>
      </c>
      <c r="V2743" s="1">
        <v>0.0</v>
      </c>
      <c r="W2743" s="1" t="s">
        <v>25</v>
      </c>
    </row>
    <row r="2744" ht="15.75" customHeight="1">
      <c r="A2744" s="1" t="s">
        <v>2781</v>
      </c>
      <c r="B2744" s="1" t="s">
        <v>32</v>
      </c>
      <c r="C2744" s="1">
        <v>0.0</v>
      </c>
      <c r="D2744" s="1" t="s">
        <v>26</v>
      </c>
      <c r="E2744" s="1" t="s">
        <v>26</v>
      </c>
      <c r="F2744" s="1">
        <v>66.0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1">
        <v>68.75</v>
      </c>
      <c r="T2744" s="1">
        <v>4447.55</v>
      </c>
      <c r="U2744" s="1">
        <v>5.0</v>
      </c>
      <c r="V2744" s="1">
        <v>0.0</v>
      </c>
      <c r="W2744" s="1" t="s">
        <v>26</v>
      </c>
    </row>
    <row r="2745" ht="15.75" customHeight="1">
      <c r="A2745" s="1" t="s">
        <v>2782</v>
      </c>
      <c r="B2745" s="1" t="s">
        <v>32</v>
      </c>
      <c r="C2745" s="1">
        <v>0.0</v>
      </c>
      <c r="D2745" s="1" t="s">
        <v>25</v>
      </c>
      <c r="E2745" s="1" t="s">
        <v>26</v>
      </c>
      <c r="F2745" s="1">
        <v>67.0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1">
        <v>111.05</v>
      </c>
      <c r="T2745" s="1">
        <v>7321.05</v>
      </c>
      <c r="U2745" s="1">
        <v>0.0</v>
      </c>
      <c r="V2745" s="1">
        <v>0.0</v>
      </c>
      <c r="W2745" s="1" t="s">
        <v>26</v>
      </c>
    </row>
    <row r="2746" ht="15.75" customHeight="1">
      <c r="A2746" s="1" t="s">
        <v>2783</v>
      </c>
      <c r="B2746" s="1" t="s">
        <v>24</v>
      </c>
      <c r="C2746" s="1">
        <v>0.0</v>
      </c>
      <c r="D2746" s="1" t="s">
        <v>25</v>
      </c>
      <c r="E2746" s="1" t="s">
        <v>26</v>
      </c>
      <c r="F2746" s="1">
        <v>42.0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1">
        <v>99.0</v>
      </c>
      <c r="T2746" s="1">
        <v>4135.0</v>
      </c>
      <c r="U2746" s="1">
        <v>2.0</v>
      </c>
      <c r="V2746" s="1">
        <v>0.0</v>
      </c>
      <c r="W2746" s="1" t="s">
        <v>26</v>
      </c>
    </row>
    <row r="2747" ht="15.75" customHeight="1">
      <c r="A2747" s="1" t="s">
        <v>2784</v>
      </c>
      <c r="B2747" s="1" t="s">
        <v>32</v>
      </c>
      <c r="C2747" s="1">
        <v>1.0</v>
      </c>
      <c r="D2747" s="1" t="s">
        <v>25</v>
      </c>
      <c r="E2747" s="1" t="s">
        <v>26</v>
      </c>
      <c r="F2747" s="1">
        <v>1.0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1">
        <v>86.05</v>
      </c>
      <c r="T2747" s="1">
        <v>86.05</v>
      </c>
      <c r="U2747" s="1">
        <v>0.0</v>
      </c>
      <c r="V2747" s="1">
        <v>0.0</v>
      </c>
      <c r="W2747" s="1" t="s">
        <v>25</v>
      </c>
    </row>
    <row r="2748" ht="15.75" customHeight="1">
      <c r="A2748" s="1" t="s">
        <v>2785</v>
      </c>
      <c r="B2748" s="1" t="s">
        <v>24</v>
      </c>
      <c r="C2748" s="1">
        <v>0.0</v>
      </c>
      <c r="D2748" s="1" t="s">
        <v>25</v>
      </c>
      <c r="E2748" s="1" t="s">
        <v>25</v>
      </c>
      <c r="F2748" s="1">
        <v>31.0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1">
        <v>21.0</v>
      </c>
      <c r="T2748" s="1">
        <v>697.7</v>
      </c>
      <c r="U2748" s="1">
        <v>0.0</v>
      </c>
      <c r="V2748" s="1">
        <v>0.0</v>
      </c>
      <c r="W2748" s="1" t="s">
        <v>26</v>
      </c>
    </row>
    <row r="2749" ht="15.75" customHeight="1">
      <c r="A2749" s="1" t="s">
        <v>2786</v>
      </c>
      <c r="B2749" s="1" t="s">
        <v>32</v>
      </c>
      <c r="C2749" s="1">
        <v>0.0</v>
      </c>
      <c r="D2749" s="1" t="s">
        <v>26</v>
      </c>
      <c r="E2749" s="1" t="s">
        <v>26</v>
      </c>
      <c r="F2749" s="1">
        <v>7.0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1">
        <v>19.4</v>
      </c>
      <c r="T2749" s="1">
        <v>168.65</v>
      </c>
      <c r="U2749" s="1">
        <v>1.0</v>
      </c>
      <c r="V2749" s="1">
        <v>0.0</v>
      </c>
      <c r="W2749" s="1" t="s">
        <v>26</v>
      </c>
    </row>
    <row r="2750" ht="15.75" customHeight="1">
      <c r="A2750" s="1" t="s">
        <v>2787</v>
      </c>
      <c r="B2750" s="1" t="s">
        <v>32</v>
      </c>
      <c r="C2750" s="1">
        <v>0.0</v>
      </c>
      <c r="D2750" s="1" t="s">
        <v>26</v>
      </c>
      <c r="E2750" s="1" t="s">
        <v>26</v>
      </c>
      <c r="F2750" s="1">
        <v>4.0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1">
        <v>44.55</v>
      </c>
      <c r="T2750" s="1">
        <v>174.3</v>
      </c>
      <c r="U2750" s="1">
        <v>0.0</v>
      </c>
      <c r="V2750" s="1">
        <v>0.0</v>
      </c>
      <c r="W2750" s="1" t="s">
        <v>25</v>
      </c>
    </row>
    <row r="2751" ht="15.75" customHeight="1">
      <c r="A2751" s="1" t="s">
        <v>2788</v>
      </c>
      <c r="B2751" s="1" t="s">
        <v>32</v>
      </c>
      <c r="C2751" s="1">
        <v>0.0</v>
      </c>
      <c r="D2751" s="1" t="s">
        <v>25</v>
      </c>
      <c r="E2751" s="1" t="s">
        <v>25</v>
      </c>
      <c r="F2751" s="1">
        <v>34.0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1">
        <v>77.2</v>
      </c>
      <c r="T2751" s="1">
        <v>2753.8</v>
      </c>
      <c r="U2751" s="1">
        <v>0.0</v>
      </c>
      <c r="V2751" s="1">
        <v>0.0</v>
      </c>
      <c r="W2751" s="1" t="s">
        <v>26</v>
      </c>
    </row>
    <row r="2752" ht="15.75" customHeight="1">
      <c r="A2752" s="1" t="s">
        <v>2789</v>
      </c>
      <c r="B2752" s="1" t="s">
        <v>32</v>
      </c>
      <c r="C2752" s="1">
        <v>0.0</v>
      </c>
      <c r="D2752" s="1" t="s">
        <v>26</v>
      </c>
      <c r="E2752" s="1" t="s">
        <v>26</v>
      </c>
      <c r="F2752" s="1">
        <v>3.0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1">
        <v>19.45</v>
      </c>
      <c r="T2752" s="1">
        <v>69.25</v>
      </c>
      <c r="U2752" s="1">
        <v>0.0</v>
      </c>
      <c r="V2752" s="1">
        <v>0.0</v>
      </c>
      <c r="W2752" s="1" t="s">
        <v>26</v>
      </c>
    </row>
    <row r="2753" ht="15.75" customHeight="1">
      <c r="A2753" s="1" t="s">
        <v>2790</v>
      </c>
      <c r="B2753" s="1" t="s">
        <v>24</v>
      </c>
      <c r="C2753" s="1">
        <v>0.0</v>
      </c>
      <c r="D2753" s="1" t="s">
        <v>25</v>
      </c>
      <c r="E2753" s="1" t="s">
        <v>25</v>
      </c>
      <c r="F2753" s="1">
        <v>19.0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1">
        <v>24.85</v>
      </c>
      <c r="T2753" s="1">
        <v>434.8</v>
      </c>
      <c r="U2753" s="1">
        <v>0.0</v>
      </c>
      <c r="V2753" s="1">
        <v>0.0</v>
      </c>
      <c r="W2753" s="1" t="s">
        <v>26</v>
      </c>
    </row>
    <row r="2754" ht="15.75" customHeight="1">
      <c r="A2754" s="1" t="s">
        <v>2791</v>
      </c>
      <c r="B2754" s="1" t="s">
        <v>32</v>
      </c>
      <c r="C2754" s="1">
        <v>0.0</v>
      </c>
      <c r="D2754" s="1" t="s">
        <v>25</v>
      </c>
      <c r="E2754" s="1" t="s">
        <v>25</v>
      </c>
      <c r="F2754" s="1">
        <v>31.0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1">
        <v>35.4</v>
      </c>
      <c r="T2754" s="1">
        <v>1077.5</v>
      </c>
      <c r="U2754" s="1">
        <v>0.0</v>
      </c>
      <c r="V2754" s="1">
        <v>0.0</v>
      </c>
      <c r="W2754" s="1" t="s">
        <v>25</v>
      </c>
    </row>
    <row r="2755" ht="15.75" customHeight="1">
      <c r="A2755" s="1" t="s">
        <v>2792</v>
      </c>
      <c r="B2755" s="1" t="s">
        <v>24</v>
      </c>
      <c r="C2755" s="1">
        <v>0.0</v>
      </c>
      <c r="D2755" s="1" t="s">
        <v>26</v>
      </c>
      <c r="E2755" s="1" t="s">
        <v>26</v>
      </c>
      <c r="F2755" s="1">
        <v>1.0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1">
        <v>95.65</v>
      </c>
      <c r="T2755" s="1">
        <v>95.65</v>
      </c>
      <c r="U2755" s="1">
        <v>0.0</v>
      </c>
      <c r="V2755" s="1">
        <v>0.0</v>
      </c>
      <c r="W2755" s="1" t="s">
        <v>25</v>
      </c>
    </row>
    <row r="2756" ht="15.75" customHeight="1">
      <c r="A2756" s="1" t="s">
        <v>2793</v>
      </c>
      <c r="B2756" s="1" t="s">
        <v>32</v>
      </c>
      <c r="C2756" s="1">
        <v>0.0</v>
      </c>
      <c r="D2756" s="1" t="s">
        <v>26</v>
      </c>
      <c r="E2756" s="1" t="s">
        <v>26</v>
      </c>
      <c r="F2756" s="1">
        <v>3.0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1">
        <v>41.35</v>
      </c>
      <c r="T2756" s="1">
        <v>107.25</v>
      </c>
      <c r="U2756" s="1">
        <v>0.0</v>
      </c>
      <c r="V2756" s="1">
        <v>0.0</v>
      </c>
      <c r="W2756" s="1" t="s">
        <v>26</v>
      </c>
    </row>
    <row r="2757" ht="15.75" customHeight="1">
      <c r="A2757" s="1" t="s">
        <v>2794</v>
      </c>
      <c r="B2757" s="1" t="s">
        <v>32</v>
      </c>
      <c r="C2757" s="1">
        <v>0.0</v>
      </c>
      <c r="D2757" s="1" t="s">
        <v>25</v>
      </c>
      <c r="E2757" s="1" t="s">
        <v>26</v>
      </c>
      <c r="F2757" s="1">
        <v>46.0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1">
        <v>19.6</v>
      </c>
      <c r="T2757" s="1">
        <v>851.2</v>
      </c>
      <c r="U2757" s="1">
        <v>0.0</v>
      </c>
      <c r="V2757" s="1">
        <v>0.0</v>
      </c>
      <c r="W2757" s="1" t="s">
        <v>26</v>
      </c>
    </row>
    <row r="2758" ht="15.75" customHeight="1">
      <c r="A2758" s="1" t="s">
        <v>2795</v>
      </c>
      <c r="B2758" s="1" t="s">
        <v>24</v>
      </c>
      <c r="C2758" s="1">
        <v>0.0</v>
      </c>
      <c r="D2758" s="1" t="s">
        <v>26</v>
      </c>
      <c r="E2758" s="1" t="s">
        <v>26</v>
      </c>
      <c r="F2758" s="1">
        <v>1.0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1">
        <v>20.95</v>
      </c>
      <c r="T2758" s="1">
        <v>20.95</v>
      </c>
      <c r="U2758" s="1">
        <v>0.0</v>
      </c>
      <c r="V2758" s="1">
        <v>0.0</v>
      </c>
      <c r="W2758" s="1" t="s">
        <v>25</v>
      </c>
    </row>
    <row r="2759" ht="15.75" customHeight="1">
      <c r="A2759" s="1" t="s">
        <v>2796</v>
      </c>
      <c r="B2759" s="1" t="s">
        <v>24</v>
      </c>
      <c r="C2759" s="1">
        <v>0.0</v>
      </c>
      <c r="D2759" s="1" t="s">
        <v>25</v>
      </c>
      <c r="E2759" s="1" t="s">
        <v>25</v>
      </c>
      <c r="F2759" s="1">
        <v>69.0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1">
        <v>84.45</v>
      </c>
      <c r="T2759" s="1">
        <v>5848.6</v>
      </c>
      <c r="U2759" s="1">
        <v>0.0</v>
      </c>
      <c r="V2759" s="1">
        <v>0.0</v>
      </c>
      <c r="W2759" s="1" t="s">
        <v>26</v>
      </c>
    </row>
    <row r="2760" ht="15.75" customHeight="1">
      <c r="A2760" s="1" t="s">
        <v>2797</v>
      </c>
      <c r="B2760" s="1" t="s">
        <v>32</v>
      </c>
      <c r="C2760" s="1">
        <v>0.0</v>
      </c>
      <c r="D2760" s="1" t="s">
        <v>26</v>
      </c>
      <c r="E2760" s="1" t="s">
        <v>26</v>
      </c>
      <c r="F2760" s="1">
        <v>5.0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1">
        <v>20.25</v>
      </c>
      <c r="T2760" s="1">
        <v>109.8</v>
      </c>
      <c r="U2760" s="1">
        <v>0.0</v>
      </c>
      <c r="V2760" s="1">
        <v>0.0</v>
      </c>
      <c r="W2760" s="1" t="s">
        <v>26</v>
      </c>
    </row>
    <row r="2761" ht="15.75" customHeight="1">
      <c r="A2761" s="1" t="s">
        <v>2798</v>
      </c>
      <c r="B2761" s="1" t="s">
        <v>32</v>
      </c>
      <c r="C2761" s="1">
        <v>0.0</v>
      </c>
      <c r="D2761" s="1" t="s">
        <v>26</v>
      </c>
      <c r="E2761" s="1" t="s">
        <v>26</v>
      </c>
      <c r="F2761" s="1">
        <v>1.0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1">
        <v>19.65</v>
      </c>
      <c r="T2761" s="1">
        <v>19.65</v>
      </c>
      <c r="U2761" s="1">
        <v>0.0</v>
      </c>
      <c r="V2761" s="1">
        <v>0.0</v>
      </c>
      <c r="W2761" s="1" t="s">
        <v>26</v>
      </c>
    </row>
    <row r="2762" ht="15.75" customHeight="1">
      <c r="A2762" s="1" t="s">
        <v>2799</v>
      </c>
      <c r="B2762" s="1" t="s">
        <v>32</v>
      </c>
      <c r="C2762" s="1">
        <v>0.0</v>
      </c>
      <c r="D2762" s="1" t="s">
        <v>26</v>
      </c>
      <c r="E2762" s="1" t="s">
        <v>26</v>
      </c>
      <c r="F2762" s="1">
        <v>26.0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1">
        <v>20.65</v>
      </c>
      <c r="T2762" s="1">
        <v>595.5</v>
      </c>
      <c r="U2762" s="1">
        <v>0.0</v>
      </c>
      <c r="V2762" s="1">
        <v>0.0</v>
      </c>
      <c r="W2762" s="1" t="s">
        <v>26</v>
      </c>
    </row>
    <row r="2763" ht="15.75" customHeight="1">
      <c r="A2763" s="1" t="s">
        <v>2800</v>
      </c>
      <c r="B2763" s="1" t="s">
        <v>24</v>
      </c>
      <c r="C2763" s="1">
        <v>1.0</v>
      </c>
      <c r="D2763" s="1" t="s">
        <v>26</v>
      </c>
      <c r="E2763" s="1" t="s">
        <v>26</v>
      </c>
      <c r="F2763" s="1">
        <v>10.0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1">
        <v>34.7</v>
      </c>
      <c r="T2763" s="1">
        <v>329.8</v>
      </c>
      <c r="U2763" s="1">
        <v>0.0</v>
      </c>
      <c r="V2763" s="1">
        <v>0.0</v>
      </c>
      <c r="W2763" s="1" t="s">
        <v>25</v>
      </c>
    </row>
    <row r="2764" ht="15.75" customHeight="1">
      <c r="A2764" s="1" t="s">
        <v>2801</v>
      </c>
      <c r="B2764" s="1" t="s">
        <v>32</v>
      </c>
      <c r="C2764" s="1">
        <v>0.0</v>
      </c>
      <c r="D2764" s="1" t="s">
        <v>26</v>
      </c>
      <c r="E2764" s="1" t="s">
        <v>26</v>
      </c>
      <c r="F2764" s="1">
        <v>25.0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1">
        <v>99.3</v>
      </c>
      <c r="T2764" s="1">
        <v>2513.5</v>
      </c>
      <c r="U2764" s="1">
        <v>0.0</v>
      </c>
      <c r="V2764" s="1">
        <v>0.0</v>
      </c>
      <c r="W2764" s="1" t="s">
        <v>26</v>
      </c>
    </row>
    <row r="2765" ht="15.75" customHeight="1">
      <c r="A2765" s="1" t="s">
        <v>2802</v>
      </c>
      <c r="B2765" s="1" t="s">
        <v>32</v>
      </c>
      <c r="C2765" s="1">
        <v>0.0</v>
      </c>
      <c r="D2765" s="1" t="s">
        <v>25</v>
      </c>
      <c r="E2765" s="1" t="s">
        <v>25</v>
      </c>
      <c r="F2765" s="1">
        <v>64.0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1">
        <v>81.05</v>
      </c>
      <c r="T2765" s="1">
        <v>5135.35</v>
      </c>
      <c r="U2765" s="1">
        <v>0.0</v>
      </c>
      <c r="V2765" s="1">
        <v>0.0</v>
      </c>
      <c r="W2765" s="1" t="s">
        <v>26</v>
      </c>
    </row>
    <row r="2766" ht="15.75" customHeight="1">
      <c r="A2766" s="1" t="s">
        <v>2803</v>
      </c>
      <c r="B2766" s="1" t="s">
        <v>32</v>
      </c>
      <c r="C2766" s="1">
        <v>0.0</v>
      </c>
      <c r="D2766" s="1" t="s">
        <v>25</v>
      </c>
      <c r="E2766" s="1" t="s">
        <v>25</v>
      </c>
      <c r="F2766" s="1">
        <v>30.0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1">
        <v>67.6</v>
      </c>
      <c r="T2766" s="1">
        <v>2000.2</v>
      </c>
      <c r="U2766" s="1">
        <v>2.0</v>
      </c>
      <c r="V2766" s="1">
        <v>0.0</v>
      </c>
      <c r="W2766" s="1" t="s">
        <v>26</v>
      </c>
    </row>
    <row r="2767" ht="15.75" customHeight="1">
      <c r="A2767" s="1" t="s">
        <v>2804</v>
      </c>
      <c r="B2767" s="1" t="s">
        <v>32</v>
      </c>
      <c r="C2767" s="1">
        <v>0.0</v>
      </c>
      <c r="D2767" s="1" t="s">
        <v>26</v>
      </c>
      <c r="E2767" s="1" t="s">
        <v>26</v>
      </c>
      <c r="F2767" s="1">
        <v>13.0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1">
        <v>70.15</v>
      </c>
      <c r="T2767" s="1">
        <v>931.75</v>
      </c>
      <c r="U2767" s="1">
        <v>3.0</v>
      </c>
      <c r="V2767" s="1">
        <v>0.0</v>
      </c>
      <c r="W2767" s="1" t="s">
        <v>26</v>
      </c>
    </row>
    <row r="2768" ht="15.75" customHeight="1">
      <c r="A2768" s="1" t="s">
        <v>2805</v>
      </c>
      <c r="B2768" s="1" t="s">
        <v>24</v>
      </c>
      <c r="C2768" s="1">
        <v>0.0</v>
      </c>
      <c r="D2768" s="1" t="s">
        <v>25</v>
      </c>
      <c r="E2768" s="1" t="s">
        <v>26</v>
      </c>
      <c r="F2768" s="1">
        <v>64.0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1">
        <v>115.0</v>
      </c>
      <c r="T2768" s="1">
        <v>7396.15</v>
      </c>
      <c r="U2768" s="1">
        <v>0.0</v>
      </c>
      <c r="V2768" s="1">
        <v>0.0</v>
      </c>
      <c r="W2768" s="1" t="s">
        <v>26</v>
      </c>
    </row>
    <row r="2769" ht="15.75" customHeight="1">
      <c r="A2769" s="1" t="s">
        <v>2806</v>
      </c>
      <c r="B2769" s="1" t="s">
        <v>24</v>
      </c>
      <c r="C2769" s="1">
        <v>0.0</v>
      </c>
      <c r="D2769" s="1" t="s">
        <v>26</v>
      </c>
      <c r="E2769" s="1" t="s">
        <v>25</v>
      </c>
      <c r="F2769" s="1">
        <v>46.0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1">
        <v>84.8</v>
      </c>
      <c r="T2769" s="1">
        <v>3958.85</v>
      </c>
      <c r="U2769" s="1">
        <v>0.0</v>
      </c>
      <c r="V2769" s="1">
        <v>0.0</v>
      </c>
      <c r="W2769" s="1" t="s">
        <v>26</v>
      </c>
    </row>
    <row r="2770" ht="15.75" customHeight="1">
      <c r="A2770" s="1" t="s">
        <v>2807</v>
      </c>
      <c r="B2770" s="1" t="s">
        <v>24</v>
      </c>
      <c r="C2770" s="1">
        <v>0.0</v>
      </c>
      <c r="D2770" s="1" t="s">
        <v>26</v>
      </c>
      <c r="E2770" s="1" t="s">
        <v>26</v>
      </c>
      <c r="F2770" s="1">
        <v>12.0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1">
        <v>19.7</v>
      </c>
      <c r="T2770" s="1">
        <v>260.9</v>
      </c>
      <c r="U2770" s="1">
        <v>0.0</v>
      </c>
      <c r="V2770" s="1">
        <v>0.0</v>
      </c>
      <c r="W2770" s="1" t="s">
        <v>26</v>
      </c>
    </row>
    <row r="2771" ht="15.75" customHeight="1">
      <c r="A2771" s="1" t="s">
        <v>2808</v>
      </c>
      <c r="B2771" s="1" t="s">
        <v>24</v>
      </c>
      <c r="C2771" s="1">
        <v>0.0</v>
      </c>
      <c r="D2771" s="1" t="s">
        <v>26</v>
      </c>
      <c r="E2771" s="1" t="s">
        <v>26</v>
      </c>
      <c r="F2771" s="1">
        <v>15.0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1">
        <v>19.75</v>
      </c>
      <c r="T2771" s="1">
        <v>297.3</v>
      </c>
      <c r="U2771" s="1">
        <v>0.0</v>
      </c>
      <c r="V2771" s="1">
        <v>0.0</v>
      </c>
      <c r="W2771" s="1" t="s">
        <v>25</v>
      </c>
    </row>
    <row r="2772" ht="15.75" customHeight="1">
      <c r="A2772" s="1" t="s">
        <v>2809</v>
      </c>
      <c r="B2772" s="1" t="s">
        <v>32</v>
      </c>
      <c r="C2772" s="1">
        <v>0.0</v>
      </c>
      <c r="D2772" s="1" t="s">
        <v>25</v>
      </c>
      <c r="E2772" s="1" t="s">
        <v>25</v>
      </c>
      <c r="F2772" s="1">
        <v>17.0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1">
        <v>92.55</v>
      </c>
      <c r="T2772" s="1">
        <v>1515.1</v>
      </c>
      <c r="U2772" s="1">
        <v>0.0</v>
      </c>
      <c r="V2772" s="1">
        <v>1.0</v>
      </c>
      <c r="W2772" s="1" t="s">
        <v>25</v>
      </c>
    </row>
    <row r="2773" ht="15.75" customHeight="1">
      <c r="A2773" s="1" t="s">
        <v>2810</v>
      </c>
      <c r="B2773" s="1" t="s">
        <v>24</v>
      </c>
      <c r="C2773" s="1">
        <v>0.0</v>
      </c>
      <c r="D2773" s="1" t="s">
        <v>25</v>
      </c>
      <c r="E2773" s="1" t="s">
        <v>25</v>
      </c>
      <c r="F2773" s="1">
        <v>13.0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1">
        <v>63.15</v>
      </c>
      <c r="T2773" s="1">
        <v>816.8</v>
      </c>
      <c r="U2773" s="1">
        <v>0.0</v>
      </c>
      <c r="V2773" s="1">
        <v>0.0</v>
      </c>
      <c r="W2773" s="1" t="s">
        <v>26</v>
      </c>
    </row>
    <row r="2774" ht="15.75" customHeight="1">
      <c r="A2774" s="1" t="s">
        <v>2811</v>
      </c>
      <c r="B2774" s="1" t="s">
        <v>24</v>
      </c>
      <c r="C2774" s="1">
        <v>0.0</v>
      </c>
      <c r="D2774" s="1" t="s">
        <v>25</v>
      </c>
      <c r="E2774" s="1" t="s">
        <v>25</v>
      </c>
      <c r="F2774" s="1">
        <v>67.0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1">
        <v>74.0</v>
      </c>
      <c r="T2774" s="1">
        <v>4868.4</v>
      </c>
      <c r="U2774" s="1">
        <v>0.0</v>
      </c>
      <c r="V2774" s="1">
        <v>0.0</v>
      </c>
      <c r="W2774" s="1" t="s">
        <v>26</v>
      </c>
    </row>
    <row r="2775" ht="15.75" customHeight="1">
      <c r="A2775" s="1" t="s">
        <v>2812</v>
      </c>
      <c r="B2775" s="1" t="s">
        <v>32</v>
      </c>
      <c r="C2775" s="1">
        <v>0.0</v>
      </c>
      <c r="D2775" s="1" t="s">
        <v>25</v>
      </c>
      <c r="E2775" s="1" t="s">
        <v>26</v>
      </c>
      <c r="F2775" s="1">
        <v>24.0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1">
        <v>29.1</v>
      </c>
      <c r="T2775" s="1">
        <v>688.0</v>
      </c>
      <c r="U2775" s="1">
        <v>0.0</v>
      </c>
      <c r="V2775" s="1">
        <v>0.0</v>
      </c>
      <c r="W2775" s="1" t="s">
        <v>26</v>
      </c>
    </row>
    <row r="2776" ht="15.75" customHeight="1">
      <c r="A2776" s="1" t="s">
        <v>2813</v>
      </c>
      <c r="B2776" s="1" t="s">
        <v>32</v>
      </c>
      <c r="C2776" s="1">
        <v>0.0</v>
      </c>
      <c r="D2776" s="1" t="s">
        <v>26</v>
      </c>
      <c r="E2776" s="1" t="s">
        <v>26</v>
      </c>
      <c r="F2776" s="1">
        <v>6.0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1">
        <v>50.05</v>
      </c>
      <c r="T2776" s="1">
        <v>288.35</v>
      </c>
      <c r="U2776" s="1">
        <v>0.0</v>
      </c>
      <c r="V2776" s="1">
        <v>0.0</v>
      </c>
      <c r="W2776" s="1" t="s">
        <v>26</v>
      </c>
    </row>
    <row r="2777" ht="15.75" customHeight="1">
      <c r="A2777" s="1" t="s">
        <v>2814</v>
      </c>
      <c r="B2777" s="1" t="s">
        <v>32</v>
      </c>
      <c r="C2777" s="1">
        <v>1.0</v>
      </c>
      <c r="D2777" s="1" t="s">
        <v>25</v>
      </c>
      <c r="E2777" s="1" t="s">
        <v>26</v>
      </c>
      <c r="F2777" s="1">
        <v>53.0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1">
        <v>60.05</v>
      </c>
      <c r="T2777" s="1">
        <v>3229.65</v>
      </c>
      <c r="U2777" s="1">
        <v>0.0</v>
      </c>
      <c r="V2777" s="1">
        <v>0.0</v>
      </c>
      <c r="W2777" s="1" t="s">
        <v>25</v>
      </c>
    </row>
    <row r="2778" ht="15.75" customHeight="1">
      <c r="A2778" s="1" t="s">
        <v>2815</v>
      </c>
      <c r="B2778" s="1" t="s">
        <v>32</v>
      </c>
      <c r="C2778" s="1">
        <v>1.0</v>
      </c>
      <c r="D2778" s="1" t="s">
        <v>25</v>
      </c>
      <c r="E2778" s="1" t="s">
        <v>26</v>
      </c>
      <c r="F2778" s="1">
        <v>16.0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1">
        <v>74.3</v>
      </c>
      <c r="T2778" s="1">
        <v>1178.25</v>
      </c>
      <c r="U2778" s="1">
        <v>0.0</v>
      </c>
      <c r="V2778" s="1">
        <v>0.0</v>
      </c>
      <c r="W2778" s="1" t="s">
        <v>25</v>
      </c>
    </row>
    <row r="2779" ht="15.75" customHeight="1">
      <c r="A2779" s="1" t="s">
        <v>2816</v>
      </c>
      <c r="B2779" s="1" t="s">
        <v>32</v>
      </c>
      <c r="C2779" s="1">
        <v>0.0</v>
      </c>
      <c r="D2779" s="1" t="s">
        <v>26</v>
      </c>
      <c r="E2779" s="1" t="s">
        <v>26</v>
      </c>
      <c r="F2779" s="1">
        <v>10.0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1">
        <v>20.0</v>
      </c>
      <c r="T2779" s="1">
        <v>185.4</v>
      </c>
      <c r="U2779" s="1">
        <v>4.0</v>
      </c>
      <c r="V2779" s="1">
        <v>0.0</v>
      </c>
      <c r="W2779" s="1" t="s">
        <v>26</v>
      </c>
    </row>
    <row r="2780" ht="15.75" customHeight="1">
      <c r="A2780" s="1" t="s">
        <v>2817</v>
      </c>
      <c r="B2780" s="1" t="s">
        <v>24</v>
      </c>
      <c r="C2780" s="1">
        <v>0.0</v>
      </c>
      <c r="D2780" s="1" t="s">
        <v>26</v>
      </c>
      <c r="E2780" s="1" t="s">
        <v>26</v>
      </c>
      <c r="F2780" s="1">
        <v>13.0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1">
        <v>74.65</v>
      </c>
      <c r="T2780" s="1">
        <v>966.25</v>
      </c>
      <c r="U2780" s="1">
        <v>0.0</v>
      </c>
      <c r="V2780" s="1">
        <v>0.0</v>
      </c>
      <c r="W2780" s="1" t="s">
        <v>26</v>
      </c>
    </row>
    <row r="2781" ht="15.75" customHeight="1">
      <c r="A2781" s="1" t="s">
        <v>2818</v>
      </c>
      <c r="B2781" s="1" t="s">
        <v>32</v>
      </c>
      <c r="C2781" s="1">
        <v>0.0</v>
      </c>
      <c r="D2781" s="1" t="s">
        <v>26</v>
      </c>
      <c r="E2781" s="1" t="s">
        <v>26</v>
      </c>
      <c r="F2781" s="1">
        <v>9.0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1">
        <v>85.35</v>
      </c>
      <c r="T2781" s="1">
        <v>758.6</v>
      </c>
      <c r="U2781" s="1">
        <v>0.0</v>
      </c>
      <c r="V2781" s="1">
        <v>0.0</v>
      </c>
      <c r="W2781" s="1" t="s">
        <v>25</v>
      </c>
    </row>
    <row r="2782" ht="15.75" customHeight="1">
      <c r="A2782" s="1" t="s">
        <v>2819</v>
      </c>
      <c r="B2782" s="1" t="s">
        <v>24</v>
      </c>
      <c r="C2782" s="1">
        <v>0.0</v>
      </c>
      <c r="D2782" s="1" t="s">
        <v>26</v>
      </c>
      <c r="E2782" s="1" t="s">
        <v>26</v>
      </c>
      <c r="F2782" s="1">
        <v>25.0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1">
        <v>74.3</v>
      </c>
      <c r="T2782" s="1">
        <v>1863.8</v>
      </c>
      <c r="U2782" s="1">
        <v>0.0</v>
      </c>
      <c r="V2782" s="1">
        <v>2.0</v>
      </c>
      <c r="W2782" s="1" t="s">
        <v>25</v>
      </c>
    </row>
    <row r="2783" ht="15.75" customHeight="1">
      <c r="A2783" s="1" t="s">
        <v>2820</v>
      </c>
      <c r="B2783" s="1" t="s">
        <v>32</v>
      </c>
      <c r="C2783" s="1">
        <v>1.0</v>
      </c>
      <c r="D2783" s="1" t="s">
        <v>26</v>
      </c>
      <c r="E2783" s="1" t="s">
        <v>26</v>
      </c>
      <c r="F2783" s="1">
        <v>7.0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1">
        <v>44.4</v>
      </c>
      <c r="T2783" s="1">
        <v>265.8</v>
      </c>
      <c r="U2783" s="1">
        <v>0.0</v>
      </c>
      <c r="V2783" s="1">
        <v>0.0</v>
      </c>
      <c r="W2783" s="1" t="s">
        <v>26</v>
      </c>
    </row>
    <row r="2784" ht="15.75" customHeight="1">
      <c r="A2784" s="1" t="s">
        <v>2821</v>
      </c>
      <c r="B2784" s="1" t="s">
        <v>32</v>
      </c>
      <c r="C2784" s="1">
        <v>0.0</v>
      </c>
      <c r="D2784" s="1" t="s">
        <v>25</v>
      </c>
      <c r="E2784" s="1" t="s">
        <v>25</v>
      </c>
      <c r="F2784" s="1">
        <v>38.0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1">
        <v>85.4</v>
      </c>
      <c r="T2784" s="1">
        <v>3297.0</v>
      </c>
      <c r="U2784" s="1">
        <v>0.0</v>
      </c>
      <c r="V2784" s="1">
        <v>0.0</v>
      </c>
      <c r="W2784" s="1" t="s">
        <v>26</v>
      </c>
    </row>
    <row r="2785" ht="15.75" customHeight="1">
      <c r="A2785" s="1" t="s">
        <v>2822</v>
      </c>
      <c r="B2785" s="1" t="s">
        <v>24</v>
      </c>
      <c r="C2785" s="1">
        <v>0.0</v>
      </c>
      <c r="D2785" s="1" t="s">
        <v>25</v>
      </c>
      <c r="E2785" s="1" t="s">
        <v>26</v>
      </c>
      <c r="F2785" s="1">
        <v>43.0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1">
        <v>94.1</v>
      </c>
      <c r="T2785" s="1">
        <v>4107.3</v>
      </c>
      <c r="U2785" s="1">
        <v>0.0</v>
      </c>
      <c r="V2785" s="1">
        <v>0.0</v>
      </c>
      <c r="W2785" s="1" t="s">
        <v>26</v>
      </c>
    </row>
    <row r="2786" ht="15.75" customHeight="1">
      <c r="A2786" s="1" t="s">
        <v>2823</v>
      </c>
      <c r="B2786" s="1" t="s">
        <v>24</v>
      </c>
      <c r="C2786" s="1">
        <v>0.0</v>
      </c>
      <c r="D2786" s="1" t="s">
        <v>26</v>
      </c>
      <c r="E2786" s="1" t="s">
        <v>25</v>
      </c>
      <c r="F2786" s="1">
        <v>4.0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1">
        <v>98.1</v>
      </c>
      <c r="T2786" s="1">
        <v>396.3</v>
      </c>
      <c r="U2786" s="1">
        <v>0.0</v>
      </c>
      <c r="V2786" s="1">
        <v>1.0</v>
      </c>
      <c r="W2786" s="1" t="s">
        <v>25</v>
      </c>
    </row>
    <row r="2787" ht="15.75" customHeight="1">
      <c r="A2787" s="1" t="s">
        <v>2824</v>
      </c>
      <c r="B2787" s="1" t="s">
        <v>24</v>
      </c>
      <c r="C2787" s="1">
        <v>0.0</v>
      </c>
      <c r="D2787" s="1" t="s">
        <v>26</v>
      </c>
      <c r="E2787" s="1" t="s">
        <v>26</v>
      </c>
      <c r="F2787" s="1">
        <v>25.0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1">
        <v>108.9</v>
      </c>
      <c r="T2787" s="1">
        <v>2809.05</v>
      </c>
      <c r="U2787" s="1">
        <v>1.0</v>
      </c>
      <c r="V2787" s="1">
        <v>0.0</v>
      </c>
      <c r="W2787" s="1" t="s">
        <v>26</v>
      </c>
    </row>
    <row r="2788" ht="15.75" customHeight="1">
      <c r="A2788" s="1" t="s">
        <v>2825</v>
      </c>
      <c r="B2788" s="1" t="s">
        <v>32</v>
      </c>
      <c r="C2788" s="1">
        <v>0.0</v>
      </c>
      <c r="D2788" s="1" t="s">
        <v>26</v>
      </c>
      <c r="E2788" s="1" t="s">
        <v>25</v>
      </c>
      <c r="F2788" s="1">
        <v>27.0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1">
        <v>56.2</v>
      </c>
      <c r="T2788" s="1">
        <v>1567.55</v>
      </c>
      <c r="U2788" s="1">
        <v>0.0</v>
      </c>
      <c r="V2788" s="1">
        <v>0.0</v>
      </c>
      <c r="W2788" s="1" t="s">
        <v>26</v>
      </c>
    </row>
    <row r="2789" ht="15.75" customHeight="1">
      <c r="A2789" s="1" t="s">
        <v>2826</v>
      </c>
      <c r="B2789" s="1" t="s">
        <v>32</v>
      </c>
      <c r="C2789" s="1">
        <v>0.0</v>
      </c>
      <c r="D2789" s="1" t="s">
        <v>25</v>
      </c>
      <c r="E2789" s="1" t="s">
        <v>25</v>
      </c>
      <c r="F2789" s="1">
        <v>72.0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1">
        <v>26.1</v>
      </c>
      <c r="T2789" s="1">
        <v>1851.45</v>
      </c>
      <c r="U2789" s="1">
        <v>2.0</v>
      </c>
      <c r="V2789" s="1">
        <v>0.0</v>
      </c>
      <c r="W2789" s="1" t="s">
        <v>26</v>
      </c>
    </row>
    <row r="2790" ht="15.75" customHeight="1">
      <c r="A2790" s="1" t="s">
        <v>2827</v>
      </c>
      <c r="B2790" s="1" t="s">
        <v>32</v>
      </c>
      <c r="C2790" s="1">
        <v>0.0</v>
      </c>
      <c r="D2790" s="1" t="s">
        <v>26</v>
      </c>
      <c r="E2790" s="1" t="s">
        <v>25</v>
      </c>
      <c r="F2790" s="1">
        <v>71.0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1">
        <v>85.45</v>
      </c>
      <c r="T2790" s="1">
        <v>6028.95</v>
      </c>
      <c r="U2790" s="1">
        <v>0.0</v>
      </c>
      <c r="V2790" s="1">
        <v>0.0</v>
      </c>
      <c r="W2790" s="1" t="s">
        <v>26</v>
      </c>
    </row>
    <row r="2791" ht="15.75" customHeight="1">
      <c r="A2791" s="1" t="s">
        <v>2828</v>
      </c>
      <c r="B2791" s="1" t="s">
        <v>24</v>
      </c>
      <c r="C2791" s="1">
        <v>0.0</v>
      </c>
      <c r="D2791" s="1" t="s">
        <v>26</v>
      </c>
      <c r="E2791" s="1" t="s">
        <v>26</v>
      </c>
      <c r="F2791" s="1">
        <v>24.0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1">
        <v>88.95</v>
      </c>
      <c r="T2791" s="1">
        <v>2072.75</v>
      </c>
      <c r="U2791" s="1">
        <v>0.0</v>
      </c>
      <c r="V2791" s="1">
        <v>0.0</v>
      </c>
      <c r="W2791" s="1" t="s">
        <v>26</v>
      </c>
    </row>
    <row r="2792" ht="15.75" customHeight="1">
      <c r="A2792" s="1" t="s">
        <v>2829</v>
      </c>
      <c r="B2792" s="1" t="s">
        <v>24</v>
      </c>
      <c r="C2792" s="1">
        <v>0.0</v>
      </c>
      <c r="D2792" s="1" t="s">
        <v>26</v>
      </c>
      <c r="E2792" s="1" t="s">
        <v>26</v>
      </c>
      <c r="F2792" s="1">
        <v>50.0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1">
        <v>109.65</v>
      </c>
      <c r="T2792" s="1">
        <v>5551.15</v>
      </c>
      <c r="U2792" s="1">
        <v>0.0</v>
      </c>
      <c r="V2792" s="1">
        <v>5.0</v>
      </c>
      <c r="W2792" s="1" t="s">
        <v>25</v>
      </c>
    </row>
    <row r="2793" ht="15.75" customHeight="1">
      <c r="A2793" s="1" t="s">
        <v>2830</v>
      </c>
      <c r="B2793" s="1" t="s">
        <v>32</v>
      </c>
      <c r="C2793" s="1">
        <v>0.0</v>
      </c>
      <c r="D2793" s="1" t="s">
        <v>26</v>
      </c>
      <c r="E2793" s="1" t="s">
        <v>26</v>
      </c>
      <c r="F2793" s="1">
        <v>57.0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1">
        <v>74.35</v>
      </c>
      <c r="T2793" s="1">
        <v>4317.35</v>
      </c>
      <c r="U2793" s="1">
        <v>0.0</v>
      </c>
      <c r="V2793" s="1">
        <v>0.0</v>
      </c>
      <c r="W2793" s="1" t="s">
        <v>26</v>
      </c>
    </row>
    <row r="2794" ht="15.75" customHeight="1">
      <c r="A2794" s="1" t="s">
        <v>2831</v>
      </c>
      <c r="B2794" s="1" t="s">
        <v>24</v>
      </c>
      <c r="C2794" s="1">
        <v>0.0</v>
      </c>
      <c r="D2794" s="1" t="s">
        <v>26</v>
      </c>
      <c r="E2794" s="1" t="s">
        <v>26</v>
      </c>
      <c r="F2794" s="1">
        <v>15.0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1">
        <v>48.85</v>
      </c>
      <c r="T2794" s="1">
        <v>736.8</v>
      </c>
      <c r="U2794" s="1">
        <v>0.0</v>
      </c>
      <c r="V2794" s="1">
        <v>0.0</v>
      </c>
      <c r="W2794" s="1" t="s">
        <v>26</v>
      </c>
    </row>
    <row r="2795" ht="15.75" customHeight="1">
      <c r="A2795" s="1" t="s">
        <v>2832</v>
      </c>
      <c r="B2795" s="1" t="s">
        <v>32</v>
      </c>
      <c r="C2795" s="1">
        <v>0.0</v>
      </c>
      <c r="D2795" s="1" t="s">
        <v>26</v>
      </c>
      <c r="E2795" s="1" t="s">
        <v>26</v>
      </c>
      <c r="F2795" s="1">
        <v>4.0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1">
        <v>80.1</v>
      </c>
      <c r="T2795" s="1">
        <v>336.15</v>
      </c>
      <c r="U2795" s="1">
        <v>0.0</v>
      </c>
      <c r="V2795" s="1">
        <v>0.0</v>
      </c>
      <c r="W2795" s="1" t="s">
        <v>26</v>
      </c>
    </row>
    <row r="2796" ht="15.75" customHeight="1">
      <c r="A2796" s="1" t="s">
        <v>2833</v>
      </c>
      <c r="B2796" s="1" t="s">
        <v>24</v>
      </c>
      <c r="C2796" s="1">
        <v>0.0</v>
      </c>
      <c r="D2796" s="1" t="s">
        <v>26</v>
      </c>
      <c r="E2796" s="1" t="s">
        <v>26</v>
      </c>
      <c r="F2796" s="1">
        <v>28.0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1">
        <v>56.05</v>
      </c>
      <c r="T2796" s="1">
        <v>1522.65</v>
      </c>
      <c r="U2796" s="1">
        <v>0.0</v>
      </c>
      <c r="V2796" s="1">
        <v>0.0</v>
      </c>
      <c r="W2796" s="1" t="s">
        <v>26</v>
      </c>
    </row>
    <row r="2797" ht="15.75" customHeight="1">
      <c r="A2797" s="1" t="s">
        <v>2834</v>
      </c>
      <c r="B2797" s="1" t="s">
        <v>24</v>
      </c>
      <c r="C2797" s="1">
        <v>1.0</v>
      </c>
      <c r="D2797" s="1" t="s">
        <v>26</v>
      </c>
      <c r="E2797" s="1" t="s">
        <v>26</v>
      </c>
      <c r="F2797" s="1">
        <v>9.0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1">
        <v>74.55</v>
      </c>
      <c r="T2797" s="1">
        <v>622.9</v>
      </c>
      <c r="U2797" s="1">
        <v>0.0</v>
      </c>
      <c r="V2797" s="1">
        <v>0.0</v>
      </c>
      <c r="W2797" s="1" t="s">
        <v>25</v>
      </c>
    </row>
    <row r="2798" ht="15.75" customHeight="1">
      <c r="A2798" s="1" t="s">
        <v>2835</v>
      </c>
      <c r="B2798" s="1" t="s">
        <v>24</v>
      </c>
      <c r="C2798" s="1">
        <v>0.0</v>
      </c>
      <c r="D2798" s="1" t="s">
        <v>25</v>
      </c>
      <c r="E2798" s="1" t="s">
        <v>26</v>
      </c>
      <c r="F2798" s="1">
        <v>55.0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1">
        <v>89.8</v>
      </c>
      <c r="T2798" s="1">
        <v>4959.6</v>
      </c>
      <c r="U2798" s="1">
        <v>0.0</v>
      </c>
      <c r="V2798" s="1">
        <v>0.0</v>
      </c>
      <c r="W2798" s="1" t="s">
        <v>26</v>
      </c>
    </row>
    <row r="2799" ht="15.75" customHeight="1">
      <c r="A2799" s="1" t="s">
        <v>2836</v>
      </c>
      <c r="B2799" s="1" t="s">
        <v>32</v>
      </c>
      <c r="C2799" s="1">
        <v>0.0</v>
      </c>
      <c r="D2799" s="1" t="s">
        <v>26</v>
      </c>
      <c r="E2799" s="1" t="s">
        <v>26</v>
      </c>
      <c r="F2799" s="1">
        <v>3.0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1">
        <v>100.95</v>
      </c>
      <c r="T2799" s="1">
        <v>329.95</v>
      </c>
      <c r="U2799" s="1">
        <v>0.0</v>
      </c>
      <c r="V2799" s="1">
        <v>0.0</v>
      </c>
      <c r="W2799" s="1" t="s">
        <v>25</v>
      </c>
    </row>
    <row r="2800" ht="15.75" customHeight="1">
      <c r="A2800" s="1" t="s">
        <v>2837</v>
      </c>
      <c r="B2800" s="1" t="s">
        <v>32</v>
      </c>
      <c r="C2800" s="1">
        <v>0.0</v>
      </c>
      <c r="D2800" s="1" t="s">
        <v>26</v>
      </c>
      <c r="E2800" s="1" t="s">
        <v>26</v>
      </c>
      <c r="F2800" s="1">
        <v>10.0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1">
        <v>94.9</v>
      </c>
      <c r="T2800" s="1">
        <v>1048.85</v>
      </c>
      <c r="U2800" s="1">
        <v>0.0</v>
      </c>
      <c r="V2800" s="1">
        <v>3.0</v>
      </c>
      <c r="W2800" s="1" t="s">
        <v>25</v>
      </c>
    </row>
    <row r="2801" ht="15.75" customHeight="1">
      <c r="A2801" s="1" t="s">
        <v>2838</v>
      </c>
      <c r="B2801" s="1" t="s">
        <v>32</v>
      </c>
      <c r="C2801" s="1">
        <v>0.0</v>
      </c>
      <c r="D2801" s="1" t="s">
        <v>26</v>
      </c>
      <c r="E2801" s="1" t="s">
        <v>25</v>
      </c>
      <c r="F2801" s="1">
        <v>55.0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1">
        <v>19.1</v>
      </c>
      <c r="T2801" s="1">
        <v>1001.5</v>
      </c>
      <c r="U2801" s="1">
        <v>0.0</v>
      </c>
      <c r="V2801" s="1">
        <v>0.0</v>
      </c>
      <c r="W2801" s="1" t="s">
        <v>26</v>
      </c>
    </row>
    <row r="2802" ht="15.75" customHeight="1">
      <c r="A2802" s="1" t="s">
        <v>2839</v>
      </c>
      <c r="B2802" s="1" t="s">
        <v>24</v>
      </c>
      <c r="C2802" s="1">
        <v>0.0</v>
      </c>
      <c r="D2802" s="1" t="s">
        <v>25</v>
      </c>
      <c r="E2802" s="1" t="s">
        <v>25</v>
      </c>
      <c r="F2802" s="1">
        <v>20.0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1">
        <v>20.35</v>
      </c>
      <c r="T2802" s="1">
        <v>442.6</v>
      </c>
      <c r="U2802" s="1">
        <v>0.0</v>
      </c>
      <c r="V2802" s="1">
        <v>0.0</v>
      </c>
      <c r="W2802" s="1" t="s">
        <v>26</v>
      </c>
    </row>
    <row r="2803" ht="15.75" customHeight="1">
      <c r="A2803" s="1" t="s">
        <v>2840</v>
      </c>
      <c r="B2803" s="1" t="s">
        <v>24</v>
      </c>
      <c r="C2803" s="1">
        <v>0.0</v>
      </c>
      <c r="D2803" s="1" t="s">
        <v>25</v>
      </c>
      <c r="E2803" s="1" t="s">
        <v>25</v>
      </c>
      <c r="F2803" s="1">
        <v>62.0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1">
        <v>106.05</v>
      </c>
      <c r="T2803" s="1">
        <v>6703.5</v>
      </c>
      <c r="U2803" s="1">
        <v>0.0</v>
      </c>
      <c r="V2803" s="1">
        <v>0.0</v>
      </c>
      <c r="W2803" s="1" t="s">
        <v>26</v>
      </c>
    </row>
    <row r="2804" ht="15.75" customHeight="1">
      <c r="A2804" s="1" t="s">
        <v>2841</v>
      </c>
      <c r="B2804" s="1" t="s">
        <v>32</v>
      </c>
      <c r="C2804" s="1">
        <v>1.0</v>
      </c>
      <c r="D2804" s="1" t="s">
        <v>25</v>
      </c>
      <c r="E2804" s="1" t="s">
        <v>26</v>
      </c>
      <c r="F2804" s="1">
        <v>32.0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1">
        <v>104.9</v>
      </c>
      <c r="T2804" s="1">
        <v>3351.55</v>
      </c>
      <c r="U2804" s="1">
        <v>0.0</v>
      </c>
      <c r="V2804" s="1">
        <v>3.0</v>
      </c>
      <c r="W2804" s="1" t="s">
        <v>25</v>
      </c>
    </row>
    <row r="2805" ht="15.75" customHeight="1">
      <c r="A2805" s="1" t="s">
        <v>2842</v>
      </c>
      <c r="B2805" s="1" t="s">
        <v>24</v>
      </c>
      <c r="C2805" s="1">
        <v>0.0</v>
      </c>
      <c r="D2805" s="1" t="s">
        <v>26</v>
      </c>
      <c r="E2805" s="1" t="s">
        <v>26</v>
      </c>
      <c r="F2805" s="1">
        <v>43.0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1">
        <v>19.65</v>
      </c>
      <c r="T2805" s="1">
        <v>779.25</v>
      </c>
      <c r="U2805" s="1">
        <v>0.0</v>
      </c>
      <c r="V2805" s="1">
        <v>2.0</v>
      </c>
      <c r="W2805" s="1" t="s">
        <v>26</v>
      </c>
    </row>
    <row r="2806" ht="15.75" customHeight="1">
      <c r="A2806" s="1" t="s">
        <v>2843</v>
      </c>
      <c r="B2806" s="1" t="s">
        <v>32</v>
      </c>
      <c r="C2806" s="1">
        <v>0.0</v>
      </c>
      <c r="D2806" s="1" t="s">
        <v>25</v>
      </c>
      <c r="E2806" s="1" t="s">
        <v>26</v>
      </c>
      <c r="F2806" s="1">
        <v>9.0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1">
        <v>24.1</v>
      </c>
      <c r="T2806" s="1">
        <v>259.8</v>
      </c>
      <c r="U2806" s="1">
        <v>0.0</v>
      </c>
      <c r="V2806" s="1">
        <v>0.0</v>
      </c>
      <c r="W2806" s="1" t="s">
        <v>25</v>
      </c>
    </row>
    <row r="2807" ht="15.75" customHeight="1">
      <c r="A2807" s="1" t="s">
        <v>2844</v>
      </c>
      <c r="B2807" s="1" t="s">
        <v>24</v>
      </c>
      <c r="C2807" s="1">
        <v>0.0</v>
      </c>
      <c r="D2807" s="1" t="s">
        <v>25</v>
      </c>
      <c r="E2807" s="1" t="s">
        <v>26</v>
      </c>
      <c r="F2807" s="1">
        <v>60.0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1">
        <v>59.85</v>
      </c>
      <c r="T2807" s="1">
        <v>3483.45</v>
      </c>
      <c r="U2807" s="1">
        <v>0.0</v>
      </c>
      <c r="V2807" s="1">
        <v>0.0</v>
      </c>
      <c r="W2807" s="1" t="s">
        <v>26</v>
      </c>
    </row>
    <row r="2808" ht="15.75" customHeight="1">
      <c r="A2808" s="1" t="s">
        <v>2845</v>
      </c>
      <c r="B2808" s="1" t="s">
        <v>32</v>
      </c>
      <c r="C2808" s="1">
        <v>0.0</v>
      </c>
      <c r="D2808" s="1" t="s">
        <v>25</v>
      </c>
      <c r="E2808" s="1" t="s">
        <v>26</v>
      </c>
      <c r="F2808" s="1">
        <v>58.0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1">
        <v>86.1</v>
      </c>
      <c r="T2808" s="1">
        <v>4890.5</v>
      </c>
      <c r="U2808" s="1">
        <v>0.0</v>
      </c>
      <c r="V2808" s="1">
        <v>0.0</v>
      </c>
      <c r="W2808" s="1" t="s">
        <v>26</v>
      </c>
    </row>
    <row r="2809" ht="15.75" customHeight="1">
      <c r="A2809" s="1" t="s">
        <v>2846</v>
      </c>
      <c r="B2809" s="1" t="s">
        <v>32</v>
      </c>
      <c r="C2809" s="1">
        <v>0.0</v>
      </c>
      <c r="D2809" s="1" t="s">
        <v>26</v>
      </c>
      <c r="E2809" s="1" t="s">
        <v>25</v>
      </c>
      <c r="F2809" s="1">
        <v>7.0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1">
        <v>19.45</v>
      </c>
      <c r="T2809" s="1">
        <v>136.75</v>
      </c>
      <c r="U2809" s="1">
        <v>0.0</v>
      </c>
      <c r="V2809" s="1">
        <v>0.0</v>
      </c>
      <c r="W2809" s="1" t="s">
        <v>26</v>
      </c>
    </row>
    <row r="2810" ht="15.75" customHeight="1">
      <c r="A2810" s="1" t="s">
        <v>2847</v>
      </c>
      <c r="B2810" s="1" t="s">
        <v>32</v>
      </c>
      <c r="C2810" s="1">
        <v>0.0</v>
      </c>
      <c r="D2810" s="1" t="s">
        <v>25</v>
      </c>
      <c r="E2810" s="1" t="s">
        <v>25</v>
      </c>
      <c r="F2810" s="1">
        <v>2.0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1">
        <v>97.1</v>
      </c>
      <c r="T2810" s="1">
        <v>184.15</v>
      </c>
      <c r="U2810" s="1">
        <v>0.0</v>
      </c>
      <c r="V2810" s="1">
        <v>0.0</v>
      </c>
      <c r="W2810" s="1" t="s">
        <v>26</v>
      </c>
    </row>
    <row r="2811" ht="15.75" customHeight="1">
      <c r="A2811" s="1" t="s">
        <v>2848</v>
      </c>
      <c r="B2811" s="1" t="s">
        <v>32</v>
      </c>
      <c r="C2811" s="1">
        <v>1.0</v>
      </c>
      <c r="D2811" s="1" t="s">
        <v>26</v>
      </c>
      <c r="E2811" s="1" t="s">
        <v>26</v>
      </c>
      <c r="F2811" s="1">
        <v>37.0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1">
        <v>36.65</v>
      </c>
      <c r="T2811" s="1">
        <v>1315.0</v>
      </c>
      <c r="U2811" s="1">
        <v>0.0</v>
      </c>
      <c r="V2811" s="1">
        <v>0.0</v>
      </c>
      <c r="W2811" s="1" t="s">
        <v>26</v>
      </c>
    </row>
    <row r="2812" ht="15.75" customHeight="1">
      <c r="A2812" s="1" t="s">
        <v>2849</v>
      </c>
      <c r="B2812" s="1" t="s">
        <v>24</v>
      </c>
      <c r="C2812" s="1">
        <v>1.0</v>
      </c>
      <c r="D2812" s="1" t="s">
        <v>25</v>
      </c>
      <c r="E2812" s="1" t="s">
        <v>25</v>
      </c>
      <c r="F2812" s="1">
        <v>65.0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1">
        <v>103.9</v>
      </c>
      <c r="T2812" s="1">
        <v>6767.1</v>
      </c>
      <c r="U2812" s="1">
        <v>0.0</v>
      </c>
      <c r="V2812" s="1">
        <v>0.0</v>
      </c>
      <c r="W2812" s="1" t="s">
        <v>26</v>
      </c>
    </row>
    <row r="2813" ht="15.75" customHeight="1">
      <c r="A2813" s="1" t="s">
        <v>2850</v>
      </c>
      <c r="B2813" s="1" t="s">
        <v>24</v>
      </c>
      <c r="C2813" s="1">
        <v>0.0</v>
      </c>
      <c r="D2813" s="1" t="s">
        <v>25</v>
      </c>
      <c r="E2813" s="1" t="s">
        <v>25</v>
      </c>
      <c r="F2813" s="1">
        <v>39.0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1">
        <v>19.75</v>
      </c>
      <c r="T2813" s="1">
        <v>757.95</v>
      </c>
      <c r="U2813" s="1">
        <v>0.0</v>
      </c>
      <c r="V2813" s="1">
        <v>0.0</v>
      </c>
      <c r="W2813" s="1" t="s">
        <v>26</v>
      </c>
    </row>
    <row r="2814" ht="15.75" customHeight="1">
      <c r="A2814" s="1" t="s">
        <v>2851</v>
      </c>
      <c r="B2814" s="1" t="s">
        <v>32</v>
      </c>
      <c r="C2814" s="1">
        <v>0.0</v>
      </c>
      <c r="D2814" s="1" t="s">
        <v>25</v>
      </c>
      <c r="E2814" s="1" t="s">
        <v>26</v>
      </c>
      <c r="F2814" s="1">
        <v>66.0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1">
        <v>104.05</v>
      </c>
      <c r="T2814" s="1">
        <v>6890.0</v>
      </c>
      <c r="U2814" s="1">
        <v>0.0</v>
      </c>
      <c r="V2814" s="1">
        <v>5.0</v>
      </c>
      <c r="W2814" s="1" t="s">
        <v>25</v>
      </c>
    </row>
    <row r="2815" ht="15.75" customHeight="1">
      <c r="A2815" s="1" t="s">
        <v>2852</v>
      </c>
      <c r="B2815" s="1" t="s">
        <v>32</v>
      </c>
      <c r="C2815" s="1">
        <v>0.0</v>
      </c>
      <c r="D2815" s="1" t="s">
        <v>26</v>
      </c>
      <c r="E2815" s="1" t="s">
        <v>26</v>
      </c>
      <c r="F2815" s="1">
        <v>68.0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1">
        <v>24.55</v>
      </c>
      <c r="T2815" s="1">
        <v>1657.4</v>
      </c>
      <c r="U2815" s="1">
        <v>0.0</v>
      </c>
      <c r="V2815" s="1">
        <v>0.0</v>
      </c>
      <c r="W2815" s="1" t="s">
        <v>26</v>
      </c>
    </row>
    <row r="2816" ht="15.75" customHeight="1">
      <c r="A2816" s="1" t="s">
        <v>2853</v>
      </c>
      <c r="B2816" s="1" t="s">
        <v>24</v>
      </c>
      <c r="C2816" s="1">
        <v>0.0</v>
      </c>
      <c r="D2816" s="1" t="s">
        <v>25</v>
      </c>
      <c r="E2816" s="1" t="s">
        <v>25</v>
      </c>
      <c r="F2816" s="1">
        <v>62.0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1">
        <v>48.7</v>
      </c>
      <c r="T2816" s="1">
        <v>3008.55</v>
      </c>
      <c r="U2816" s="1">
        <v>0.0</v>
      </c>
      <c r="V2816" s="1">
        <v>4.0</v>
      </c>
      <c r="W2816" s="1" t="s">
        <v>26</v>
      </c>
    </row>
    <row r="2817" ht="15.75" customHeight="1">
      <c r="A2817" s="1" t="s">
        <v>2854</v>
      </c>
      <c r="B2817" s="1" t="s">
        <v>32</v>
      </c>
      <c r="C2817" s="1">
        <v>0.0</v>
      </c>
      <c r="D2817" s="1" t="s">
        <v>26</v>
      </c>
      <c r="E2817" s="1" t="s">
        <v>26</v>
      </c>
      <c r="F2817" s="1">
        <v>3.0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1">
        <v>88.35</v>
      </c>
      <c r="T2817" s="1">
        <v>262.05</v>
      </c>
      <c r="U2817" s="1">
        <v>0.0</v>
      </c>
      <c r="V2817" s="1">
        <v>0.0</v>
      </c>
      <c r="W2817" s="1" t="s">
        <v>25</v>
      </c>
    </row>
    <row r="2818" ht="15.75" customHeight="1">
      <c r="A2818" s="1" t="s">
        <v>2855</v>
      </c>
      <c r="B2818" s="1" t="s">
        <v>24</v>
      </c>
      <c r="C2818" s="1">
        <v>0.0</v>
      </c>
      <c r="D2818" s="1" t="s">
        <v>25</v>
      </c>
      <c r="E2818" s="1" t="s">
        <v>26</v>
      </c>
      <c r="F2818" s="1">
        <v>72.0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1">
        <v>109.55</v>
      </c>
      <c r="T2818" s="1">
        <v>8165.1</v>
      </c>
      <c r="U2818" s="1">
        <v>0.0</v>
      </c>
      <c r="V2818" s="1">
        <v>0.0</v>
      </c>
      <c r="W2818" s="1" t="s">
        <v>26</v>
      </c>
    </row>
    <row r="2819" ht="15.75" customHeight="1">
      <c r="A2819" s="1" t="s">
        <v>2856</v>
      </c>
      <c r="B2819" s="1" t="s">
        <v>24</v>
      </c>
      <c r="C2819" s="1">
        <v>0.0</v>
      </c>
      <c r="D2819" s="1" t="s">
        <v>25</v>
      </c>
      <c r="E2819" s="1" t="s">
        <v>26</v>
      </c>
      <c r="F2819" s="1">
        <v>41.0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1">
        <v>20.65</v>
      </c>
      <c r="T2819" s="1">
        <v>875.55</v>
      </c>
      <c r="U2819" s="1">
        <v>0.0</v>
      </c>
      <c r="V2819" s="1">
        <v>0.0</v>
      </c>
      <c r="W2819" s="1" t="s">
        <v>26</v>
      </c>
    </row>
    <row r="2820" ht="15.75" customHeight="1">
      <c r="A2820" s="1" t="s">
        <v>2857</v>
      </c>
      <c r="B2820" s="1" t="s">
        <v>32</v>
      </c>
      <c r="C2820" s="1">
        <v>0.0</v>
      </c>
      <c r="D2820" s="1" t="s">
        <v>25</v>
      </c>
      <c r="E2820" s="1" t="s">
        <v>25</v>
      </c>
      <c r="F2820" s="1">
        <v>29.0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1">
        <v>94.65</v>
      </c>
      <c r="T2820" s="1">
        <v>2649.15</v>
      </c>
      <c r="U2820" s="1">
        <v>0.0</v>
      </c>
      <c r="V2820" s="1">
        <v>2.0</v>
      </c>
      <c r="W2820" s="1" t="s">
        <v>25</v>
      </c>
    </row>
    <row r="2821" ht="15.75" customHeight="1">
      <c r="A2821" s="1" t="s">
        <v>2858</v>
      </c>
      <c r="B2821" s="1" t="s">
        <v>24</v>
      </c>
      <c r="C2821" s="1">
        <v>0.0</v>
      </c>
      <c r="D2821" s="1" t="s">
        <v>26</v>
      </c>
      <c r="E2821" s="1" t="s">
        <v>26</v>
      </c>
      <c r="F2821" s="1">
        <v>4.0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1">
        <v>55.2</v>
      </c>
      <c r="T2821" s="1">
        <v>220.65</v>
      </c>
      <c r="U2821" s="1">
        <v>3.0</v>
      </c>
      <c r="V2821" s="1">
        <v>0.0</v>
      </c>
      <c r="W2821" s="1" t="s">
        <v>26</v>
      </c>
    </row>
    <row r="2822" ht="15.75" customHeight="1">
      <c r="A2822" s="1" t="s">
        <v>2859</v>
      </c>
      <c r="B2822" s="1" t="s">
        <v>32</v>
      </c>
      <c r="C2822" s="1">
        <v>0.0</v>
      </c>
      <c r="D2822" s="1" t="s">
        <v>26</v>
      </c>
      <c r="E2822" s="1" t="s">
        <v>26</v>
      </c>
      <c r="F2822" s="1">
        <v>53.0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1">
        <v>24.05</v>
      </c>
      <c r="T2822" s="1">
        <v>1301.9</v>
      </c>
      <c r="U2822" s="1">
        <v>0.0</v>
      </c>
      <c r="V2822" s="1">
        <v>0.0</v>
      </c>
      <c r="W2822" s="1" t="s">
        <v>26</v>
      </c>
    </row>
    <row r="2823" ht="15.75" customHeight="1">
      <c r="A2823" s="1" t="s">
        <v>2860</v>
      </c>
      <c r="B2823" s="1" t="s">
        <v>32</v>
      </c>
      <c r="C2823" s="1">
        <v>1.0</v>
      </c>
      <c r="D2823" s="1" t="s">
        <v>25</v>
      </c>
      <c r="E2823" s="1" t="s">
        <v>26</v>
      </c>
      <c r="F2823" s="1">
        <v>1.0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1">
        <v>74.4</v>
      </c>
      <c r="T2823" s="1">
        <v>74.4</v>
      </c>
      <c r="U2823" s="1">
        <v>2.0</v>
      </c>
      <c r="V2823" s="1">
        <v>0.0</v>
      </c>
      <c r="W2823" s="1" t="s">
        <v>25</v>
      </c>
    </row>
    <row r="2824" ht="15.75" customHeight="1">
      <c r="A2824" s="1" t="s">
        <v>2861</v>
      </c>
      <c r="B2824" s="1" t="s">
        <v>24</v>
      </c>
      <c r="C2824" s="1">
        <v>0.0</v>
      </c>
      <c r="D2824" s="1" t="s">
        <v>25</v>
      </c>
      <c r="E2824" s="1" t="s">
        <v>25</v>
      </c>
      <c r="F2824" s="1">
        <v>41.0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1">
        <v>79.9</v>
      </c>
      <c r="T2824" s="1">
        <v>3326.2</v>
      </c>
      <c r="U2824" s="1">
        <v>0.0</v>
      </c>
      <c r="V2824" s="1">
        <v>5.0</v>
      </c>
      <c r="W2824" s="1" t="s">
        <v>25</v>
      </c>
    </row>
    <row r="2825" ht="15.75" customHeight="1">
      <c r="A2825" s="1" t="s">
        <v>2862</v>
      </c>
      <c r="B2825" s="1" t="s">
        <v>32</v>
      </c>
      <c r="C2825" s="1">
        <v>0.0</v>
      </c>
      <c r="D2825" s="1" t="s">
        <v>25</v>
      </c>
      <c r="E2825" s="1" t="s">
        <v>26</v>
      </c>
      <c r="F2825" s="1">
        <v>39.0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1">
        <v>20.45</v>
      </c>
      <c r="T2825" s="1">
        <v>790.0</v>
      </c>
      <c r="U2825" s="1">
        <v>0.0</v>
      </c>
      <c r="V2825" s="1">
        <v>0.0</v>
      </c>
      <c r="W2825" s="1" t="s">
        <v>26</v>
      </c>
    </row>
    <row r="2826" ht="15.75" customHeight="1">
      <c r="A2826" s="1" t="s">
        <v>2863</v>
      </c>
      <c r="B2826" s="1" t="s">
        <v>32</v>
      </c>
      <c r="C2826" s="1">
        <v>0.0</v>
      </c>
      <c r="D2826" s="1" t="s">
        <v>25</v>
      </c>
      <c r="E2826" s="1" t="s">
        <v>26</v>
      </c>
      <c r="F2826" s="1">
        <v>63.0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1">
        <v>19.25</v>
      </c>
      <c r="T2826" s="1">
        <v>1237.65</v>
      </c>
      <c r="U2826" s="1">
        <v>0.0</v>
      </c>
      <c r="V2826" s="1">
        <v>0.0</v>
      </c>
      <c r="W2826" s="1" t="s">
        <v>26</v>
      </c>
    </row>
    <row r="2827" ht="15.75" customHeight="1">
      <c r="A2827" s="1" t="s">
        <v>2864</v>
      </c>
      <c r="B2827" s="1" t="s">
        <v>32</v>
      </c>
      <c r="C2827" s="1">
        <v>0.0</v>
      </c>
      <c r="D2827" s="1" t="s">
        <v>26</v>
      </c>
      <c r="E2827" s="1" t="s">
        <v>26</v>
      </c>
      <c r="F2827" s="1">
        <v>15.0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1">
        <v>26.35</v>
      </c>
      <c r="T2827" s="1">
        <v>378.6</v>
      </c>
      <c r="U2827" s="1">
        <v>0.0</v>
      </c>
      <c r="V2827" s="1">
        <v>0.0</v>
      </c>
      <c r="W2827" s="1" t="s">
        <v>26</v>
      </c>
    </row>
    <row r="2828" ht="15.75" customHeight="1">
      <c r="A2828" s="1" t="s">
        <v>2865</v>
      </c>
      <c r="B2828" s="1" t="s">
        <v>24</v>
      </c>
      <c r="C2828" s="1">
        <v>0.0</v>
      </c>
      <c r="D2828" s="1" t="s">
        <v>25</v>
      </c>
      <c r="E2828" s="1" t="s">
        <v>26</v>
      </c>
      <c r="F2828" s="1">
        <v>13.0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1">
        <v>43.8</v>
      </c>
      <c r="T2828" s="1">
        <v>592.65</v>
      </c>
      <c r="U2828" s="1">
        <v>0.0</v>
      </c>
      <c r="V2828" s="1">
        <v>0.0</v>
      </c>
      <c r="W2828" s="1" t="s">
        <v>26</v>
      </c>
    </row>
    <row r="2829" ht="15.75" customHeight="1">
      <c r="A2829" s="1" t="s">
        <v>2866</v>
      </c>
      <c r="B2829" s="1" t="s">
        <v>32</v>
      </c>
      <c r="C2829" s="1">
        <v>0.0</v>
      </c>
      <c r="D2829" s="1" t="s">
        <v>26</v>
      </c>
      <c r="E2829" s="1" t="s">
        <v>26</v>
      </c>
      <c r="F2829" s="1">
        <v>1.0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1">
        <v>50.15</v>
      </c>
      <c r="T2829" s="1">
        <v>50.15</v>
      </c>
      <c r="U2829" s="1">
        <v>0.0</v>
      </c>
      <c r="V2829" s="1">
        <v>0.0</v>
      </c>
      <c r="W2829" s="1" t="s">
        <v>26</v>
      </c>
    </row>
    <row r="2830" ht="15.75" customHeight="1">
      <c r="A2830" s="1" t="s">
        <v>2867</v>
      </c>
      <c r="B2830" s="1" t="s">
        <v>32</v>
      </c>
      <c r="C2830" s="1">
        <v>0.0</v>
      </c>
      <c r="D2830" s="1" t="s">
        <v>26</v>
      </c>
      <c r="E2830" s="1" t="s">
        <v>26</v>
      </c>
      <c r="F2830" s="1">
        <v>1.0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1">
        <v>20.45</v>
      </c>
      <c r="T2830" s="1">
        <v>20.45</v>
      </c>
      <c r="U2830" s="1">
        <v>0.0</v>
      </c>
      <c r="V2830" s="1">
        <v>0.0</v>
      </c>
      <c r="W2830" s="1" t="s">
        <v>26</v>
      </c>
    </row>
    <row r="2831" ht="15.75" customHeight="1">
      <c r="A2831" s="1" t="s">
        <v>2868</v>
      </c>
      <c r="B2831" s="1" t="s">
        <v>32</v>
      </c>
      <c r="C2831" s="1">
        <v>1.0</v>
      </c>
      <c r="D2831" s="1" t="s">
        <v>26</v>
      </c>
      <c r="E2831" s="1" t="s">
        <v>26</v>
      </c>
      <c r="F2831" s="1">
        <v>8.0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1">
        <v>69.7</v>
      </c>
      <c r="T2831" s="1">
        <v>560.85</v>
      </c>
      <c r="U2831" s="1">
        <v>0.0</v>
      </c>
      <c r="V2831" s="1">
        <v>0.0</v>
      </c>
      <c r="W2831" s="1" t="s">
        <v>25</v>
      </c>
    </row>
    <row r="2832" ht="15.75" customHeight="1">
      <c r="A2832" s="1" t="s">
        <v>2869</v>
      </c>
      <c r="B2832" s="1" t="s">
        <v>32</v>
      </c>
      <c r="C2832" s="1">
        <v>0.0</v>
      </c>
      <c r="D2832" s="1" t="s">
        <v>26</v>
      </c>
      <c r="E2832" s="1" t="s">
        <v>26</v>
      </c>
      <c r="F2832" s="1">
        <v>60.0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1">
        <v>61.4</v>
      </c>
      <c r="T2832" s="1">
        <v>3638.25</v>
      </c>
      <c r="U2832" s="1">
        <v>0.0</v>
      </c>
      <c r="V2832" s="1">
        <v>0.0</v>
      </c>
      <c r="W2832" s="1" t="s">
        <v>26</v>
      </c>
    </row>
    <row r="2833" ht="15.75" customHeight="1">
      <c r="A2833" s="1" t="s">
        <v>2870</v>
      </c>
      <c r="B2833" s="1" t="s">
        <v>24</v>
      </c>
      <c r="C2833" s="1">
        <v>1.0</v>
      </c>
      <c r="D2833" s="1" t="s">
        <v>25</v>
      </c>
      <c r="E2833" s="1" t="s">
        <v>26</v>
      </c>
      <c r="F2833" s="1">
        <v>12.0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1">
        <v>98.1</v>
      </c>
      <c r="T2833" s="1">
        <v>1060.2</v>
      </c>
      <c r="U2833" s="1">
        <v>4.0</v>
      </c>
      <c r="V2833" s="1">
        <v>1.0</v>
      </c>
      <c r="W2833" s="1" t="s">
        <v>25</v>
      </c>
    </row>
    <row r="2834" ht="15.75" customHeight="1">
      <c r="A2834" s="1" t="s">
        <v>2871</v>
      </c>
      <c r="B2834" s="1" t="s">
        <v>32</v>
      </c>
      <c r="C2834" s="1">
        <v>0.0</v>
      </c>
      <c r="D2834" s="1" t="s">
        <v>25</v>
      </c>
      <c r="E2834" s="1" t="s">
        <v>26</v>
      </c>
      <c r="F2834" s="1">
        <v>40.0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1">
        <v>70.75</v>
      </c>
      <c r="T2834" s="1">
        <v>2921.75</v>
      </c>
      <c r="U2834" s="1">
        <v>0.0</v>
      </c>
      <c r="V2834" s="1">
        <v>0.0</v>
      </c>
      <c r="W2834" s="1" t="s">
        <v>26</v>
      </c>
    </row>
    <row r="2835" ht="15.75" customHeight="1">
      <c r="A2835" s="1" t="s">
        <v>2872</v>
      </c>
      <c r="B2835" s="1" t="s">
        <v>24</v>
      </c>
      <c r="C2835" s="1">
        <v>0.0</v>
      </c>
      <c r="D2835" s="1" t="s">
        <v>26</v>
      </c>
      <c r="E2835" s="1" t="s">
        <v>26</v>
      </c>
      <c r="F2835" s="1">
        <v>66.0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1">
        <v>61.15</v>
      </c>
      <c r="T2835" s="1">
        <v>4017.45</v>
      </c>
      <c r="U2835" s="1">
        <v>0.0</v>
      </c>
      <c r="V2835" s="1">
        <v>0.0</v>
      </c>
      <c r="W2835" s="1" t="s">
        <v>26</v>
      </c>
    </row>
    <row r="2836" ht="15.75" customHeight="1">
      <c r="A2836" s="1" t="s">
        <v>2873</v>
      </c>
      <c r="B2836" s="1" t="s">
        <v>32</v>
      </c>
      <c r="C2836" s="1">
        <v>0.0</v>
      </c>
      <c r="D2836" s="1" t="s">
        <v>25</v>
      </c>
      <c r="E2836" s="1" t="s">
        <v>25</v>
      </c>
      <c r="F2836" s="1">
        <v>42.0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1">
        <v>20.25</v>
      </c>
      <c r="T2836" s="1">
        <v>854.9</v>
      </c>
      <c r="U2836" s="1">
        <v>0.0</v>
      </c>
      <c r="V2836" s="1">
        <v>0.0</v>
      </c>
      <c r="W2836" s="1" t="s">
        <v>26</v>
      </c>
    </row>
    <row r="2837" ht="15.75" customHeight="1">
      <c r="A2837" s="1" t="s">
        <v>2874</v>
      </c>
      <c r="B2837" s="1" t="s">
        <v>24</v>
      </c>
      <c r="C2837" s="1">
        <v>1.0</v>
      </c>
      <c r="D2837" s="1" t="s">
        <v>26</v>
      </c>
      <c r="E2837" s="1" t="s">
        <v>26</v>
      </c>
      <c r="F2837" s="1">
        <v>66.0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1">
        <v>63.85</v>
      </c>
      <c r="T2837" s="1">
        <v>4174.35</v>
      </c>
      <c r="U2837" s="1">
        <v>0.0</v>
      </c>
      <c r="V2837" s="1">
        <v>0.0</v>
      </c>
      <c r="W2837" s="1" t="s">
        <v>26</v>
      </c>
    </row>
    <row r="2838" ht="15.75" customHeight="1">
      <c r="A2838" s="1" t="s">
        <v>2875</v>
      </c>
      <c r="B2838" s="1" t="s">
        <v>32</v>
      </c>
      <c r="C2838" s="1">
        <v>0.0</v>
      </c>
      <c r="D2838" s="1" t="s">
        <v>26</v>
      </c>
      <c r="E2838" s="1" t="s">
        <v>26</v>
      </c>
      <c r="F2838" s="1">
        <v>49.0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1">
        <v>98.7</v>
      </c>
      <c r="T2838" s="1">
        <v>4920.55</v>
      </c>
      <c r="U2838" s="1">
        <v>0.0</v>
      </c>
      <c r="V2838" s="1">
        <v>0.0</v>
      </c>
      <c r="W2838" s="1" t="s">
        <v>26</v>
      </c>
    </row>
    <row r="2839" ht="15.75" customHeight="1">
      <c r="A2839" s="1" t="s">
        <v>2876</v>
      </c>
      <c r="B2839" s="1" t="s">
        <v>24</v>
      </c>
      <c r="C2839" s="1">
        <v>0.0</v>
      </c>
      <c r="D2839" s="1" t="s">
        <v>26</v>
      </c>
      <c r="E2839" s="1" t="s">
        <v>26</v>
      </c>
      <c r="F2839" s="1">
        <v>1.0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1">
        <v>20.5</v>
      </c>
      <c r="T2839" s="1">
        <v>20.5</v>
      </c>
      <c r="U2839" s="1">
        <v>0.0</v>
      </c>
      <c r="V2839" s="1">
        <v>0.0</v>
      </c>
      <c r="W2839" s="1" t="s">
        <v>25</v>
      </c>
    </row>
    <row r="2840" ht="15.75" customHeight="1">
      <c r="A2840" s="1" t="s">
        <v>2877</v>
      </c>
      <c r="B2840" s="1" t="s">
        <v>24</v>
      </c>
      <c r="C2840" s="1">
        <v>0.0</v>
      </c>
      <c r="D2840" s="1" t="s">
        <v>26</v>
      </c>
      <c r="E2840" s="1" t="s">
        <v>26</v>
      </c>
      <c r="F2840" s="1">
        <v>41.0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1">
        <v>20.0</v>
      </c>
      <c r="T2840" s="1">
        <v>810.3</v>
      </c>
      <c r="U2840" s="1">
        <v>5.0</v>
      </c>
      <c r="V2840" s="1">
        <v>0.0</v>
      </c>
      <c r="W2840" s="1" t="s">
        <v>26</v>
      </c>
    </row>
    <row r="2841" ht="15.75" customHeight="1">
      <c r="A2841" s="1" t="s">
        <v>2878</v>
      </c>
      <c r="B2841" s="1" t="s">
        <v>24</v>
      </c>
      <c r="C2841" s="1">
        <v>0.0</v>
      </c>
      <c r="D2841" s="1" t="s">
        <v>25</v>
      </c>
      <c r="E2841" s="1" t="s">
        <v>25</v>
      </c>
      <c r="F2841" s="1">
        <v>41.0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1">
        <v>19.3</v>
      </c>
      <c r="T2841" s="1">
        <v>772.4</v>
      </c>
      <c r="U2841" s="1">
        <v>0.0</v>
      </c>
      <c r="V2841" s="1">
        <v>0.0</v>
      </c>
      <c r="W2841" s="1" t="s">
        <v>26</v>
      </c>
    </row>
    <row r="2842" ht="15.75" customHeight="1">
      <c r="A2842" s="1" t="s">
        <v>2879</v>
      </c>
      <c r="B2842" s="1" t="s">
        <v>24</v>
      </c>
      <c r="C2842" s="1">
        <v>0.0</v>
      </c>
      <c r="D2842" s="1" t="s">
        <v>25</v>
      </c>
      <c r="E2842" s="1" t="s">
        <v>25</v>
      </c>
      <c r="F2842" s="1">
        <v>23.0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1">
        <v>84.4</v>
      </c>
      <c r="T2842" s="1">
        <v>1936.85</v>
      </c>
      <c r="U2842" s="1">
        <v>0.0</v>
      </c>
      <c r="V2842" s="1">
        <v>0.0</v>
      </c>
      <c r="W2842" s="1" t="s">
        <v>26</v>
      </c>
    </row>
    <row r="2843" ht="15.75" customHeight="1">
      <c r="A2843" s="1" t="s">
        <v>2880</v>
      </c>
      <c r="B2843" s="1" t="s">
        <v>32</v>
      </c>
      <c r="C2843" s="1">
        <v>0.0</v>
      </c>
      <c r="D2843" s="1" t="s">
        <v>26</v>
      </c>
      <c r="E2843" s="1" t="s">
        <v>26</v>
      </c>
      <c r="F2843" s="1">
        <v>3.0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1">
        <v>25.1</v>
      </c>
      <c r="T2843" s="1">
        <v>79.8</v>
      </c>
      <c r="U2843" s="1">
        <v>2.0</v>
      </c>
      <c r="V2843" s="1">
        <v>0.0</v>
      </c>
      <c r="W2843" s="1" t="s">
        <v>26</v>
      </c>
    </row>
    <row r="2844" ht="15.75" customHeight="1">
      <c r="A2844" s="1" t="s">
        <v>2881</v>
      </c>
      <c r="B2844" s="1" t="s">
        <v>24</v>
      </c>
      <c r="C2844" s="1">
        <v>0.0</v>
      </c>
      <c r="D2844" s="1" t="s">
        <v>26</v>
      </c>
      <c r="E2844" s="1" t="s">
        <v>26</v>
      </c>
      <c r="F2844" s="1">
        <v>4.0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1">
        <v>48.25</v>
      </c>
      <c r="T2844" s="1">
        <v>202.25</v>
      </c>
      <c r="U2844" s="1">
        <v>0.0</v>
      </c>
      <c r="V2844" s="1">
        <v>0.0</v>
      </c>
      <c r="W2844" s="1" t="s">
        <v>26</v>
      </c>
    </row>
    <row r="2845" ht="15.75" customHeight="1">
      <c r="A2845" s="1" t="s">
        <v>2882</v>
      </c>
      <c r="B2845" s="1" t="s">
        <v>24</v>
      </c>
      <c r="C2845" s="1">
        <v>0.0</v>
      </c>
      <c r="D2845" s="1" t="s">
        <v>25</v>
      </c>
      <c r="E2845" s="1" t="s">
        <v>25</v>
      </c>
      <c r="F2845" s="1">
        <v>52.0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1">
        <v>19.85</v>
      </c>
      <c r="T2845" s="1">
        <v>1070.5</v>
      </c>
      <c r="U2845" s="1">
        <v>0.0</v>
      </c>
      <c r="V2845" s="1">
        <v>0.0</v>
      </c>
      <c r="W2845" s="1" t="s">
        <v>26</v>
      </c>
    </row>
    <row r="2846" ht="15.75" customHeight="1">
      <c r="A2846" s="1" t="s">
        <v>2883</v>
      </c>
      <c r="B2846" s="1" t="s">
        <v>24</v>
      </c>
      <c r="C2846" s="1">
        <v>1.0</v>
      </c>
      <c r="D2846" s="1" t="s">
        <v>25</v>
      </c>
      <c r="E2846" s="1" t="s">
        <v>26</v>
      </c>
      <c r="F2846" s="1">
        <v>4.0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1">
        <v>99.6</v>
      </c>
      <c r="T2846" s="1">
        <v>347.65</v>
      </c>
      <c r="U2846" s="1">
        <v>0.0</v>
      </c>
      <c r="V2846" s="1">
        <v>1.0</v>
      </c>
      <c r="W2846" s="1" t="s">
        <v>25</v>
      </c>
    </row>
    <row r="2847" ht="15.75" customHeight="1">
      <c r="A2847" s="1" t="s">
        <v>2884</v>
      </c>
      <c r="B2847" s="1" t="s">
        <v>24</v>
      </c>
      <c r="C2847" s="1">
        <v>0.0</v>
      </c>
      <c r="D2847" s="1" t="s">
        <v>26</v>
      </c>
      <c r="E2847" s="1" t="s">
        <v>26</v>
      </c>
      <c r="F2847" s="1">
        <v>11.0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1">
        <v>94.2</v>
      </c>
      <c r="T2847" s="1">
        <v>999.9</v>
      </c>
      <c r="U2847" s="1">
        <v>0.0</v>
      </c>
      <c r="V2847" s="1">
        <v>0.0</v>
      </c>
      <c r="W2847" s="1" t="s">
        <v>26</v>
      </c>
    </row>
    <row r="2848" ht="15.75" customHeight="1">
      <c r="A2848" s="1" t="s">
        <v>2885</v>
      </c>
      <c r="B2848" s="1" t="s">
        <v>24</v>
      </c>
      <c r="C2848" s="1">
        <v>0.0</v>
      </c>
      <c r="D2848" s="1" t="s">
        <v>25</v>
      </c>
      <c r="E2848" s="1" t="s">
        <v>26</v>
      </c>
      <c r="F2848" s="1">
        <v>2.0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1">
        <v>62.15</v>
      </c>
      <c r="T2848" s="1">
        <v>113.1</v>
      </c>
      <c r="U2848" s="1">
        <v>0.0</v>
      </c>
      <c r="V2848" s="1">
        <v>0.0</v>
      </c>
      <c r="W2848" s="1" t="s">
        <v>26</v>
      </c>
    </row>
    <row r="2849" ht="15.75" customHeight="1">
      <c r="A2849" s="1" t="s">
        <v>2886</v>
      </c>
      <c r="B2849" s="1" t="s">
        <v>24</v>
      </c>
      <c r="C2849" s="1">
        <v>0.0</v>
      </c>
      <c r="D2849" s="1" t="s">
        <v>25</v>
      </c>
      <c r="E2849" s="1" t="s">
        <v>26</v>
      </c>
      <c r="F2849" s="1">
        <v>26.0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1">
        <v>79.3</v>
      </c>
      <c r="T2849" s="1">
        <v>2015.8</v>
      </c>
      <c r="U2849" s="1">
        <v>0.0</v>
      </c>
      <c r="V2849" s="1">
        <v>0.0</v>
      </c>
      <c r="W2849" s="1" t="s">
        <v>26</v>
      </c>
    </row>
    <row r="2850" ht="15.75" customHeight="1">
      <c r="A2850" s="1" t="s">
        <v>2887</v>
      </c>
      <c r="B2850" s="1" t="s">
        <v>32</v>
      </c>
      <c r="C2850" s="1">
        <v>0.0</v>
      </c>
      <c r="D2850" s="1" t="s">
        <v>25</v>
      </c>
      <c r="E2850" s="1" t="s">
        <v>25</v>
      </c>
      <c r="F2850" s="1">
        <v>24.0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1">
        <v>56.25</v>
      </c>
      <c r="T2850" s="1">
        <v>1454.25</v>
      </c>
      <c r="U2850" s="1">
        <v>0.0</v>
      </c>
      <c r="V2850" s="1">
        <v>0.0</v>
      </c>
      <c r="W2850" s="1" t="s">
        <v>26</v>
      </c>
    </row>
    <row r="2851" ht="15.75" customHeight="1">
      <c r="A2851" s="1" t="s">
        <v>2888</v>
      </c>
      <c r="B2851" s="1" t="s">
        <v>24</v>
      </c>
      <c r="C2851" s="1">
        <v>0.0</v>
      </c>
      <c r="D2851" s="1" t="s">
        <v>26</v>
      </c>
      <c r="E2851" s="1" t="s">
        <v>26</v>
      </c>
      <c r="F2851" s="1">
        <v>12.0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1">
        <v>20.3</v>
      </c>
      <c r="T2851" s="1">
        <v>246.7</v>
      </c>
      <c r="U2851" s="1">
        <v>3.0</v>
      </c>
      <c r="V2851" s="1">
        <v>0.0</v>
      </c>
      <c r="W2851" s="1" t="s">
        <v>26</v>
      </c>
    </row>
    <row r="2852" ht="15.75" customHeight="1">
      <c r="A2852" s="1" t="s">
        <v>2889</v>
      </c>
      <c r="B2852" s="1" t="s">
        <v>32</v>
      </c>
      <c r="C2852" s="1">
        <v>1.0</v>
      </c>
      <c r="D2852" s="1" t="s">
        <v>25</v>
      </c>
      <c r="E2852" s="1" t="s">
        <v>26</v>
      </c>
      <c r="F2852" s="1">
        <v>60.0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1">
        <v>99.0</v>
      </c>
      <c r="T2852" s="1">
        <v>6017.9</v>
      </c>
      <c r="U2852" s="1">
        <v>4.0</v>
      </c>
      <c r="V2852" s="1">
        <v>0.0</v>
      </c>
      <c r="W2852" s="1" t="s">
        <v>26</v>
      </c>
    </row>
    <row r="2853" ht="15.75" customHeight="1">
      <c r="A2853" s="1" t="s">
        <v>2890</v>
      </c>
      <c r="B2853" s="1" t="s">
        <v>24</v>
      </c>
      <c r="C2853" s="1">
        <v>0.0</v>
      </c>
      <c r="D2853" s="1" t="s">
        <v>25</v>
      </c>
      <c r="E2853" s="1" t="s">
        <v>25</v>
      </c>
      <c r="F2853" s="1">
        <v>64.0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1">
        <v>90.6</v>
      </c>
      <c r="T2853" s="1">
        <v>5817.45</v>
      </c>
      <c r="U2853" s="1">
        <v>0.0</v>
      </c>
      <c r="V2853" s="1">
        <v>0.0</v>
      </c>
      <c r="W2853" s="1" t="s">
        <v>26</v>
      </c>
    </row>
    <row r="2854" ht="15.75" customHeight="1">
      <c r="A2854" s="1" t="s">
        <v>2891</v>
      </c>
      <c r="B2854" s="1" t="s">
        <v>32</v>
      </c>
      <c r="C2854" s="1">
        <v>0.0</v>
      </c>
      <c r="D2854" s="1" t="s">
        <v>25</v>
      </c>
      <c r="E2854" s="1" t="s">
        <v>26</v>
      </c>
      <c r="F2854" s="1">
        <v>66.0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1">
        <v>85.9</v>
      </c>
      <c r="T2854" s="1">
        <v>5595.3</v>
      </c>
      <c r="U2854" s="1">
        <v>0.0</v>
      </c>
      <c r="V2854" s="1">
        <v>0.0</v>
      </c>
      <c r="W2854" s="1" t="s">
        <v>26</v>
      </c>
    </row>
    <row r="2855" ht="15.75" customHeight="1">
      <c r="A2855" s="1" t="s">
        <v>2892</v>
      </c>
      <c r="B2855" s="1" t="s">
        <v>24</v>
      </c>
      <c r="C2855" s="1">
        <v>0.0</v>
      </c>
      <c r="D2855" s="1" t="s">
        <v>26</v>
      </c>
      <c r="E2855" s="1" t="s">
        <v>26</v>
      </c>
      <c r="F2855" s="1">
        <v>60.0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1">
        <v>79.2</v>
      </c>
      <c r="T2855" s="1">
        <v>4765.0</v>
      </c>
      <c r="U2855" s="1">
        <v>0.0</v>
      </c>
      <c r="V2855" s="1">
        <v>0.0</v>
      </c>
      <c r="W2855" s="1" t="s">
        <v>26</v>
      </c>
    </row>
    <row r="2856" ht="15.75" customHeight="1">
      <c r="A2856" s="1" t="s">
        <v>2893</v>
      </c>
      <c r="B2856" s="1" t="s">
        <v>32</v>
      </c>
      <c r="C2856" s="1">
        <v>0.0</v>
      </c>
      <c r="D2856" s="1" t="s">
        <v>25</v>
      </c>
      <c r="E2856" s="1" t="s">
        <v>25</v>
      </c>
      <c r="F2856" s="1">
        <v>17.0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1">
        <v>70.35</v>
      </c>
      <c r="T2856" s="1">
        <v>1201.65</v>
      </c>
      <c r="U2856" s="1">
        <v>0.0</v>
      </c>
      <c r="V2856" s="1">
        <v>0.0</v>
      </c>
      <c r="W2856" s="1" t="s">
        <v>26</v>
      </c>
    </row>
    <row r="2857" ht="15.75" customHeight="1">
      <c r="A2857" s="1" t="s">
        <v>2894</v>
      </c>
      <c r="B2857" s="1" t="s">
        <v>32</v>
      </c>
      <c r="C2857" s="1">
        <v>0.0</v>
      </c>
      <c r="D2857" s="1" t="s">
        <v>25</v>
      </c>
      <c r="E2857" s="1" t="s">
        <v>25</v>
      </c>
      <c r="F2857" s="1">
        <v>42.0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1">
        <v>19.35</v>
      </c>
      <c r="T2857" s="1">
        <v>867.3</v>
      </c>
      <c r="U2857" s="1">
        <v>0.0</v>
      </c>
      <c r="V2857" s="1">
        <v>0.0</v>
      </c>
      <c r="W2857" s="1" t="s">
        <v>26</v>
      </c>
    </row>
    <row r="2858" ht="15.75" customHeight="1">
      <c r="A2858" s="1" t="s">
        <v>2895</v>
      </c>
      <c r="B2858" s="1" t="s">
        <v>32</v>
      </c>
      <c r="C2858" s="1">
        <v>0.0</v>
      </c>
      <c r="D2858" s="1" t="s">
        <v>26</v>
      </c>
      <c r="E2858" s="1" t="s">
        <v>26</v>
      </c>
      <c r="F2858" s="1">
        <v>1.0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1">
        <v>50.15</v>
      </c>
      <c r="T2858" s="1">
        <v>50.15</v>
      </c>
      <c r="U2858" s="1">
        <v>4.0</v>
      </c>
      <c r="V2858" s="1">
        <v>0.0</v>
      </c>
      <c r="W2858" s="1" t="s">
        <v>26</v>
      </c>
    </row>
    <row r="2859" ht="15.75" customHeight="1">
      <c r="A2859" s="1" t="s">
        <v>2896</v>
      </c>
      <c r="B2859" s="1" t="s">
        <v>24</v>
      </c>
      <c r="C2859" s="1">
        <v>0.0</v>
      </c>
      <c r="D2859" s="1" t="s">
        <v>25</v>
      </c>
      <c r="E2859" s="1" t="s">
        <v>25</v>
      </c>
      <c r="F2859" s="1">
        <v>47.0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1">
        <v>63.8</v>
      </c>
      <c r="T2859" s="1">
        <v>3007.25</v>
      </c>
      <c r="U2859" s="1">
        <v>1.0</v>
      </c>
      <c r="V2859" s="1">
        <v>0.0</v>
      </c>
      <c r="W2859" s="1" t="s">
        <v>26</v>
      </c>
    </row>
    <row r="2860" ht="15.75" customHeight="1">
      <c r="A2860" s="1" t="s">
        <v>2897</v>
      </c>
      <c r="B2860" s="1" t="s">
        <v>24</v>
      </c>
      <c r="C2860" s="1">
        <v>0.0</v>
      </c>
      <c r="D2860" s="1" t="s">
        <v>25</v>
      </c>
      <c r="E2860" s="1" t="s">
        <v>26</v>
      </c>
      <c r="F2860" s="1">
        <v>10.0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1">
        <v>20.55</v>
      </c>
      <c r="T2860" s="1">
        <v>252.75</v>
      </c>
      <c r="U2860" s="1">
        <v>2.0</v>
      </c>
      <c r="V2860" s="1">
        <v>0.0</v>
      </c>
      <c r="W2860" s="1" t="s">
        <v>26</v>
      </c>
    </row>
    <row r="2861" ht="15.75" customHeight="1">
      <c r="A2861" s="1" t="s">
        <v>2898</v>
      </c>
      <c r="B2861" s="1" t="s">
        <v>32</v>
      </c>
      <c r="C2861" s="1">
        <v>1.0</v>
      </c>
      <c r="D2861" s="1" t="s">
        <v>25</v>
      </c>
      <c r="E2861" s="1" t="s">
        <v>26</v>
      </c>
      <c r="F2861" s="1">
        <v>70.0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1">
        <v>88.55</v>
      </c>
      <c r="T2861" s="1">
        <v>6306.5</v>
      </c>
      <c r="U2861" s="1">
        <v>0.0</v>
      </c>
      <c r="V2861" s="1">
        <v>0.0</v>
      </c>
      <c r="W2861" s="1" t="s">
        <v>26</v>
      </c>
    </row>
    <row r="2862" ht="15.75" customHeight="1">
      <c r="A2862" s="1" t="s">
        <v>2899</v>
      </c>
      <c r="B2862" s="1" t="s">
        <v>32</v>
      </c>
      <c r="C2862" s="1">
        <v>1.0</v>
      </c>
      <c r="D2862" s="1" t="s">
        <v>26</v>
      </c>
      <c r="E2862" s="1" t="s">
        <v>26</v>
      </c>
      <c r="F2862" s="1">
        <v>67.0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1">
        <v>101.4</v>
      </c>
      <c r="T2862" s="1">
        <v>6841.05</v>
      </c>
      <c r="U2862" s="1">
        <v>0.0</v>
      </c>
      <c r="V2862" s="1">
        <v>0.0</v>
      </c>
      <c r="W2862" s="1" t="s">
        <v>26</v>
      </c>
    </row>
    <row r="2863" ht="15.75" customHeight="1">
      <c r="A2863" s="1" t="s">
        <v>2900</v>
      </c>
      <c r="B2863" s="1" t="s">
        <v>24</v>
      </c>
      <c r="C2863" s="1">
        <v>0.0</v>
      </c>
      <c r="D2863" s="1" t="s">
        <v>26</v>
      </c>
      <c r="E2863" s="1" t="s">
        <v>26</v>
      </c>
      <c r="F2863" s="1">
        <v>1.0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1">
        <v>81.95</v>
      </c>
      <c r="T2863" s="1">
        <v>81.95</v>
      </c>
      <c r="U2863" s="1">
        <v>0.0</v>
      </c>
      <c r="V2863" s="1">
        <v>0.0</v>
      </c>
      <c r="W2863" s="1" t="s">
        <v>25</v>
      </c>
    </row>
    <row r="2864" ht="15.75" customHeight="1">
      <c r="A2864" s="1" t="s">
        <v>2901</v>
      </c>
      <c r="B2864" s="1" t="s">
        <v>32</v>
      </c>
      <c r="C2864" s="1">
        <v>0.0</v>
      </c>
      <c r="D2864" s="1" t="s">
        <v>25</v>
      </c>
      <c r="E2864" s="1" t="s">
        <v>26</v>
      </c>
      <c r="F2864" s="1">
        <v>7.0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1">
        <v>69.35</v>
      </c>
      <c r="T2864" s="1">
        <v>451.1</v>
      </c>
      <c r="U2864" s="1">
        <v>0.0</v>
      </c>
      <c r="V2864" s="1">
        <v>0.0</v>
      </c>
      <c r="W2864" s="1" t="s">
        <v>25</v>
      </c>
    </row>
    <row r="2865" ht="15.75" customHeight="1">
      <c r="A2865" s="1" t="s">
        <v>2902</v>
      </c>
      <c r="B2865" s="1" t="s">
        <v>32</v>
      </c>
      <c r="C2865" s="1">
        <v>0.0</v>
      </c>
      <c r="D2865" s="1" t="s">
        <v>26</v>
      </c>
      <c r="E2865" s="1" t="s">
        <v>26</v>
      </c>
      <c r="F2865" s="1">
        <v>1.0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1">
        <v>44.6</v>
      </c>
      <c r="T2865" s="1">
        <v>44.6</v>
      </c>
      <c r="U2865" s="1">
        <v>0.0</v>
      </c>
      <c r="V2865" s="1">
        <v>0.0</v>
      </c>
      <c r="W2865" s="1" t="s">
        <v>26</v>
      </c>
    </row>
    <row r="2866" ht="15.75" customHeight="1">
      <c r="A2866" s="1" t="s">
        <v>2903</v>
      </c>
      <c r="B2866" s="1" t="s">
        <v>32</v>
      </c>
      <c r="C2866" s="1">
        <v>0.0</v>
      </c>
      <c r="D2866" s="1" t="s">
        <v>26</v>
      </c>
      <c r="E2866" s="1" t="s">
        <v>26</v>
      </c>
      <c r="F2866" s="1">
        <v>4.0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1">
        <v>63.75</v>
      </c>
      <c r="T2866" s="1">
        <v>226.2</v>
      </c>
      <c r="U2866" s="1">
        <v>1.0</v>
      </c>
      <c r="V2866" s="1">
        <v>0.0</v>
      </c>
      <c r="W2866" s="1" t="s">
        <v>26</v>
      </c>
    </row>
    <row r="2867" ht="15.75" customHeight="1">
      <c r="A2867" s="1" t="s">
        <v>2904</v>
      </c>
      <c r="B2867" s="1" t="s">
        <v>24</v>
      </c>
      <c r="C2867" s="1">
        <v>0.0</v>
      </c>
      <c r="D2867" s="1" t="s">
        <v>25</v>
      </c>
      <c r="E2867" s="1" t="s">
        <v>25</v>
      </c>
      <c r="F2867" s="1">
        <v>66.0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1">
        <v>109.25</v>
      </c>
      <c r="T2867" s="1">
        <v>7082.5</v>
      </c>
      <c r="U2867" s="1">
        <v>0.0</v>
      </c>
      <c r="V2867" s="1">
        <v>0.0</v>
      </c>
      <c r="W2867" s="1" t="s">
        <v>26</v>
      </c>
    </row>
    <row r="2868" ht="15.75" customHeight="1">
      <c r="A2868" s="1" t="s">
        <v>2905</v>
      </c>
      <c r="B2868" s="1" t="s">
        <v>24</v>
      </c>
      <c r="C2868" s="1">
        <v>0.0</v>
      </c>
      <c r="D2868" s="1" t="s">
        <v>26</v>
      </c>
      <c r="E2868" s="1" t="s">
        <v>26</v>
      </c>
      <c r="F2868" s="1">
        <v>12.0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1">
        <v>84.6</v>
      </c>
      <c r="T2868" s="1">
        <v>1017.35</v>
      </c>
      <c r="U2868" s="1">
        <v>0.0</v>
      </c>
      <c r="V2868" s="1">
        <v>0.0</v>
      </c>
      <c r="W2868" s="1" t="s">
        <v>26</v>
      </c>
    </row>
    <row r="2869" ht="15.75" customHeight="1">
      <c r="A2869" s="1" t="s">
        <v>2906</v>
      </c>
      <c r="B2869" s="1" t="s">
        <v>24</v>
      </c>
      <c r="C2869" s="1">
        <v>0.0</v>
      </c>
      <c r="D2869" s="1" t="s">
        <v>26</v>
      </c>
      <c r="E2869" s="1" t="s">
        <v>26</v>
      </c>
      <c r="F2869" s="1">
        <v>24.0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1">
        <v>20.45</v>
      </c>
      <c r="T2869" s="1">
        <v>527.35</v>
      </c>
      <c r="U2869" s="1">
        <v>0.0</v>
      </c>
      <c r="V2869" s="1">
        <v>0.0</v>
      </c>
      <c r="W2869" s="1" t="s">
        <v>26</v>
      </c>
    </row>
    <row r="2870" ht="15.75" customHeight="1">
      <c r="A2870" s="1" t="s">
        <v>2907</v>
      </c>
      <c r="B2870" s="1" t="s">
        <v>32</v>
      </c>
      <c r="C2870" s="1">
        <v>0.0</v>
      </c>
      <c r="D2870" s="1" t="s">
        <v>26</v>
      </c>
      <c r="E2870" s="1" t="s">
        <v>26</v>
      </c>
      <c r="F2870" s="1">
        <v>26.0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1">
        <v>85.75</v>
      </c>
      <c r="T2870" s="1">
        <v>2146.5</v>
      </c>
      <c r="U2870" s="1">
        <v>0.0</v>
      </c>
      <c r="V2870" s="1">
        <v>0.0</v>
      </c>
      <c r="W2870" s="1" t="s">
        <v>26</v>
      </c>
    </row>
    <row r="2871" ht="15.75" customHeight="1">
      <c r="A2871" s="1" t="s">
        <v>2908</v>
      </c>
      <c r="B2871" s="1" t="s">
        <v>24</v>
      </c>
      <c r="C2871" s="1">
        <v>0.0</v>
      </c>
      <c r="D2871" s="1" t="s">
        <v>26</v>
      </c>
      <c r="E2871" s="1" t="s">
        <v>26</v>
      </c>
      <c r="F2871" s="1">
        <v>6.0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1">
        <v>91.1</v>
      </c>
      <c r="T2871" s="1">
        <v>455.3</v>
      </c>
      <c r="U2871" s="1">
        <v>0.0</v>
      </c>
      <c r="V2871" s="1">
        <v>0.0</v>
      </c>
      <c r="W2871" s="1" t="s">
        <v>25</v>
      </c>
    </row>
    <row r="2872" ht="15.75" customHeight="1">
      <c r="A2872" s="1" t="s">
        <v>2909</v>
      </c>
      <c r="B2872" s="1" t="s">
        <v>32</v>
      </c>
      <c r="C2872" s="1">
        <v>0.0</v>
      </c>
      <c r="D2872" s="1" t="s">
        <v>25</v>
      </c>
      <c r="E2872" s="1" t="s">
        <v>26</v>
      </c>
      <c r="F2872" s="1">
        <v>57.0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1">
        <v>107.95</v>
      </c>
      <c r="T2872" s="1">
        <v>5969.85</v>
      </c>
      <c r="U2872" s="1">
        <v>0.0</v>
      </c>
      <c r="V2872" s="1">
        <v>0.0</v>
      </c>
      <c r="W2872" s="1" t="s">
        <v>26</v>
      </c>
    </row>
    <row r="2873" ht="15.75" customHeight="1">
      <c r="A2873" s="1" t="s">
        <v>2910</v>
      </c>
      <c r="B2873" s="1" t="s">
        <v>32</v>
      </c>
      <c r="C2873" s="1">
        <v>0.0</v>
      </c>
      <c r="D2873" s="1" t="s">
        <v>25</v>
      </c>
      <c r="E2873" s="1" t="s">
        <v>26</v>
      </c>
      <c r="F2873" s="1">
        <v>14.0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1">
        <v>86.1</v>
      </c>
      <c r="T2873" s="1">
        <v>1235.55</v>
      </c>
      <c r="U2873" s="1">
        <v>0.0</v>
      </c>
      <c r="V2873" s="1">
        <v>0.0</v>
      </c>
      <c r="W2873" s="1" t="s">
        <v>25</v>
      </c>
    </row>
    <row r="2874" ht="15.75" customHeight="1">
      <c r="A2874" s="1" t="s">
        <v>2911</v>
      </c>
      <c r="B2874" s="1" t="s">
        <v>24</v>
      </c>
      <c r="C2874" s="1">
        <v>0.0</v>
      </c>
      <c r="D2874" s="1" t="s">
        <v>25</v>
      </c>
      <c r="E2874" s="1" t="s">
        <v>25</v>
      </c>
      <c r="F2874" s="1">
        <v>42.0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1">
        <v>22.95</v>
      </c>
      <c r="T2874" s="1">
        <v>1014.25</v>
      </c>
      <c r="U2874" s="1">
        <v>2.0</v>
      </c>
      <c r="V2874" s="1">
        <v>0.0</v>
      </c>
      <c r="W2874" s="1" t="s">
        <v>26</v>
      </c>
    </row>
    <row r="2875" ht="15.75" customHeight="1">
      <c r="A2875" s="1" t="s">
        <v>2912</v>
      </c>
      <c r="B2875" s="1" t="s">
        <v>32</v>
      </c>
      <c r="C2875" s="1">
        <v>0.0</v>
      </c>
      <c r="D2875" s="1" t="s">
        <v>26</v>
      </c>
      <c r="E2875" s="1" t="s">
        <v>26</v>
      </c>
      <c r="F2875" s="1">
        <v>25.0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1">
        <v>94.7</v>
      </c>
      <c r="T2875" s="1">
        <v>2362.1</v>
      </c>
      <c r="U2875" s="1">
        <v>0.0</v>
      </c>
      <c r="V2875" s="1">
        <v>2.0</v>
      </c>
      <c r="W2875" s="1" t="s">
        <v>25</v>
      </c>
    </row>
    <row r="2876" ht="15.75" customHeight="1">
      <c r="A2876" s="1" t="s">
        <v>2913</v>
      </c>
      <c r="B2876" s="1" t="s">
        <v>24</v>
      </c>
      <c r="C2876" s="1">
        <v>0.0</v>
      </c>
      <c r="D2876" s="1" t="s">
        <v>25</v>
      </c>
      <c r="E2876" s="1" t="s">
        <v>26</v>
      </c>
      <c r="F2876" s="1">
        <v>64.0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1">
        <v>19.45</v>
      </c>
      <c r="T2876" s="1">
        <v>1225.65</v>
      </c>
      <c r="U2876" s="1">
        <v>0.0</v>
      </c>
      <c r="V2876" s="1">
        <v>0.0</v>
      </c>
      <c r="W2876" s="1" t="s">
        <v>26</v>
      </c>
    </row>
    <row r="2877" ht="15.75" customHeight="1">
      <c r="A2877" s="1" t="s">
        <v>2914</v>
      </c>
      <c r="B2877" s="1" t="s">
        <v>32</v>
      </c>
      <c r="C2877" s="1">
        <v>0.0</v>
      </c>
      <c r="D2877" s="1" t="s">
        <v>25</v>
      </c>
      <c r="E2877" s="1" t="s">
        <v>26</v>
      </c>
      <c r="F2877" s="1">
        <v>22.0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1">
        <v>85.1</v>
      </c>
      <c r="T2877" s="1">
        <v>1873.7</v>
      </c>
      <c r="U2877" s="1">
        <v>0.0</v>
      </c>
      <c r="V2877" s="1">
        <v>0.0</v>
      </c>
      <c r="W2877" s="1" t="s">
        <v>25</v>
      </c>
    </row>
    <row r="2878" ht="15.75" customHeight="1">
      <c r="A2878" s="1" t="s">
        <v>2915</v>
      </c>
      <c r="B2878" s="1" t="s">
        <v>32</v>
      </c>
      <c r="C2878" s="1">
        <v>0.0</v>
      </c>
      <c r="D2878" s="1" t="s">
        <v>26</v>
      </c>
      <c r="E2878" s="1" t="s">
        <v>26</v>
      </c>
      <c r="F2878" s="1">
        <v>19.0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1">
        <v>19.7</v>
      </c>
      <c r="T2878" s="1">
        <v>386.5</v>
      </c>
      <c r="U2878" s="1">
        <v>0.0</v>
      </c>
      <c r="V2878" s="1">
        <v>0.0</v>
      </c>
      <c r="W2878" s="1" t="s">
        <v>26</v>
      </c>
    </row>
    <row r="2879" ht="15.75" customHeight="1">
      <c r="A2879" s="1" t="s">
        <v>2916</v>
      </c>
      <c r="B2879" s="1" t="s">
        <v>24</v>
      </c>
      <c r="C2879" s="1">
        <v>0.0</v>
      </c>
      <c r="D2879" s="1" t="s">
        <v>25</v>
      </c>
      <c r="E2879" s="1" t="s">
        <v>25</v>
      </c>
      <c r="F2879" s="1">
        <v>61.0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1">
        <v>99.15</v>
      </c>
      <c r="T2879" s="1">
        <v>6010.05</v>
      </c>
      <c r="U2879" s="1">
        <v>0.0</v>
      </c>
      <c r="V2879" s="1">
        <v>8.0</v>
      </c>
      <c r="W2879" s="1" t="s">
        <v>25</v>
      </c>
    </row>
    <row r="2880" ht="15.75" customHeight="1">
      <c r="A2880" s="1" t="s">
        <v>2917</v>
      </c>
      <c r="B2880" s="1" t="s">
        <v>32</v>
      </c>
      <c r="C2880" s="1">
        <v>0.0</v>
      </c>
      <c r="D2880" s="1" t="s">
        <v>25</v>
      </c>
      <c r="E2880" s="1" t="s">
        <v>26</v>
      </c>
      <c r="F2880" s="1">
        <v>22.0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1">
        <v>87.0</v>
      </c>
      <c r="T2880" s="1">
        <v>1850.65</v>
      </c>
      <c r="U2880" s="1">
        <v>0.0</v>
      </c>
      <c r="V2880" s="1">
        <v>0.0</v>
      </c>
      <c r="W2880" s="1" t="s">
        <v>26</v>
      </c>
    </row>
    <row r="2881" ht="15.75" customHeight="1">
      <c r="A2881" s="1" t="s">
        <v>2918</v>
      </c>
      <c r="B2881" s="1" t="s">
        <v>32</v>
      </c>
      <c r="C2881" s="1">
        <v>1.0</v>
      </c>
      <c r="D2881" s="1" t="s">
        <v>25</v>
      </c>
      <c r="E2881" s="1" t="s">
        <v>26</v>
      </c>
      <c r="F2881" s="1">
        <v>70.0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1">
        <v>102.95</v>
      </c>
      <c r="T2881" s="1">
        <v>7101.5</v>
      </c>
      <c r="U2881" s="1">
        <v>0.0</v>
      </c>
      <c r="V2881" s="1">
        <v>7.0</v>
      </c>
      <c r="W2881" s="1" t="s">
        <v>25</v>
      </c>
    </row>
    <row r="2882" ht="15.75" customHeight="1">
      <c r="A2882" s="1" t="s">
        <v>2919</v>
      </c>
      <c r="B2882" s="1" t="s">
        <v>32</v>
      </c>
      <c r="C2882" s="1">
        <v>0.0</v>
      </c>
      <c r="D2882" s="1" t="s">
        <v>26</v>
      </c>
      <c r="E2882" s="1" t="s">
        <v>26</v>
      </c>
      <c r="F2882" s="1">
        <v>12.0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1">
        <v>79.95</v>
      </c>
      <c r="T2882" s="1">
        <v>1043.4</v>
      </c>
      <c r="U2882" s="1">
        <v>4.0</v>
      </c>
      <c r="V2882" s="1">
        <v>0.0</v>
      </c>
      <c r="W2882" s="1" t="s">
        <v>26</v>
      </c>
    </row>
    <row r="2883" ht="15.75" customHeight="1">
      <c r="A2883" s="1" t="s">
        <v>2920</v>
      </c>
      <c r="B2883" s="1" t="s">
        <v>24</v>
      </c>
      <c r="C2883" s="1">
        <v>0.0</v>
      </c>
      <c r="D2883" s="1" t="s">
        <v>25</v>
      </c>
      <c r="E2883" s="1" t="s">
        <v>26</v>
      </c>
      <c r="F2883" s="1">
        <v>31.0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1">
        <v>64.0</v>
      </c>
      <c r="T2883" s="1">
        <v>1910.75</v>
      </c>
      <c r="U2883" s="1">
        <v>0.0</v>
      </c>
      <c r="V2883" s="1">
        <v>0.0</v>
      </c>
      <c r="W2883" s="1" t="s">
        <v>26</v>
      </c>
    </row>
    <row r="2884" ht="15.75" customHeight="1">
      <c r="A2884" s="1" t="s">
        <v>2921</v>
      </c>
      <c r="B2884" s="1" t="s">
        <v>24</v>
      </c>
      <c r="C2884" s="1">
        <v>0.0</v>
      </c>
      <c r="D2884" s="1" t="s">
        <v>26</v>
      </c>
      <c r="E2884" s="1" t="s">
        <v>26</v>
      </c>
      <c r="F2884" s="1">
        <v>11.0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1">
        <v>64.9</v>
      </c>
      <c r="T2884" s="1">
        <v>716.1</v>
      </c>
      <c r="U2884" s="1">
        <v>0.0</v>
      </c>
      <c r="V2884" s="1">
        <v>0.0</v>
      </c>
      <c r="W2884" s="1" t="s">
        <v>26</v>
      </c>
    </row>
    <row r="2885" ht="15.75" customHeight="1">
      <c r="A2885" s="1" t="s">
        <v>2922</v>
      </c>
      <c r="B2885" s="1" t="s">
        <v>32</v>
      </c>
      <c r="C2885" s="1">
        <v>0.0</v>
      </c>
      <c r="D2885" s="1" t="s">
        <v>25</v>
      </c>
      <c r="E2885" s="1" t="s">
        <v>25</v>
      </c>
      <c r="F2885" s="1">
        <v>68.0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1">
        <v>25.75</v>
      </c>
      <c r="T2885" s="1">
        <v>1686.15</v>
      </c>
      <c r="U2885" s="1">
        <v>1.0</v>
      </c>
      <c r="V2885" s="1">
        <v>0.0</v>
      </c>
      <c r="W2885" s="1" t="s">
        <v>26</v>
      </c>
    </row>
    <row r="2886" ht="15.75" customHeight="1">
      <c r="A2886" s="1" t="s">
        <v>2923</v>
      </c>
      <c r="B2886" s="1" t="s">
        <v>24</v>
      </c>
      <c r="C2886" s="1">
        <v>1.0</v>
      </c>
      <c r="D2886" s="1" t="s">
        <v>25</v>
      </c>
      <c r="E2886" s="1" t="s">
        <v>25</v>
      </c>
      <c r="F2886" s="1">
        <v>72.0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1">
        <v>90.15</v>
      </c>
      <c r="T2886" s="1">
        <v>6716.45</v>
      </c>
      <c r="U2886" s="1">
        <v>0.0</v>
      </c>
      <c r="V2886" s="1">
        <v>0.0</v>
      </c>
      <c r="W2886" s="1" t="s">
        <v>26</v>
      </c>
    </row>
    <row r="2887" ht="15.75" customHeight="1">
      <c r="A2887" s="1" t="s">
        <v>2924</v>
      </c>
      <c r="B2887" s="1" t="s">
        <v>32</v>
      </c>
      <c r="C2887" s="1">
        <v>1.0</v>
      </c>
      <c r="D2887" s="1" t="s">
        <v>26</v>
      </c>
      <c r="E2887" s="1" t="s">
        <v>26</v>
      </c>
      <c r="F2887" s="1">
        <v>67.0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1">
        <v>116.1</v>
      </c>
      <c r="T2887" s="1">
        <v>7839.85</v>
      </c>
      <c r="U2887" s="1">
        <v>0.0</v>
      </c>
      <c r="V2887" s="1">
        <v>0.0</v>
      </c>
      <c r="W2887" s="1" t="s">
        <v>26</v>
      </c>
    </row>
    <row r="2888" ht="15.75" customHeight="1">
      <c r="A2888" s="1" t="s">
        <v>2925</v>
      </c>
      <c r="B2888" s="1" t="s">
        <v>24</v>
      </c>
      <c r="C2888" s="1">
        <v>0.0</v>
      </c>
      <c r="D2888" s="1" t="s">
        <v>26</v>
      </c>
      <c r="E2888" s="1" t="s">
        <v>26</v>
      </c>
      <c r="F2888" s="1">
        <v>60.0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1">
        <v>104.95</v>
      </c>
      <c r="T2888" s="1">
        <v>6236.75</v>
      </c>
      <c r="U2888" s="1">
        <v>5.0</v>
      </c>
      <c r="V2888" s="1">
        <v>0.0</v>
      </c>
      <c r="W2888" s="1" t="s">
        <v>26</v>
      </c>
    </row>
    <row r="2889" ht="15.75" customHeight="1">
      <c r="A2889" s="1" t="s">
        <v>2926</v>
      </c>
      <c r="B2889" s="1" t="s">
        <v>32</v>
      </c>
      <c r="C2889" s="1">
        <v>0.0</v>
      </c>
      <c r="D2889" s="1" t="s">
        <v>26</v>
      </c>
      <c r="E2889" s="1" t="s">
        <v>26</v>
      </c>
      <c r="F2889" s="1">
        <v>1.0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1">
        <v>45.05</v>
      </c>
      <c r="T2889" s="1">
        <v>45.05</v>
      </c>
      <c r="U2889" s="1">
        <v>5.0</v>
      </c>
      <c r="V2889" s="1">
        <v>0.0</v>
      </c>
      <c r="W2889" s="1" t="s">
        <v>25</v>
      </c>
    </row>
    <row r="2890" ht="15.75" customHeight="1">
      <c r="A2890" s="1" t="s">
        <v>2927</v>
      </c>
      <c r="B2890" s="1" t="s">
        <v>24</v>
      </c>
      <c r="C2890" s="1">
        <v>1.0</v>
      </c>
      <c r="D2890" s="1" t="s">
        <v>26</v>
      </c>
      <c r="E2890" s="1" t="s">
        <v>25</v>
      </c>
      <c r="F2890" s="1">
        <v>1.0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1">
        <v>71.0</v>
      </c>
      <c r="T2890" s="1">
        <v>71.0</v>
      </c>
      <c r="U2890" s="1">
        <v>3.0</v>
      </c>
      <c r="V2890" s="1">
        <v>0.0</v>
      </c>
      <c r="W2890" s="1" t="s">
        <v>25</v>
      </c>
    </row>
    <row r="2891" ht="15.75" customHeight="1">
      <c r="A2891" s="1" t="s">
        <v>2928</v>
      </c>
      <c r="B2891" s="1" t="s">
        <v>32</v>
      </c>
      <c r="C2891" s="1">
        <v>0.0</v>
      </c>
      <c r="D2891" s="1" t="s">
        <v>25</v>
      </c>
      <c r="E2891" s="1" t="s">
        <v>25</v>
      </c>
      <c r="F2891" s="1">
        <v>58.0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1">
        <v>50.0</v>
      </c>
      <c r="T2891" s="1">
        <v>2919.85</v>
      </c>
      <c r="U2891" s="1">
        <v>2.0</v>
      </c>
      <c r="V2891" s="1">
        <v>4.0</v>
      </c>
      <c r="W2891" s="1" t="s">
        <v>26</v>
      </c>
    </row>
    <row r="2892" ht="15.75" customHeight="1">
      <c r="A2892" s="1" t="s">
        <v>2929</v>
      </c>
      <c r="B2892" s="1" t="s">
        <v>24</v>
      </c>
      <c r="C2892" s="1">
        <v>1.0</v>
      </c>
      <c r="D2892" s="1" t="s">
        <v>25</v>
      </c>
      <c r="E2892" s="1" t="s">
        <v>25</v>
      </c>
      <c r="F2892" s="1">
        <v>47.0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1">
        <v>70.55</v>
      </c>
      <c r="T2892" s="1">
        <v>3309.25</v>
      </c>
      <c r="U2892" s="1">
        <v>0.0</v>
      </c>
      <c r="V2892" s="1">
        <v>0.0</v>
      </c>
      <c r="W2892" s="1" t="s">
        <v>25</v>
      </c>
    </row>
    <row r="2893" ht="15.75" customHeight="1">
      <c r="A2893" s="1" t="s">
        <v>2930</v>
      </c>
      <c r="B2893" s="1" t="s">
        <v>24</v>
      </c>
      <c r="C2893" s="1">
        <v>0.0</v>
      </c>
      <c r="D2893" s="1" t="s">
        <v>26</v>
      </c>
      <c r="E2893" s="1" t="s">
        <v>26</v>
      </c>
      <c r="F2893" s="1">
        <v>1.0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1">
        <v>79.7</v>
      </c>
      <c r="T2893" s="1">
        <v>79.7</v>
      </c>
      <c r="U2893" s="1">
        <v>0.0</v>
      </c>
      <c r="V2893" s="1">
        <v>0.0</v>
      </c>
      <c r="W2893" s="1" t="s">
        <v>25</v>
      </c>
    </row>
    <row r="2894" ht="15.75" customHeight="1">
      <c r="A2894" s="1" t="s">
        <v>2931</v>
      </c>
      <c r="B2894" s="1" t="s">
        <v>32</v>
      </c>
      <c r="C2894" s="1">
        <v>0.0</v>
      </c>
      <c r="D2894" s="1" t="s">
        <v>26</v>
      </c>
      <c r="E2894" s="1" t="s">
        <v>26</v>
      </c>
      <c r="F2894" s="1">
        <v>1.0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1">
        <v>20.45</v>
      </c>
      <c r="T2894" s="1">
        <v>20.45</v>
      </c>
      <c r="U2894" s="1">
        <v>0.0</v>
      </c>
      <c r="V2894" s="1">
        <v>0.0</v>
      </c>
      <c r="W2894" s="1" t="s">
        <v>26</v>
      </c>
    </row>
    <row r="2895" ht="15.75" customHeight="1">
      <c r="A2895" s="1" t="s">
        <v>2932</v>
      </c>
      <c r="B2895" s="1" t="s">
        <v>32</v>
      </c>
      <c r="C2895" s="1">
        <v>0.0</v>
      </c>
      <c r="D2895" s="1" t="s">
        <v>26</v>
      </c>
      <c r="E2895" s="1" t="s">
        <v>26</v>
      </c>
      <c r="F2895" s="1">
        <v>22.0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1">
        <v>59.0</v>
      </c>
      <c r="T2895" s="1">
        <v>1254.7</v>
      </c>
      <c r="U2895" s="1">
        <v>0.0</v>
      </c>
      <c r="V2895" s="1">
        <v>2.0</v>
      </c>
      <c r="W2895" s="1" t="s">
        <v>25</v>
      </c>
    </row>
    <row r="2896" ht="15.75" customHeight="1">
      <c r="A2896" s="1" t="s">
        <v>2933</v>
      </c>
      <c r="B2896" s="1" t="s">
        <v>24</v>
      </c>
      <c r="C2896" s="1">
        <v>0.0</v>
      </c>
      <c r="D2896" s="1" t="s">
        <v>26</v>
      </c>
      <c r="E2896" s="1" t="s">
        <v>26</v>
      </c>
      <c r="F2896" s="1">
        <v>48.0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1">
        <v>60.35</v>
      </c>
      <c r="T2896" s="1">
        <v>2896.4</v>
      </c>
      <c r="U2896" s="1">
        <v>0.0</v>
      </c>
      <c r="V2896" s="1">
        <v>4.0</v>
      </c>
      <c r="W2896" s="1" t="s">
        <v>25</v>
      </c>
    </row>
    <row r="2897" ht="15.75" customHeight="1">
      <c r="A2897" s="1" t="s">
        <v>2934</v>
      </c>
      <c r="B2897" s="1" t="s">
        <v>24</v>
      </c>
      <c r="C2897" s="1">
        <v>0.0</v>
      </c>
      <c r="D2897" s="1" t="s">
        <v>25</v>
      </c>
      <c r="E2897" s="1" t="s">
        <v>26</v>
      </c>
      <c r="F2897" s="1">
        <v>37.0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1">
        <v>19.85</v>
      </c>
      <c r="T2897" s="1">
        <v>717.5</v>
      </c>
      <c r="U2897" s="1">
        <v>0.0</v>
      </c>
      <c r="V2897" s="1">
        <v>0.0</v>
      </c>
      <c r="W2897" s="1" t="s">
        <v>26</v>
      </c>
    </row>
    <row r="2898" ht="15.75" customHeight="1">
      <c r="A2898" s="1" t="s">
        <v>2935</v>
      </c>
      <c r="B2898" s="1" t="s">
        <v>32</v>
      </c>
      <c r="C2898" s="1">
        <v>0.0</v>
      </c>
      <c r="D2898" s="1" t="s">
        <v>26</v>
      </c>
      <c r="E2898" s="1" t="s">
        <v>26</v>
      </c>
      <c r="F2898" s="1">
        <v>13.0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1">
        <v>19.95</v>
      </c>
      <c r="T2898" s="1">
        <v>253.8</v>
      </c>
      <c r="U2898" s="1">
        <v>0.0</v>
      </c>
      <c r="V2898" s="1">
        <v>0.0</v>
      </c>
      <c r="W2898" s="1" t="s">
        <v>26</v>
      </c>
    </row>
    <row r="2899" ht="15.75" customHeight="1">
      <c r="A2899" s="1" t="s">
        <v>2936</v>
      </c>
      <c r="B2899" s="1" t="s">
        <v>32</v>
      </c>
      <c r="C2899" s="1">
        <v>0.0</v>
      </c>
      <c r="D2899" s="1" t="s">
        <v>26</v>
      </c>
      <c r="E2899" s="1" t="s">
        <v>26</v>
      </c>
      <c r="F2899" s="1">
        <v>43.0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1">
        <v>26.45</v>
      </c>
      <c r="T2899" s="1">
        <v>1110.05</v>
      </c>
      <c r="U2899" s="1">
        <v>0.0</v>
      </c>
      <c r="V2899" s="1">
        <v>0.0</v>
      </c>
      <c r="W2899" s="1" t="s">
        <v>26</v>
      </c>
    </row>
    <row r="2900" ht="15.75" customHeight="1">
      <c r="A2900" s="1" t="s">
        <v>2937</v>
      </c>
      <c r="B2900" s="1" t="s">
        <v>24</v>
      </c>
      <c r="C2900" s="1">
        <v>0.0</v>
      </c>
      <c r="D2900" s="1" t="s">
        <v>26</v>
      </c>
      <c r="E2900" s="1" t="s">
        <v>26</v>
      </c>
      <c r="F2900" s="1">
        <v>6.0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1">
        <v>63.4</v>
      </c>
      <c r="T2900" s="1">
        <v>348.8</v>
      </c>
      <c r="U2900" s="1">
        <v>0.0</v>
      </c>
      <c r="V2900" s="1">
        <v>0.0</v>
      </c>
      <c r="W2900" s="1" t="s">
        <v>26</v>
      </c>
    </row>
    <row r="2901" ht="15.75" customHeight="1">
      <c r="A2901" s="1" t="s">
        <v>2938</v>
      </c>
      <c r="B2901" s="1" t="s">
        <v>32</v>
      </c>
      <c r="C2901" s="1">
        <v>0.0</v>
      </c>
      <c r="D2901" s="1" t="s">
        <v>26</v>
      </c>
      <c r="E2901" s="1" t="s">
        <v>26</v>
      </c>
      <c r="F2901" s="1">
        <v>71.0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1">
        <v>53.95</v>
      </c>
      <c r="T2901" s="1">
        <v>3888.65</v>
      </c>
      <c r="U2901" s="1">
        <v>0.0</v>
      </c>
      <c r="V2901" s="1">
        <v>0.0</v>
      </c>
      <c r="W2901" s="1" t="s">
        <v>26</v>
      </c>
    </row>
    <row r="2902" ht="15.75" customHeight="1">
      <c r="A2902" s="1" t="s">
        <v>2939</v>
      </c>
      <c r="B2902" s="1" t="s">
        <v>24</v>
      </c>
      <c r="C2902" s="1">
        <v>1.0</v>
      </c>
      <c r="D2902" s="1" t="s">
        <v>25</v>
      </c>
      <c r="E2902" s="1" t="s">
        <v>25</v>
      </c>
      <c r="F2902" s="1">
        <v>1.0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1">
        <v>69.25</v>
      </c>
      <c r="T2902" s="1">
        <v>69.25</v>
      </c>
      <c r="U2902" s="1">
        <v>0.0</v>
      </c>
      <c r="V2902" s="1">
        <v>0.0</v>
      </c>
      <c r="W2902" s="1" t="s">
        <v>25</v>
      </c>
    </row>
    <row r="2903" ht="15.75" customHeight="1">
      <c r="A2903" s="1" t="s">
        <v>2940</v>
      </c>
      <c r="B2903" s="1" t="s">
        <v>24</v>
      </c>
      <c r="C2903" s="1">
        <v>0.0</v>
      </c>
      <c r="D2903" s="1" t="s">
        <v>25</v>
      </c>
      <c r="E2903" s="1" t="s">
        <v>25</v>
      </c>
      <c r="F2903" s="1">
        <v>72.0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1">
        <v>95.1</v>
      </c>
      <c r="T2903" s="1">
        <v>6843.15</v>
      </c>
      <c r="U2903" s="1">
        <v>0.0</v>
      </c>
      <c r="V2903" s="1">
        <v>0.0</v>
      </c>
      <c r="W2903" s="1" t="s">
        <v>26</v>
      </c>
    </row>
    <row r="2904" ht="15.75" customHeight="1">
      <c r="A2904" s="1" t="s">
        <v>2941</v>
      </c>
      <c r="B2904" s="1" t="s">
        <v>24</v>
      </c>
      <c r="C2904" s="1">
        <v>1.0</v>
      </c>
      <c r="D2904" s="1" t="s">
        <v>26</v>
      </c>
      <c r="E2904" s="1" t="s">
        <v>26</v>
      </c>
      <c r="F2904" s="1">
        <v>6.0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1">
        <v>74.1</v>
      </c>
      <c r="T2904" s="1">
        <v>450.9</v>
      </c>
      <c r="U2904" s="1">
        <v>0.0</v>
      </c>
      <c r="V2904" s="1">
        <v>0.0</v>
      </c>
      <c r="W2904" s="1" t="s">
        <v>26</v>
      </c>
    </row>
    <row r="2905" ht="15.75" customHeight="1">
      <c r="A2905" s="1" t="s">
        <v>2942</v>
      </c>
      <c r="B2905" s="1" t="s">
        <v>32</v>
      </c>
      <c r="C2905" s="1">
        <v>0.0</v>
      </c>
      <c r="D2905" s="1" t="s">
        <v>25</v>
      </c>
      <c r="E2905" s="1" t="s">
        <v>25</v>
      </c>
      <c r="F2905" s="1">
        <v>12.0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1">
        <v>35.5</v>
      </c>
      <c r="T2905" s="1">
        <v>432.25</v>
      </c>
      <c r="U2905" s="1">
        <v>3.0</v>
      </c>
      <c r="V2905" s="1">
        <v>0.0</v>
      </c>
      <c r="W2905" s="1" t="s">
        <v>26</v>
      </c>
    </row>
    <row r="2906" ht="15.75" customHeight="1">
      <c r="A2906" s="1" t="s">
        <v>2943</v>
      </c>
      <c r="B2906" s="1" t="s">
        <v>32</v>
      </c>
      <c r="C2906" s="1">
        <v>0.0</v>
      </c>
      <c r="D2906" s="1" t="s">
        <v>26</v>
      </c>
      <c r="E2906" s="1" t="s">
        <v>26</v>
      </c>
      <c r="F2906" s="1">
        <v>25.0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1">
        <v>70.95</v>
      </c>
      <c r="T2906" s="1">
        <v>1767.35</v>
      </c>
      <c r="U2906" s="1">
        <v>0.0</v>
      </c>
      <c r="V2906" s="1">
        <v>0.0</v>
      </c>
      <c r="W2906" s="1" t="s">
        <v>25</v>
      </c>
    </row>
    <row r="2907" ht="15.75" customHeight="1">
      <c r="A2907" s="1" t="s">
        <v>2944</v>
      </c>
      <c r="B2907" s="1" t="s">
        <v>24</v>
      </c>
      <c r="C2907" s="1">
        <v>0.0</v>
      </c>
      <c r="D2907" s="1" t="s">
        <v>25</v>
      </c>
      <c r="E2907" s="1" t="s">
        <v>26</v>
      </c>
      <c r="F2907" s="1">
        <v>21.0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1">
        <v>79.2</v>
      </c>
      <c r="T2907" s="1">
        <v>1742.45</v>
      </c>
      <c r="U2907" s="1">
        <v>0.0</v>
      </c>
      <c r="V2907" s="1">
        <v>1.0</v>
      </c>
      <c r="W2907" s="1" t="s">
        <v>26</v>
      </c>
    </row>
    <row r="2908" ht="15.75" customHeight="1">
      <c r="A2908" s="1" t="s">
        <v>2945</v>
      </c>
      <c r="B2908" s="1" t="s">
        <v>24</v>
      </c>
      <c r="C2908" s="1">
        <v>0.0</v>
      </c>
      <c r="D2908" s="1" t="s">
        <v>25</v>
      </c>
      <c r="E2908" s="1" t="s">
        <v>25</v>
      </c>
      <c r="F2908" s="1">
        <v>6.0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1">
        <v>48.8</v>
      </c>
      <c r="T2908" s="1">
        <v>297.35</v>
      </c>
      <c r="U2908" s="1">
        <v>0.0</v>
      </c>
      <c r="V2908" s="1">
        <v>0.0</v>
      </c>
      <c r="W2908" s="1" t="s">
        <v>26</v>
      </c>
    </row>
    <row r="2909" ht="15.75" customHeight="1">
      <c r="A2909" s="1" t="s">
        <v>2946</v>
      </c>
      <c r="B2909" s="1" t="s">
        <v>32</v>
      </c>
      <c r="C2909" s="1">
        <v>0.0</v>
      </c>
      <c r="D2909" s="1" t="s">
        <v>25</v>
      </c>
      <c r="E2909" s="1" t="s">
        <v>26</v>
      </c>
      <c r="F2909" s="1">
        <v>20.0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1">
        <v>89.0</v>
      </c>
      <c r="T2909" s="1">
        <v>1820.45</v>
      </c>
      <c r="U2909" s="1">
        <v>0.0</v>
      </c>
      <c r="V2909" s="1">
        <v>2.0</v>
      </c>
      <c r="W2909" s="1" t="s">
        <v>25</v>
      </c>
    </row>
    <row r="2910" ht="15.75" customHeight="1">
      <c r="A2910" s="1" t="s">
        <v>2947</v>
      </c>
      <c r="B2910" s="1" t="s">
        <v>32</v>
      </c>
      <c r="C2910" s="1">
        <v>0.0</v>
      </c>
      <c r="D2910" s="1" t="s">
        <v>25</v>
      </c>
      <c r="E2910" s="1" t="s">
        <v>26</v>
      </c>
      <c r="F2910" s="1">
        <v>18.0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1">
        <v>99.4</v>
      </c>
      <c r="T2910" s="1">
        <v>1742.95</v>
      </c>
      <c r="U2910" s="1">
        <v>0.0</v>
      </c>
      <c r="V2910" s="1">
        <v>2.0</v>
      </c>
      <c r="W2910" s="1" t="s">
        <v>25</v>
      </c>
    </row>
    <row r="2911" ht="15.75" customHeight="1">
      <c r="A2911" s="1" t="s">
        <v>2948</v>
      </c>
      <c r="B2911" s="1" t="s">
        <v>24</v>
      </c>
      <c r="C2911" s="1">
        <v>0.0</v>
      </c>
      <c r="D2911" s="1" t="s">
        <v>26</v>
      </c>
      <c r="E2911" s="1" t="s">
        <v>26</v>
      </c>
      <c r="F2911" s="1">
        <v>43.0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1">
        <v>55.45</v>
      </c>
      <c r="T2911" s="1">
        <v>2444.25</v>
      </c>
      <c r="U2911" s="1">
        <v>0.0</v>
      </c>
      <c r="V2911" s="1">
        <v>0.0</v>
      </c>
      <c r="W2911" s="1" t="s">
        <v>26</v>
      </c>
    </row>
    <row r="2912" ht="15.75" customHeight="1">
      <c r="A2912" s="1" t="s">
        <v>2949</v>
      </c>
      <c r="B2912" s="1" t="s">
        <v>24</v>
      </c>
      <c r="C2912" s="1">
        <v>0.0</v>
      </c>
      <c r="D2912" s="1" t="s">
        <v>25</v>
      </c>
      <c r="E2912" s="1" t="s">
        <v>25</v>
      </c>
      <c r="F2912" s="1">
        <v>35.0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1">
        <v>25.4</v>
      </c>
      <c r="T2912" s="1">
        <v>949.8</v>
      </c>
      <c r="U2912" s="1">
        <v>0.0</v>
      </c>
      <c r="V2912" s="1">
        <v>0.0</v>
      </c>
      <c r="W2912" s="1" t="s">
        <v>26</v>
      </c>
    </row>
    <row r="2913" ht="15.75" customHeight="1">
      <c r="A2913" s="1" t="s">
        <v>2950</v>
      </c>
      <c r="B2913" s="1" t="s">
        <v>24</v>
      </c>
      <c r="C2913" s="1">
        <v>0.0</v>
      </c>
      <c r="D2913" s="1" t="s">
        <v>26</v>
      </c>
      <c r="E2913" s="1" t="s">
        <v>26</v>
      </c>
      <c r="F2913" s="1">
        <v>1.0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1">
        <v>73.5</v>
      </c>
      <c r="T2913" s="1">
        <v>73.5</v>
      </c>
      <c r="U2913" s="1">
        <v>0.0</v>
      </c>
      <c r="V2913" s="1">
        <v>0.0</v>
      </c>
      <c r="W2913" s="1" t="s">
        <v>25</v>
      </c>
    </row>
    <row r="2914" ht="15.75" customHeight="1">
      <c r="A2914" s="1" t="s">
        <v>2951</v>
      </c>
      <c r="B2914" s="1" t="s">
        <v>32</v>
      </c>
      <c r="C2914" s="1">
        <v>1.0</v>
      </c>
      <c r="D2914" s="1" t="s">
        <v>25</v>
      </c>
      <c r="E2914" s="1" t="s">
        <v>26</v>
      </c>
      <c r="F2914" s="1">
        <v>32.0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1">
        <v>93.5</v>
      </c>
      <c r="T2914" s="1">
        <v>2970.8</v>
      </c>
      <c r="U2914" s="1">
        <v>0.0</v>
      </c>
      <c r="V2914" s="1">
        <v>0.0</v>
      </c>
      <c r="W2914" s="1" t="s">
        <v>26</v>
      </c>
    </row>
    <row r="2915" ht="15.75" customHeight="1">
      <c r="A2915" s="1" t="s">
        <v>2952</v>
      </c>
      <c r="B2915" s="1" t="s">
        <v>32</v>
      </c>
      <c r="C2915" s="1">
        <v>0.0</v>
      </c>
      <c r="D2915" s="1" t="s">
        <v>26</v>
      </c>
      <c r="E2915" s="1" t="s">
        <v>26</v>
      </c>
      <c r="F2915" s="1">
        <v>52.0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1">
        <v>63.9</v>
      </c>
      <c r="T2915" s="1">
        <v>3334.95</v>
      </c>
      <c r="U2915" s="1">
        <v>0.0</v>
      </c>
      <c r="V2915" s="1">
        <v>0.0</v>
      </c>
      <c r="W2915" s="1" t="s">
        <v>26</v>
      </c>
    </row>
    <row r="2916" ht="15.75" customHeight="1">
      <c r="A2916" s="1" t="s">
        <v>2953</v>
      </c>
      <c r="B2916" s="1" t="s">
        <v>32</v>
      </c>
      <c r="C2916" s="1">
        <v>0.0</v>
      </c>
      <c r="D2916" s="1" t="s">
        <v>26</v>
      </c>
      <c r="E2916" s="1" t="s">
        <v>26</v>
      </c>
      <c r="F2916" s="1">
        <v>32.0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1">
        <v>64.85</v>
      </c>
      <c r="T2916" s="1">
        <v>2010.95</v>
      </c>
      <c r="U2916" s="1">
        <v>0.0</v>
      </c>
      <c r="V2916" s="1">
        <v>0.0</v>
      </c>
      <c r="W2916" s="1" t="s">
        <v>26</v>
      </c>
    </row>
    <row r="2917" ht="15.75" customHeight="1">
      <c r="A2917" s="1" t="s">
        <v>2954</v>
      </c>
      <c r="B2917" s="1" t="s">
        <v>24</v>
      </c>
      <c r="C2917" s="1">
        <v>0.0</v>
      </c>
      <c r="D2917" s="1" t="s">
        <v>25</v>
      </c>
      <c r="E2917" s="1" t="s">
        <v>25</v>
      </c>
      <c r="F2917" s="1">
        <v>72.0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1">
        <v>63.8</v>
      </c>
      <c r="T2917" s="1">
        <v>4684.3</v>
      </c>
      <c r="U2917" s="1">
        <v>0.0</v>
      </c>
      <c r="V2917" s="1">
        <v>0.0</v>
      </c>
      <c r="W2917" s="1" t="s">
        <v>26</v>
      </c>
    </row>
    <row r="2918" ht="15.75" customHeight="1">
      <c r="A2918" s="1" t="s">
        <v>2955</v>
      </c>
      <c r="B2918" s="1" t="s">
        <v>32</v>
      </c>
      <c r="C2918" s="1">
        <v>0.0</v>
      </c>
      <c r="D2918" s="1" t="s">
        <v>26</v>
      </c>
      <c r="E2918" s="1" t="s">
        <v>26</v>
      </c>
      <c r="F2918" s="1">
        <v>51.0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1">
        <v>44.45</v>
      </c>
      <c r="T2918" s="1">
        <v>2181.55</v>
      </c>
      <c r="U2918" s="1">
        <v>0.0</v>
      </c>
      <c r="V2918" s="1">
        <v>0.0</v>
      </c>
      <c r="W2918" s="1" t="s">
        <v>26</v>
      </c>
    </row>
    <row r="2919" ht="15.75" customHeight="1">
      <c r="A2919" s="1" t="s">
        <v>2956</v>
      </c>
      <c r="B2919" s="1" t="s">
        <v>32</v>
      </c>
      <c r="C2919" s="1">
        <v>0.0</v>
      </c>
      <c r="D2919" s="1" t="s">
        <v>25</v>
      </c>
      <c r="E2919" s="1" t="s">
        <v>25</v>
      </c>
      <c r="F2919" s="1">
        <v>68.0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1">
        <v>19.95</v>
      </c>
      <c r="T2919" s="1">
        <v>1303.25</v>
      </c>
      <c r="U2919" s="1">
        <v>0.0</v>
      </c>
      <c r="V2919" s="1">
        <v>0.0</v>
      </c>
      <c r="W2919" s="1" t="s">
        <v>26</v>
      </c>
    </row>
    <row r="2920" ht="15.75" customHeight="1">
      <c r="A2920" s="1" t="s">
        <v>2957</v>
      </c>
      <c r="B2920" s="1" t="s">
        <v>32</v>
      </c>
      <c r="C2920" s="1">
        <v>1.0</v>
      </c>
      <c r="D2920" s="1" t="s">
        <v>25</v>
      </c>
      <c r="E2920" s="1" t="s">
        <v>26</v>
      </c>
      <c r="F2920" s="1">
        <v>8.0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1">
        <v>43.35</v>
      </c>
      <c r="T2920" s="1">
        <v>371.4</v>
      </c>
      <c r="U2920" s="1">
        <v>0.0</v>
      </c>
      <c r="V2920" s="1">
        <v>0.0</v>
      </c>
      <c r="W2920" s="1" t="s">
        <v>26</v>
      </c>
    </row>
    <row r="2921" ht="15.75" customHeight="1">
      <c r="A2921" s="1" t="s">
        <v>2958</v>
      </c>
      <c r="B2921" s="1" t="s">
        <v>32</v>
      </c>
      <c r="C2921" s="1">
        <v>0.0</v>
      </c>
      <c r="D2921" s="1" t="s">
        <v>25</v>
      </c>
      <c r="E2921" s="1" t="s">
        <v>26</v>
      </c>
      <c r="F2921" s="1">
        <v>49.0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1">
        <v>49.65</v>
      </c>
      <c r="T2921" s="1">
        <v>2409.9</v>
      </c>
      <c r="U2921" s="1">
        <v>0.0</v>
      </c>
      <c r="V2921" s="1">
        <v>0.0</v>
      </c>
      <c r="W2921" s="1" t="s">
        <v>26</v>
      </c>
    </row>
    <row r="2922" ht="15.75" customHeight="1">
      <c r="A2922" s="1" t="s">
        <v>2959</v>
      </c>
      <c r="B2922" s="1" t="s">
        <v>24</v>
      </c>
      <c r="C2922" s="1">
        <v>0.0</v>
      </c>
      <c r="D2922" s="1" t="s">
        <v>25</v>
      </c>
      <c r="E2922" s="1" t="s">
        <v>26</v>
      </c>
      <c r="F2922" s="1">
        <v>72.0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1">
        <v>85.1</v>
      </c>
      <c r="T2922" s="1">
        <v>6155.4</v>
      </c>
      <c r="U2922" s="1">
        <v>1.0</v>
      </c>
      <c r="V2922" s="1">
        <v>0.0</v>
      </c>
      <c r="W2922" s="1" t="s">
        <v>26</v>
      </c>
    </row>
    <row r="2923" ht="15.75" customHeight="1">
      <c r="A2923" s="1" t="s">
        <v>2960</v>
      </c>
      <c r="B2923" s="1" t="s">
        <v>32</v>
      </c>
      <c r="C2923" s="1">
        <v>0.0</v>
      </c>
      <c r="D2923" s="1" t="s">
        <v>26</v>
      </c>
      <c r="E2923" s="1" t="s">
        <v>26</v>
      </c>
      <c r="F2923" s="1">
        <v>9.0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1">
        <v>95.5</v>
      </c>
      <c r="T2923" s="1">
        <v>829.1</v>
      </c>
      <c r="U2923" s="1">
        <v>4.0</v>
      </c>
      <c r="V2923" s="1">
        <v>0.0</v>
      </c>
      <c r="W2923" s="1" t="s">
        <v>25</v>
      </c>
    </row>
    <row r="2924" ht="15.75" customHeight="1">
      <c r="A2924" s="1" t="s">
        <v>2961</v>
      </c>
      <c r="B2924" s="1" t="s">
        <v>24</v>
      </c>
      <c r="C2924" s="1">
        <v>0.0</v>
      </c>
      <c r="D2924" s="1" t="s">
        <v>25</v>
      </c>
      <c r="E2924" s="1" t="s">
        <v>26</v>
      </c>
      <c r="F2924" s="1">
        <v>28.0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1">
        <v>92.35</v>
      </c>
      <c r="T2924" s="1">
        <v>2602.9</v>
      </c>
      <c r="U2924" s="1">
        <v>0.0</v>
      </c>
      <c r="V2924" s="1">
        <v>2.0</v>
      </c>
      <c r="W2924" s="1" t="s">
        <v>25</v>
      </c>
    </row>
    <row r="2925" ht="15.75" customHeight="1">
      <c r="A2925" s="1" t="s">
        <v>2962</v>
      </c>
      <c r="B2925" s="1" t="s">
        <v>32</v>
      </c>
      <c r="C2925" s="1">
        <v>0.0</v>
      </c>
      <c r="D2925" s="1" t="s">
        <v>26</v>
      </c>
      <c r="E2925" s="1" t="s">
        <v>26</v>
      </c>
      <c r="F2925" s="1">
        <v>54.0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1">
        <v>89.8</v>
      </c>
      <c r="T2925" s="1">
        <v>4667.0</v>
      </c>
      <c r="U2925" s="1">
        <v>0.0</v>
      </c>
      <c r="V2925" s="1">
        <v>0.0</v>
      </c>
      <c r="W2925" s="1" t="s">
        <v>26</v>
      </c>
    </row>
    <row r="2926" ht="15.75" customHeight="1">
      <c r="A2926" s="1" t="s">
        <v>2963</v>
      </c>
      <c r="B2926" s="1" t="s">
        <v>32</v>
      </c>
      <c r="C2926" s="1">
        <v>0.0</v>
      </c>
      <c r="D2926" s="1" t="s">
        <v>26</v>
      </c>
      <c r="E2926" s="1" t="s">
        <v>26</v>
      </c>
      <c r="F2926" s="1">
        <v>11.0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1">
        <v>74.55</v>
      </c>
      <c r="T2926" s="1">
        <v>824.75</v>
      </c>
      <c r="U2926" s="1">
        <v>0.0</v>
      </c>
      <c r="V2926" s="1">
        <v>0.0</v>
      </c>
      <c r="W2926" s="1" t="s">
        <v>25</v>
      </c>
    </row>
    <row r="2927" ht="15.75" customHeight="1">
      <c r="A2927" s="1" t="s">
        <v>2964</v>
      </c>
      <c r="B2927" s="1" t="s">
        <v>24</v>
      </c>
      <c r="C2927" s="1">
        <v>0.0</v>
      </c>
      <c r="D2927" s="1" t="s">
        <v>25</v>
      </c>
      <c r="E2927" s="1" t="s">
        <v>25</v>
      </c>
      <c r="F2927" s="1">
        <v>50.0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1">
        <v>103.05</v>
      </c>
      <c r="T2927" s="1">
        <v>5153.5</v>
      </c>
      <c r="U2927" s="1">
        <v>0.0</v>
      </c>
      <c r="V2927" s="1">
        <v>0.0</v>
      </c>
      <c r="W2927" s="1" t="s">
        <v>26</v>
      </c>
    </row>
    <row r="2928" ht="15.75" customHeight="1">
      <c r="A2928" s="1" t="s">
        <v>2965</v>
      </c>
      <c r="B2928" s="1" t="s">
        <v>24</v>
      </c>
      <c r="C2928" s="1">
        <v>0.0</v>
      </c>
      <c r="D2928" s="1" t="s">
        <v>25</v>
      </c>
      <c r="E2928" s="1" t="s">
        <v>26</v>
      </c>
      <c r="F2928" s="1">
        <v>69.0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1">
        <v>116.0</v>
      </c>
      <c r="T2928" s="1">
        <v>8182.85</v>
      </c>
      <c r="U2928" s="1">
        <v>0.0</v>
      </c>
      <c r="V2928" s="1">
        <v>0.0</v>
      </c>
      <c r="W2928" s="1" t="s">
        <v>26</v>
      </c>
    </row>
    <row r="2929" ht="15.75" customHeight="1">
      <c r="A2929" s="1" t="s">
        <v>2966</v>
      </c>
      <c r="B2929" s="1" t="s">
        <v>32</v>
      </c>
      <c r="C2929" s="1">
        <v>0.0</v>
      </c>
      <c r="D2929" s="1" t="s">
        <v>26</v>
      </c>
      <c r="E2929" s="1" t="s">
        <v>26</v>
      </c>
      <c r="F2929" s="1">
        <v>1.0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1">
        <v>69.9</v>
      </c>
      <c r="T2929" s="1">
        <v>69.9</v>
      </c>
      <c r="U2929" s="1">
        <v>0.0</v>
      </c>
      <c r="V2929" s="1">
        <v>0.0</v>
      </c>
      <c r="W2929" s="1" t="s">
        <v>26</v>
      </c>
    </row>
    <row r="2930" ht="15.75" customHeight="1">
      <c r="A2930" s="1" t="s">
        <v>2967</v>
      </c>
      <c r="B2930" s="1" t="s">
        <v>32</v>
      </c>
      <c r="C2930" s="1">
        <v>0.0</v>
      </c>
      <c r="D2930" s="1" t="s">
        <v>25</v>
      </c>
      <c r="E2930" s="1" t="s">
        <v>25</v>
      </c>
      <c r="F2930" s="1">
        <v>68.0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1">
        <v>95.1</v>
      </c>
      <c r="T2930" s="1">
        <v>6683.4</v>
      </c>
      <c r="U2930" s="1">
        <v>0.0</v>
      </c>
      <c r="V2930" s="1">
        <v>0.0</v>
      </c>
      <c r="W2930" s="1" t="s">
        <v>26</v>
      </c>
    </row>
    <row r="2931" ht="15.75" customHeight="1">
      <c r="A2931" s="1" t="s">
        <v>2968</v>
      </c>
      <c r="B2931" s="1" t="s">
        <v>32</v>
      </c>
      <c r="C2931" s="1">
        <v>0.0</v>
      </c>
      <c r="D2931" s="1" t="s">
        <v>26</v>
      </c>
      <c r="E2931" s="1" t="s">
        <v>25</v>
      </c>
      <c r="F2931" s="1">
        <v>40.0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1">
        <v>40.25</v>
      </c>
      <c r="T2931" s="1">
        <v>1564.05</v>
      </c>
      <c r="U2931" s="1">
        <v>0.0</v>
      </c>
      <c r="V2931" s="1">
        <v>0.0</v>
      </c>
      <c r="W2931" s="1" t="s">
        <v>26</v>
      </c>
    </row>
    <row r="2932" ht="15.75" customHeight="1">
      <c r="A2932" s="1" t="s">
        <v>2969</v>
      </c>
      <c r="B2932" s="1" t="s">
        <v>32</v>
      </c>
      <c r="C2932" s="1">
        <v>0.0</v>
      </c>
      <c r="D2932" s="1" t="s">
        <v>25</v>
      </c>
      <c r="E2932" s="1" t="s">
        <v>25</v>
      </c>
      <c r="F2932" s="1">
        <v>31.0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1">
        <v>25.75</v>
      </c>
      <c r="T2932" s="1">
        <v>755.6</v>
      </c>
      <c r="U2932" s="1">
        <v>0.0</v>
      </c>
      <c r="V2932" s="1">
        <v>0.0</v>
      </c>
      <c r="W2932" s="1" t="s">
        <v>26</v>
      </c>
    </row>
    <row r="2933" ht="15.75" customHeight="1">
      <c r="A2933" s="1" t="s">
        <v>2970</v>
      </c>
      <c r="B2933" s="1" t="s">
        <v>24</v>
      </c>
      <c r="C2933" s="1">
        <v>1.0</v>
      </c>
      <c r="D2933" s="1" t="s">
        <v>26</v>
      </c>
      <c r="E2933" s="1" t="s">
        <v>25</v>
      </c>
      <c r="F2933" s="1">
        <v>33.0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1">
        <v>105.35</v>
      </c>
      <c r="T2933" s="1">
        <v>3465.05</v>
      </c>
      <c r="U2933" s="1">
        <v>0.0</v>
      </c>
      <c r="V2933" s="1">
        <v>0.0</v>
      </c>
      <c r="W2933" s="1" t="s">
        <v>26</v>
      </c>
    </row>
    <row r="2934" ht="15.75" customHeight="1">
      <c r="A2934" s="1" t="s">
        <v>2971</v>
      </c>
      <c r="B2934" s="1" t="s">
        <v>32</v>
      </c>
      <c r="C2934" s="1">
        <v>1.0</v>
      </c>
      <c r="D2934" s="1" t="s">
        <v>25</v>
      </c>
      <c r="E2934" s="1" t="s">
        <v>26</v>
      </c>
      <c r="F2934" s="1">
        <v>55.0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1">
        <v>113.6</v>
      </c>
      <c r="T2934" s="1">
        <v>6292.7</v>
      </c>
      <c r="U2934" s="1">
        <v>0.0</v>
      </c>
      <c r="V2934" s="1">
        <v>0.0</v>
      </c>
      <c r="W2934" s="1" t="s">
        <v>26</v>
      </c>
    </row>
    <row r="2935" ht="15.75" customHeight="1">
      <c r="A2935" s="1" t="s">
        <v>2972</v>
      </c>
      <c r="B2935" s="1" t="s">
        <v>32</v>
      </c>
      <c r="C2935" s="1">
        <v>0.0</v>
      </c>
      <c r="D2935" s="1" t="s">
        <v>25</v>
      </c>
      <c r="E2935" s="1" t="s">
        <v>25</v>
      </c>
      <c r="F2935" s="1">
        <v>68.0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1">
        <v>24.0</v>
      </c>
      <c r="T2935" s="1">
        <v>1664.3</v>
      </c>
      <c r="U2935" s="1">
        <v>0.0</v>
      </c>
      <c r="V2935" s="1">
        <v>0.0</v>
      </c>
      <c r="W2935" s="1" t="s">
        <v>26</v>
      </c>
    </row>
    <row r="2936" ht="15.75" customHeight="1">
      <c r="A2936" s="1" t="s">
        <v>2973</v>
      </c>
      <c r="B2936" s="1" t="s">
        <v>24</v>
      </c>
      <c r="C2936" s="1">
        <v>0.0</v>
      </c>
      <c r="D2936" s="1" t="s">
        <v>25</v>
      </c>
      <c r="E2936" s="1" t="s">
        <v>25</v>
      </c>
      <c r="F2936" s="1">
        <v>12.0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1">
        <v>19.4</v>
      </c>
      <c r="T2936" s="1">
        <v>198.1</v>
      </c>
      <c r="U2936" s="1">
        <v>0.0</v>
      </c>
      <c r="V2936" s="1">
        <v>0.0</v>
      </c>
      <c r="W2936" s="1" t="s">
        <v>26</v>
      </c>
    </row>
    <row r="2937" ht="15.75" customHeight="1">
      <c r="A2937" s="1" t="s">
        <v>2974</v>
      </c>
      <c r="B2937" s="1" t="s">
        <v>32</v>
      </c>
      <c r="C2937" s="1">
        <v>0.0</v>
      </c>
      <c r="D2937" s="1" t="s">
        <v>25</v>
      </c>
      <c r="E2937" s="1" t="s">
        <v>26</v>
      </c>
      <c r="F2937" s="1">
        <v>71.0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1">
        <v>86.1</v>
      </c>
      <c r="T2937" s="1">
        <v>6045.9</v>
      </c>
      <c r="U2937" s="1">
        <v>0.0</v>
      </c>
      <c r="V2937" s="1">
        <v>0.0</v>
      </c>
      <c r="W2937" s="1" t="s">
        <v>26</v>
      </c>
    </row>
    <row r="2938" ht="15.75" customHeight="1">
      <c r="A2938" s="1" t="s">
        <v>2975</v>
      </c>
      <c r="B2938" s="1" t="s">
        <v>32</v>
      </c>
      <c r="C2938" s="1">
        <v>0.0</v>
      </c>
      <c r="D2938" s="1" t="s">
        <v>26</v>
      </c>
      <c r="E2938" s="1" t="s">
        <v>26</v>
      </c>
      <c r="F2938" s="1">
        <v>40.0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1">
        <v>102.65</v>
      </c>
      <c r="T2938" s="1">
        <v>4108.15</v>
      </c>
      <c r="U2938" s="1">
        <v>0.0</v>
      </c>
      <c r="V2938" s="1">
        <v>0.0</v>
      </c>
      <c r="W2938" s="1" t="s">
        <v>26</v>
      </c>
    </row>
    <row r="2939" ht="15.75" customHeight="1">
      <c r="A2939" s="1" t="s">
        <v>2976</v>
      </c>
      <c r="B2939" s="1" t="s">
        <v>24</v>
      </c>
      <c r="C2939" s="1">
        <v>0.0</v>
      </c>
      <c r="D2939" s="1" t="s">
        <v>25</v>
      </c>
      <c r="E2939" s="1" t="s">
        <v>25</v>
      </c>
      <c r="F2939" s="1">
        <v>64.0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1">
        <v>92.85</v>
      </c>
      <c r="T2939" s="1">
        <v>5980.75</v>
      </c>
      <c r="U2939" s="1">
        <v>3.0</v>
      </c>
      <c r="V2939" s="1">
        <v>4.0</v>
      </c>
      <c r="W2939" s="1" t="s">
        <v>26</v>
      </c>
    </row>
    <row r="2940" ht="15.75" customHeight="1">
      <c r="A2940" s="1" t="s">
        <v>2977</v>
      </c>
      <c r="B2940" s="1" t="s">
        <v>32</v>
      </c>
      <c r="C2940" s="1">
        <v>0.0</v>
      </c>
      <c r="D2940" s="1" t="s">
        <v>25</v>
      </c>
      <c r="E2940" s="1" t="s">
        <v>26</v>
      </c>
      <c r="F2940" s="1">
        <v>53.0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1">
        <v>97.75</v>
      </c>
      <c r="T2940" s="1">
        <v>5043.2</v>
      </c>
      <c r="U2940" s="1">
        <v>0.0</v>
      </c>
      <c r="V2940" s="1">
        <v>0.0</v>
      </c>
      <c r="W2940" s="1" t="s">
        <v>26</v>
      </c>
    </row>
    <row r="2941" ht="15.75" customHeight="1">
      <c r="A2941" s="1" t="s">
        <v>2978</v>
      </c>
      <c r="B2941" s="1" t="s">
        <v>32</v>
      </c>
      <c r="C2941" s="1">
        <v>1.0</v>
      </c>
      <c r="D2941" s="1" t="s">
        <v>26</v>
      </c>
      <c r="E2941" s="1" t="s">
        <v>26</v>
      </c>
      <c r="F2941" s="1">
        <v>12.0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1">
        <v>83.8</v>
      </c>
      <c r="T2941" s="1">
        <v>1029.75</v>
      </c>
      <c r="U2941" s="1">
        <v>0.0</v>
      </c>
      <c r="V2941" s="1">
        <v>2.0</v>
      </c>
      <c r="W2941" s="1" t="s">
        <v>25</v>
      </c>
    </row>
    <row r="2942" ht="15.75" customHeight="1">
      <c r="A2942" s="1" t="s">
        <v>2979</v>
      </c>
      <c r="B2942" s="1" t="s">
        <v>32</v>
      </c>
      <c r="C2942" s="1">
        <v>1.0</v>
      </c>
      <c r="D2942" s="1" t="s">
        <v>26</v>
      </c>
      <c r="E2942" s="1" t="s">
        <v>26</v>
      </c>
      <c r="F2942" s="1">
        <v>53.0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1">
        <v>54.45</v>
      </c>
      <c r="T2942" s="1">
        <v>2854.55</v>
      </c>
      <c r="U2942" s="1">
        <v>3.0</v>
      </c>
      <c r="V2942" s="1">
        <v>3.0</v>
      </c>
      <c r="W2942" s="1" t="s">
        <v>25</v>
      </c>
    </row>
    <row r="2943" ht="15.75" customHeight="1">
      <c r="A2943" s="1" t="s">
        <v>2980</v>
      </c>
      <c r="B2943" s="1" t="s">
        <v>32</v>
      </c>
      <c r="C2943" s="1">
        <v>0.0</v>
      </c>
      <c r="D2943" s="1" t="s">
        <v>25</v>
      </c>
      <c r="E2943" s="1" t="s">
        <v>26</v>
      </c>
      <c r="F2943" s="1">
        <v>72.0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1">
        <v>97.95</v>
      </c>
      <c r="T2943" s="1">
        <v>7114.25</v>
      </c>
      <c r="U2943" s="1">
        <v>0.0</v>
      </c>
      <c r="V2943" s="1">
        <v>0.0</v>
      </c>
      <c r="W2943" s="1" t="s">
        <v>26</v>
      </c>
    </row>
    <row r="2944" ht="15.75" customHeight="1">
      <c r="A2944" s="1" t="s">
        <v>2981</v>
      </c>
      <c r="B2944" s="1" t="s">
        <v>32</v>
      </c>
      <c r="C2944" s="1">
        <v>0.0</v>
      </c>
      <c r="D2944" s="1" t="s">
        <v>26</v>
      </c>
      <c r="E2944" s="1" t="s">
        <v>26</v>
      </c>
      <c r="F2944" s="1">
        <v>46.0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1">
        <v>19.95</v>
      </c>
      <c r="T2944" s="1">
        <v>907.05</v>
      </c>
      <c r="U2944" s="1">
        <v>0.0</v>
      </c>
      <c r="V2944" s="1">
        <v>0.0</v>
      </c>
      <c r="W2944" s="1" t="s">
        <v>26</v>
      </c>
    </row>
    <row r="2945" ht="15.75" customHeight="1">
      <c r="A2945" s="1" t="s">
        <v>2982</v>
      </c>
      <c r="B2945" s="1" t="s">
        <v>32</v>
      </c>
      <c r="C2945" s="1">
        <v>0.0</v>
      </c>
      <c r="D2945" s="1" t="s">
        <v>26</v>
      </c>
      <c r="E2945" s="1" t="s">
        <v>26</v>
      </c>
      <c r="F2945" s="1">
        <v>40.0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1">
        <v>24.6</v>
      </c>
      <c r="T2945" s="1">
        <v>973.95</v>
      </c>
      <c r="U2945" s="1">
        <v>5.0</v>
      </c>
      <c r="V2945" s="1">
        <v>0.0</v>
      </c>
      <c r="W2945" s="1" t="s">
        <v>26</v>
      </c>
    </row>
    <row r="2946" ht="15.75" customHeight="1">
      <c r="A2946" s="1" t="s">
        <v>2983</v>
      </c>
      <c r="B2946" s="1" t="s">
        <v>32</v>
      </c>
      <c r="C2946" s="1">
        <v>0.0</v>
      </c>
      <c r="D2946" s="1" t="s">
        <v>26</v>
      </c>
      <c r="E2946" s="1" t="s">
        <v>26</v>
      </c>
      <c r="F2946" s="1">
        <v>12.0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1">
        <v>50.95</v>
      </c>
      <c r="T2946" s="1">
        <v>605.75</v>
      </c>
      <c r="U2946" s="1">
        <v>0.0</v>
      </c>
      <c r="V2946" s="1">
        <v>0.0</v>
      </c>
      <c r="W2946" s="1" t="s">
        <v>26</v>
      </c>
    </row>
    <row r="2947" ht="15.75" customHeight="1">
      <c r="A2947" s="1" t="s">
        <v>2984</v>
      </c>
      <c r="B2947" s="1" t="s">
        <v>32</v>
      </c>
      <c r="C2947" s="1">
        <v>0.0</v>
      </c>
      <c r="D2947" s="1" t="s">
        <v>26</v>
      </c>
      <c r="E2947" s="1" t="s">
        <v>26</v>
      </c>
      <c r="F2947" s="1">
        <v>9.0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1">
        <v>75.6</v>
      </c>
      <c r="T2947" s="1">
        <v>661.55</v>
      </c>
      <c r="U2947" s="1">
        <v>3.0</v>
      </c>
      <c r="V2947" s="1">
        <v>0.0</v>
      </c>
      <c r="W2947" s="1" t="s">
        <v>26</v>
      </c>
    </row>
    <row r="2948" ht="15.75" customHeight="1">
      <c r="A2948" s="1" t="s">
        <v>2985</v>
      </c>
      <c r="B2948" s="1" t="s">
        <v>24</v>
      </c>
      <c r="C2948" s="1">
        <v>0.0</v>
      </c>
      <c r="D2948" s="1" t="s">
        <v>25</v>
      </c>
      <c r="E2948" s="1" t="s">
        <v>25</v>
      </c>
      <c r="F2948" s="1">
        <v>51.0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1">
        <v>80.75</v>
      </c>
      <c r="T2948" s="1">
        <v>4116.9</v>
      </c>
      <c r="U2948" s="1">
        <v>2.0</v>
      </c>
      <c r="V2948" s="1">
        <v>0.0</v>
      </c>
      <c r="W2948" s="1" t="s">
        <v>26</v>
      </c>
    </row>
    <row r="2949" ht="15.75" customHeight="1">
      <c r="A2949" s="1" t="s">
        <v>2986</v>
      </c>
      <c r="B2949" s="1" t="s">
        <v>32</v>
      </c>
      <c r="C2949" s="1">
        <v>0.0</v>
      </c>
      <c r="D2949" s="1" t="s">
        <v>25</v>
      </c>
      <c r="E2949" s="1" t="s">
        <v>25</v>
      </c>
      <c r="F2949" s="1">
        <v>49.0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1">
        <v>90.4</v>
      </c>
      <c r="T2949" s="1">
        <v>4494.65</v>
      </c>
      <c r="U2949" s="1">
        <v>0.0</v>
      </c>
      <c r="V2949" s="1">
        <v>0.0</v>
      </c>
      <c r="W2949" s="1" t="s">
        <v>26</v>
      </c>
    </row>
    <row r="2950" ht="15.75" customHeight="1">
      <c r="A2950" s="1" t="s">
        <v>2987</v>
      </c>
      <c r="B2950" s="1" t="s">
        <v>32</v>
      </c>
      <c r="C2950" s="1">
        <v>1.0</v>
      </c>
      <c r="D2950" s="1" t="s">
        <v>25</v>
      </c>
      <c r="E2950" s="1" t="s">
        <v>26</v>
      </c>
      <c r="F2950" s="1">
        <v>41.0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1">
        <v>99.8</v>
      </c>
      <c r="T2950" s="1">
        <v>4259.3</v>
      </c>
      <c r="U2950" s="1">
        <v>0.0</v>
      </c>
      <c r="V2950" s="1">
        <v>3.0</v>
      </c>
      <c r="W2950" s="1" t="s">
        <v>25</v>
      </c>
    </row>
    <row r="2951" ht="15.75" customHeight="1">
      <c r="A2951" s="1" t="s">
        <v>2988</v>
      </c>
      <c r="B2951" s="1" t="s">
        <v>24</v>
      </c>
      <c r="C2951" s="1">
        <v>0.0</v>
      </c>
      <c r="D2951" s="1" t="s">
        <v>26</v>
      </c>
      <c r="E2951" s="1" t="s">
        <v>26</v>
      </c>
      <c r="F2951" s="1">
        <v>56.0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1">
        <v>60.25</v>
      </c>
      <c r="T2951" s="1">
        <v>3282.75</v>
      </c>
      <c r="U2951" s="1">
        <v>2.0</v>
      </c>
      <c r="V2951" s="1">
        <v>0.0</v>
      </c>
      <c r="W2951" s="1" t="s">
        <v>26</v>
      </c>
    </row>
    <row r="2952" ht="15.75" customHeight="1">
      <c r="A2952" s="1" t="s">
        <v>2989</v>
      </c>
      <c r="B2952" s="1" t="s">
        <v>32</v>
      </c>
      <c r="C2952" s="1">
        <v>0.0</v>
      </c>
      <c r="D2952" s="1" t="s">
        <v>26</v>
      </c>
      <c r="E2952" s="1" t="s">
        <v>26</v>
      </c>
      <c r="F2952" s="1">
        <v>4.0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1">
        <v>20.2</v>
      </c>
      <c r="T2952" s="1">
        <v>55.7</v>
      </c>
      <c r="U2952" s="1">
        <v>0.0</v>
      </c>
      <c r="V2952" s="1">
        <v>0.0</v>
      </c>
      <c r="W2952" s="1" t="s">
        <v>26</v>
      </c>
    </row>
    <row r="2953" ht="15.75" customHeight="1">
      <c r="A2953" s="1" t="s">
        <v>2990</v>
      </c>
      <c r="B2953" s="1" t="s">
        <v>32</v>
      </c>
      <c r="C2953" s="1">
        <v>0.0</v>
      </c>
      <c r="D2953" s="1" t="s">
        <v>25</v>
      </c>
      <c r="E2953" s="1" t="s">
        <v>26</v>
      </c>
      <c r="F2953" s="1">
        <v>20.0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1">
        <v>64.15</v>
      </c>
      <c r="T2953" s="1">
        <v>1274.45</v>
      </c>
      <c r="U2953" s="1">
        <v>0.0</v>
      </c>
      <c r="V2953" s="1">
        <v>0.0</v>
      </c>
      <c r="W2953" s="1" t="s">
        <v>26</v>
      </c>
    </row>
    <row r="2954" ht="15.75" customHeight="1">
      <c r="A2954" s="1" t="s">
        <v>2991</v>
      </c>
      <c r="B2954" s="1" t="s">
        <v>24</v>
      </c>
      <c r="C2954" s="1">
        <v>0.0</v>
      </c>
      <c r="D2954" s="1" t="s">
        <v>25</v>
      </c>
      <c r="E2954" s="1" t="s">
        <v>25</v>
      </c>
      <c r="F2954" s="1">
        <v>26.0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1">
        <v>20.25</v>
      </c>
      <c r="T2954" s="1">
        <v>493.95</v>
      </c>
      <c r="U2954" s="1">
        <v>0.0</v>
      </c>
      <c r="V2954" s="1">
        <v>0.0</v>
      </c>
      <c r="W2954" s="1" t="s">
        <v>26</v>
      </c>
    </row>
    <row r="2955" ht="15.75" customHeight="1">
      <c r="A2955" s="1" t="s">
        <v>2992</v>
      </c>
      <c r="B2955" s="1" t="s">
        <v>24</v>
      </c>
      <c r="C2955" s="1">
        <v>0.0</v>
      </c>
      <c r="D2955" s="1" t="s">
        <v>25</v>
      </c>
      <c r="E2955" s="1" t="s">
        <v>25</v>
      </c>
      <c r="F2955" s="1">
        <v>20.0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1">
        <v>105.85</v>
      </c>
      <c r="T2955" s="1">
        <v>2239.65</v>
      </c>
      <c r="U2955" s="1">
        <v>0.0</v>
      </c>
      <c r="V2955" s="1">
        <v>2.0</v>
      </c>
      <c r="W2955" s="1" t="s">
        <v>25</v>
      </c>
    </row>
    <row r="2956" ht="15.75" customHeight="1">
      <c r="A2956" s="1" t="s">
        <v>2993</v>
      </c>
      <c r="B2956" s="1" t="s">
        <v>24</v>
      </c>
      <c r="C2956" s="1">
        <v>0.0</v>
      </c>
      <c r="D2956" s="1" t="s">
        <v>26</v>
      </c>
      <c r="E2956" s="1" t="s">
        <v>26</v>
      </c>
      <c r="F2956" s="1">
        <v>7.0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1">
        <v>75.45</v>
      </c>
      <c r="T2956" s="1">
        <v>480.75</v>
      </c>
      <c r="U2956" s="1">
        <v>0.0</v>
      </c>
      <c r="V2956" s="1">
        <v>0.0</v>
      </c>
      <c r="W2956" s="1" t="s">
        <v>25</v>
      </c>
    </row>
    <row r="2957" ht="15.75" customHeight="1">
      <c r="A2957" s="1" t="s">
        <v>2994</v>
      </c>
      <c r="B2957" s="1" t="s">
        <v>32</v>
      </c>
      <c r="C2957" s="1">
        <v>0.0</v>
      </c>
      <c r="D2957" s="1" t="s">
        <v>26</v>
      </c>
      <c r="E2957" s="1" t="s">
        <v>26</v>
      </c>
      <c r="F2957" s="1">
        <v>7.0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1">
        <v>93.85</v>
      </c>
      <c r="T2957" s="1">
        <v>635.6</v>
      </c>
      <c r="U2957" s="1">
        <v>2.0</v>
      </c>
      <c r="V2957" s="1">
        <v>0.0</v>
      </c>
      <c r="W2957" s="1" t="s">
        <v>25</v>
      </c>
    </row>
    <row r="2958" ht="15.75" customHeight="1">
      <c r="A2958" s="1" t="s">
        <v>2995</v>
      </c>
      <c r="B2958" s="1" t="s">
        <v>32</v>
      </c>
      <c r="C2958" s="1">
        <v>0.0</v>
      </c>
      <c r="D2958" s="1" t="s">
        <v>26</v>
      </c>
      <c r="E2958" s="1" t="s">
        <v>26</v>
      </c>
      <c r="F2958" s="1">
        <v>51.0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1">
        <v>99.0</v>
      </c>
      <c r="T2958" s="1">
        <v>5038.15</v>
      </c>
      <c r="U2958" s="1">
        <v>0.0</v>
      </c>
      <c r="V2958" s="1">
        <v>0.0</v>
      </c>
      <c r="W2958" s="1" t="s">
        <v>26</v>
      </c>
    </row>
    <row r="2959" ht="15.75" customHeight="1">
      <c r="A2959" s="1" t="s">
        <v>2996</v>
      </c>
      <c r="B2959" s="1" t="s">
        <v>24</v>
      </c>
      <c r="C2959" s="1">
        <v>0.0</v>
      </c>
      <c r="D2959" s="1" t="s">
        <v>26</v>
      </c>
      <c r="E2959" s="1" t="s">
        <v>26</v>
      </c>
      <c r="F2959" s="1">
        <v>4.0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1">
        <v>80.3</v>
      </c>
      <c r="T2959" s="1">
        <v>324.2</v>
      </c>
      <c r="U2959" s="1">
        <v>0.0</v>
      </c>
      <c r="V2959" s="1">
        <v>0.0</v>
      </c>
      <c r="W2959" s="1" t="s">
        <v>26</v>
      </c>
    </row>
    <row r="2960" ht="15.75" customHeight="1">
      <c r="A2960" s="1" t="s">
        <v>2997</v>
      </c>
      <c r="B2960" s="1" t="s">
        <v>24</v>
      </c>
      <c r="C2960" s="1">
        <v>0.0</v>
      </c>
      <c r="D2960" s="1" t="s">
        <v>26</v>
      </c>
      <c r="E2960" s="1" t="s">
        <v>26</v>
      </c>
      <c r="F2960" s="1">
        <v>1.0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1">
        <v>19.55</v>
      </c>
      <c r="T2960" s="1">
        <v>19.55</v>
      </c>
      <c r="U2960" s="1">
        <v>0.0</v>
      </c>
      <c r="V2960" s="1">
        <v>0.0</v>
      </c>
      <c r="W2960" s="1" t="s">
        <v>26</v>
      </c>
    </row>
    <row r="2961" ht="15.75" customHeight="1">
      <c r="A2961" s="1" t="s">
        <v>2998</v>
      </c>
      <c r="B2961" s="1" t="s">
        <v>32</v>
      </c>
      <c r="C2961" s="1">
        <v>0.0</v>
      </c>
      <c r="D2961" s="1" t="s">
        <v>25</v>
      </c>
      <c r="E2961" s="1" t="s">
        <v>25</v>
      </c>
      <c r="F2961" s="1">
        <v>27.0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1">
        <v>100.75</v>
      </c>
      <c r="T2961" s="1">
        <v>2793.55</v>
      </c>
      <c r="U2961" s="1">
        <v>0.0</v>
      </c>
      <c r="V2961" s="1">
        <v>2.0</v>
      </c>
      <c r="W2961" s="1" t="s">
        <v>26</v>
      </c>
    </row>
    <row r="2962" ht="15.75" customHeight="1">
      <c r="A2962" s="1" t="s">
        <v>2999</v>
      </c>
      <c r="B2962" s="1" t="s">
        <v>32</v>
      </c>
      <c r="C2962" s="1">
        <v>0.0</v>
      </c>
      <c r="D2962" s="1" t="s">
        <v>26</v>
      </c>
      <c r="E2962" s="1" t="s">
        <v>26</v>
      </c>
      <c r="F2962" s="1">
        <v>22.0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1">
        <v>100.75</v>
      </c>
      <c r="T2962" s="1">
        <v>2095.0</v>
      </c>
      <c r="U2962" s="1">
        <v>0.0</v>
      </c>
      <c r="V2962" s="1">
        <v>1.0</v>
      </c>
      <c r="W2962" s="1" t="s">
        <v>25</v>
      </c>
    </row>
    <row r="2963" ht="15.75" customHeight="1">
      <c r="A2963" s="1" t="s">
        <v>3000</v>
      </c>
      <c r="B2963" s="1" t="s">
        <v>32</v>
      </c>
      <c r="C2963" s="1">
        <v>0.0</v>
      </c>
      <c r="D2963" s="1" t="s">
        <v>26</v>
      </c>
      <c r="E2963" s="1" t="s">
        <v>26</v>
      </c>
      <c r="F2963" s="1">
        <v>12.0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1">
        <v>53.75</v>
      </c>
      <c r="T2963" s="1">
        <v>648.65</v>
      </c>
      <c r="U2963" s="1">
        <v>0.0</v>
      </c>
      <c r="V2963" s="1">
        <v>0.0</v>
      </c>
      <c r="W2963" s="1" t="s">
        <v>26</v>
      </c>
    </row>
    <row r="2964" ht="15.75" customHeight="1">
      <c r="A2964" s="1" t="s">
        <v>3001</v>
      </c>
      <c r="B2964" s="1" t="s">
        <v>24</v>
      </c>
      <c r="C2964" s="1">
        <v>0.0</v>
      </c>
      <c r="D2964" s="1" t="s">
        <v>25</v>
      </c>
      <c r="E2964" s="1" t="s">
        <v>25</v>
      </c>
      <c r="F2964" s="1">
        <v>3.0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1">
        <v>31.0</v>
      </c>
      <c r="T2964" s="1">
        <v>95.05</v>
      </c>
      <c r="U2964" s="1">
        <v>0.0</v>
      </c>
      <c r="V2964" s="1">
        <v>0.0</v>
      </c>
      <c r="W2964" s="1" t="s">
        <v>25</v>
      </c>
    </row>
    <row r="2965" ht="15.75" customHeight="1">
      <c r="A2965" s="1" t="s">
        <v>3002</v>
      </c>
      <c r="B2965" s="1" t="s">
        <v>24</v>
      </c>
      <c r="C2965" s="1">
        <v>0.0</v>
      </c>
      <c r="D2965" s="1" t="s">
        <v>25</v>
      </c>
      <c r="E2965" s="1" t="s">
        <v>25</v>
      </c>
      <c r="F2965" s="1">
        <v>34.0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1">
        <v>25.6</v>
      </c>
      <c r="T2965" s="1">
        <v>917.15</v>
      </c>
      <c r="U2965" s="1">
        <v>0.0</v>
      </c>
      <c r="V2965" s="1">
        <v>0.0</v>
      </c>
      <c r="W2965" s="1" t="s">
        <v>26</v>
      </c>
    </row>
    <row r="2966" ht="15.75" customHeight="1">
      <c r="A2966" s="1" t="s">
        <v>3003</v>
      </c>
      <c r="B2966" s="1" t="s">
        <v>32</v>
      </c>
      <c r="C2966" s="1">
        <v>0.0</v>
      </c>
      <c r="D2966" s="1" t="s">
        <v>25</v>
      </c>
      <c r="E2966" s="1" t="s">
        <v>26</v>
      </c>
      <c r="F2966" s="1">
        <v>24.0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1">
        <v>58.35</v>
      </c>
      <c r="T2966" s="1">
        <v>1346.9</v>
      </c>
      <c r="U2966" s="1">
        <v>0.0</v>
      </c>
      <c r="V2966" s="1">
        <v>0.0</v>
      </c>
      <c r="W2966" s="1" t="s">
        <v>26</v>
      </c>
    </row>
    <row r="2967" ht="15.75" customHeight="1">
      <c r="A2967" s="1" t="s">
        <v>3004</v>
      </c>
      <c r="B2967" s="1" t="s">
        <v>32</v>
      </c>
      <c r="C2967" s="1">
        <v>0.0</v>
      </c>
      <c r="D2967" s="1" t="s">
        <v>26</v>
      </c>
      <c r="E2967" s="1" t="s">
        <v>26</v>
      </c>
      <c r="F2967" s="1">
        <v>51.0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1">
        <v>80.0</v>
      </c>
      <c r="T2967" s="1">
        <v>4242.35</v>
      </c>
      <c r="U2967" s="1">
        <v>0.0</v>
      </c>
      <c r="V2967" s="1">
        <v>0.0</v>
      </c>
      <c r="W2967" s="1" t="s">
        <v>25</v>
      </c>
    </row>
    <row r="2968" ht="15.75" customHeight="1">
      <c r="A2968" s="1" t="s">
        <v>3005</v>
      </c>
      <c r="B2968" s="1" t="s">
        <v>24</v>
      </c>
      <c r="C2968" s="1">
        <v>1.0</v>
      </c>
      <c r="D2968" s="1" t="s">
        <v>26</v>
      </c>
      <c r="E2968" s="1" t="s">
        <v>26</v>
      </c>
      <c r="F2968" s="1">
        <v>14.0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1">
        <v>46.35</v>
      </c>
      <c r="T2968" s="1">
        <v>672.7</v>
      </c>
      <c r="U2968" s="1">
        <v>0.0</v>
      </c>
      <c r="V2968" s="1">
        <v>0.0</v>
      </c>
      <c r="W2968" s="1" t="s">
        <v>26</v>
      </c>
    </row>
    <row r="2969" ht="15.75" customHeight="1">
      <c r="A2969" s="1" t="s">
        <v>3006</v>
      </c>
      <c r="B2969" s="1" t="s">
        <v>32</v>
      </c>
      <c r="C2969" s="1">
        <v>0.0</v>
      </c>
      <c r="D2969" s="1" t="s">
        <v>25</v>
      </c>
      <c r="E2969" s="1" t="s">
        <v>26</v>
      </c>
      <c r="F2969" s="1">
        <v>59.0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1">
        <v>113.75</v>
      </c>
      <c r="T2969" s="1">
        <v>6561.25</v>
      </c>
      <c r="U2969" s="1">
        <v>0.0</v>
      </c>
      <c r="V2969" s="1">
        <v>0.0</v>
      </c>
      <c r="W2969" s="1" t="s">
        <v>26</v>
      </c>
    </row>
    <row r="2970" ht="15.75" customHeight="1">
      <c r="A2970" s="1" t="s">
        <v>3007</v>
      </c>
      <c r="B2970" s="1" t="s">
        <v>32</v>
      </c>
      <c r="C2970" s="1">
        <v>0.0</v>
      </c>
      <c r="D2970" s="1" t="s">
        <v>26</v>
      </c>
      <c r="E2970" s="1" t="s">
        <v>26</v>
      </c>
      <c r="F2970" s="1">
        <v>3.0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1">
        <v>90.4</v>
      </c>
      <c r="T2970" s="1">
        <v>268.45</v>
      </c>
      <c r="U2970" s="1">
        <v>0.0</v>
      </c>
      <c r="V2970" s="1">
        <v>0.0</v>
      </c>
      <c r="W2970" s="1" t="s">
        <v>26</v>
      </c>
    </row>
    <row r="2971" ht="15.75" customHeight="1">
      <c r="A2971" s="1" t="s">
        <v>3008</v>
      </c>
      <c r="B2971" s="1" t="s">
        <v>24</v>
      </c>
      <c r="C2971" s="1">
        <v>0.0</v>
      </c>
      <c r="D2971" s="1" t="s">
        <v>25</v>
      </c>
      <c r="E2971" s="1" t="s">
        <v>25</v>
      </c>
      <c r="F2971" s="1">
        <v>65.0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1">
        <v>109.3</v>
      </c>
      <c r="T2971" s="1">
        <v>7337.55</v>
      </c>
      <c r="U2971" s="1">
        <v>0.0</v>
      </c>
      <c r="V2971" s="1">
        <v>0.0</v>
      </c>
      <c r="W2971" s="1" t="s">
        <v>26</v>
      </c>
    </row>
    <row r="2972" ht="15.75" customHeight="1">
      <c r="A2972" s="1" t="s">
        <v>3009</v>
      </c>
      <c r="B2972" s="1" t="s">
        <v>32</v>
      </c>
      <c r="C2972" s="1">
        <v>1.0</v>
      </c>
      <c r="D2972" s="1" t="s">
        <v>26</v>
      </c>
      <c r="E2972" s="1" t="s">
        <v>26</v>
      </c>
      <c r="F2972" s="1">
        <v>5.0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1">
        <v>70.25</v>
      </c>
      <c r="T2972" s="1">
        <v>331.9</v>
      </c>
      <c r="U2972" s="1">
        <v>0.0</v>
      </c>
      <c r="V2972" s="1">
        <v>0.0</v>
      </c>
      <c r="W2972" s="1" t="s">
        <v>25</v>
      </c>
    </row>
    <row r="2973" ht="15.75" customHeight="1">
      <c r="A2973" s="1" t="s">
        <v>3010</v>
      </c>
      <c r="B2973" s="1" t="s">
        <v>24</v>
      </c>
      <c r="C2973" s="1">
        <v>0.0</v>
      </c>
      <c r="D2973" s="1" t="s">
        <v>25</v>
      </c>
      <c r="E2973" s="1" t="s">
        <v>25</v>
      </c>
      <c r="F2973" s="1">
        <v>59.0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1">
        <v>90.3</v>
      </c>
      <c r="T2973" s="1">
        <v>5194.05</v>
      </c>
      <c r="U2973" s="1">
        <v>0.0</v>
      </c>
      <c r="V2973" s="1">
        <v>0.0</v>
      </c>
      <c r="W2973" s="1" t="s">
        <v>26</v>
      </c>
    </row>
    <row r="2974" ht="15.75" customHeight="1">
      <c r="A2974" s="1" t="s">
        <v>3011</v>
      </c>
      <c r="B2974" s="1" t="s">
        <v>32</v>
      </c>
      <c r="C2974" s="1">
        <v>0.0</v>
      </c>
      <c r="D2974" s="1" t="s">
        <v>25</v>
      </c>
      <c r="E2974" s="1" t="s">
        <v>25</v>
      </c>
      <c r="F2974" s="1">
        <v>72.0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1">
        <v>65.25</v>
      </c>
      <c r="T2974" s="1">
        <v>4478.85</v>
      </c>
      <c r="U2974" s="1">
        <v>0.0</v>
      </c>
      <c r="V2974" s="1">
        <v>0.0</v>
      </c>
      <c r="W2974" s="1" t="s">
        <v>26</v>
      </c>
    </row>
    <row r="2975" ht="15.75" customHeight="1">
      <c r="A2975" s="1" t="s">
        <v>3012</v>
      </c>
      <c r="B2975" s="1" t="s">
        <v>24</v>
      </c>
      <c r="C2975" s="1">
        <v>0.0</v>
      </c>
      <c r="D2975" s="1" t="s">
        <v>25</v>
      </c>
      <c r="E2975" s="1" t="s">
        <v>25</v>
      </c>
      <c r="F2975" s="1">
        <v>62.0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1">
        <v>100.15</v>
      </c>
      <c r="T2975" s="1">
        <v>6283.3</v>
      </c>
      <c r="U2975" s="1">
        <v>0.0</v>
      </c>
      <c r="V2975" s="1">
        <v>6.0</v>
      </c>
      <c r="W2975" s="1" t="s">
        <v>25</v>
      </c>
    </row>
    <row r="2976" ht="15.75" customHeight="1">
      <c r="A2976" s="1" t="s">
        <v>3013</v>
      </c>
      <c r="B2976" s="1" t="s">
        <v>32</v>
      </c>
      <c r="C2976" s="1">
        <v>0.0</v>
      </c>
      <c r="D2976" s="1" t="s">
        <v>26</v>
      </c>
      <c r="E2976" s="1" t="s">
        <v>26</v>
      </c>
      <c r="F2976" s="1">
        <v>28.0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1">
        <v>94.5</v>
      </c>
      <c r="T2976" s="1">
        <v>2659.4</v>
      </c>
      <c r="U2976" s="1">
        <v>2.0</v>
      </c>
      <c r="V2976" s="1">
        <v>2.0</v>
      </c>
      <c r="W2976" s="1" t="s">
        <v>25</v>
      </c>
    </row>
    <row r="2977" ht="15.75" customHeight="1">
      <c r="A2977" s="1" t="s">
        <v>3014</v>
      </c>
      <c r="B2977" s="1" t="s">
        <v>32</v>
      </c>
      <c r="C2977" s="1">
        <v>0.0</v>
      </c>
      <c r="D2977" s="1" t="s">
        <v>26</v>
      </c>
      <c r="E2977" s="1" t="s">
        <v>26</v>
      </c>
      <c r="F2977" s="1">
        <v>3.0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1">
        <v>60.65</v>
      </c>
      <c r="T2977" s="1">
        <v>196.9</v>
      </c>
      <c r="U2977" s="1">
        <v>0.0</v>
      </c>
      <c r="V2977" s="1">
        <v>0.0</v>
      </c>
      <c r="W2977" s="1" t="s">
        <v>26</v>
      </c>
    </row>
    <row r="2978" ht="15.75" customHeight="1">
      <c r="A2978" s="1" t="s">
        <v>3015</v>
      </c>
      <c r="B2978" s="1" t="s">
        <v>32</v>
      </c>
      <c r="C2978" s="1">
        <v>0.0</v>
      </c>
      <c r="D2978" s="1" t="s">
        <v>26</v>
      </c>
      <c r="E2978" s="1" t="s">
        <v>25</v>
      </c>
      <c r="F2978" s="1">
        <v>19.0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1">
        <v>24.1</v>
      </c>
      <c r="T2978" s="1">
        <v>439.2</v>
      </c>
      <c r="U2978" s="1">
        <v>0.0</v>
      </c>
      <c r="V2978" s="1">
        <v>1.0</v>
      </c>
      <c r="W2978" s="1" t="s">
        <v>26</v>
      </c>
    </row>
    <row r="2979" ht="15.75" customHeight="1">
      <c r="A2979" s="1" t="s">
        <v>3016</v>
      </c>
      <c r="B2979" s="1" t="s">
        <v>32</v>
      </c>
      <c r="C2979" s="1">
        <v>0.0</v>
      </c>
      <c r="D2979" s="1" t="s">
        <v>26</v>
      </c>
      <c r="E2979" s="1" t="s">
        <v>26</v>
      </c>
      <c r="F2979" s="1">
        <v>1.0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1">
        <v>19.5</v>
      </c>
      <c r="T2979" s="1">
        <v>19.5</v>
      </c>
      <c r="U2979" s="1">
        <v>0.0</v>
      </c>
      <c r="V2979" s="1">
        <v>0.0</v>
      </c>
      <c r="W2979" s="1" t="s">
        <v>26</v>
      </c>
    </row>
    <row r="2980" ht="15.75" customHeight="1">
      <c r="A2980" s="1" t="s">
        <v>3017</v>
      </c>
      <c r="B2980" s="1" t="s">
        <v>32</v>
      </c>
      <c r="C2980" s="1">
        <v>0.0</v>
      </c>
      <c r="D2980" s="1" t="s">
        <v>26</v>
      </c>
      <c r="E2980" s="1" t="s">
        <v>26</v>
      </c>
      <c r="F2980" s="1">
        <v>24.0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1">
        <v>85.95</v>
      </c>
      <c r="T2980" s="1">
        <v>2107.15</v>
      </c>
      <c r="U2980" s="1">
        <v>2.0</v>
      </c>
      <c r="V2980" s="1">
        <v>0.0</v>
      </c>
      <c r="W2980" s="1" t="s">
        <v>26</v>
      </c>
    </row>
    <row r="2981" ht="15.75" customHeight="1">
      <c r="A2981" s="1" t="s">
        <v>3018</v>
      </c>
      <c r="B2981" s="1" t="s">
        <v>32</v>
      </c>
      <c r="C2981" s="1">
        <v>1.0</v>
      </c>
      <c r="D2981" s="1" t="s">
        <v>26</v>
      </c>
      <c r="E2981" s="1" t="s">
        <v>26</v>
      </c>
      <c r="F2981" s="1">
        <v>57.0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1">
        <v>53.5</v>
      </c>
      <c r="T2981" s="1">
        <v>3035.8</v>
      </c>
      <c r="U2981" s="1">
        <v>0.0</v>
      </c>
      <c r="V2981" s="1">
        <v>0.0</v>
      </c>
      <c r="W2981" s="1" t="s">
        <v>26</v>
      </c>
    </row>
    <row r="2982" ht="15.75" customHeight="1">
      <c r="A2982" s="1" t="s">
        <v>3019</v>
      </c>
      <c r="B2982" s="1" t="s">
        <v>24</v>
      </c>
      <c r="C2982" s="1">
        <v>0.0</v>
      </c>
      <c r="D2982" s="1" t="s">
        <v>26</v>
      </c>
      <c r="E2982" s="1" t="s">
        <v>26</v>
      </c>
      <c r="F2982" s="1">
        <v>72.0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1">
        <v>25.45</v>
      </c>
      <c r="T2982" s="1">
        <v>1866.45</v>
      </c>
      <c r="U2982" s="1">
        <v>0.0</v>
      </c>
      <c r="V2982" s="1">
        <v>0.0</v>
      </c>
      <c r="W2982" s="1" t="s">
        <v>26</v>
      </c>
    </row>
    <row r="2983" ht="15.75" customHeight="1">
      <c r="A2983" s="1" t="s">
        <v>3020</v>
      </c>
      <c r="B2983" s="1" t="s">
        <v>32</v>
      </c>
      <c r="C2983" s="1">
        <v>0.0</v>
      </c>
      <c r="D2983" s="1" t="s">
        <v>26</v>
      </c>
      <c r="E2983" s="1" t="s">
        <v>26</v>
      </c>
      <c r="F2983" s="1">
        <v>67.0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1">
        <v>20.5</v>
      </c>
      <c r="T2983" s="1">
        <v>1430.95</v>
      </c>
      <c r="U2983" s="1">
        <v>1.0</v>
      </c>
      <c r="V2983" s="1">
        <v>0.0</v>
      </c>
      <c r="W2983" s="1" t="s">
        <v>26</v>
      </c>
    </row>
    <row r="2984" ht="15.75" customHeight="1">
      <c r="A2984" s="1" t="s">
        <v>3021</v>
      </c>
      <c r="B2984" s="1" t="s">
        <v>32</v>
      </c>
      <c r="C2984" s="1">
        <v>0.0</v>
      </c>
      <c r="D2984" s="1" t="s">
        <v>25</v>
      </c>
      <c r="E2984" s="1" t="s">
        <v>25</v>
      </c>
      <c r="F2984" s="1">
        <v>52.0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1">
        <v>20.85</v>
      </c>
      <c r="T2984" s="1">
        <v>1071.6</v>
      </c>
      <c r="U2984" s="1">
        <v>2.0</v>
      </c>
      <c r="V2984" s="1">
        <v>0.0</v>
      </c>
      <c r="W2984" s="1" t="s">
        <v>26</v>
      </c>
    </row>
    <row r="2985" ht="15.75" customHeight="1">
      <c r="A2985" s="1" t="s">
        <v>3022</v>
      </c>
      <c r="B2985" s="1" t="s">
        <v>32</v>
      </c>
      <c r="C2985" s="1">
        <v>0.0</v>
      </c>
      <c r="D2985" s="1" t="s">
        <v>25</v>
      </c>
      <c r="E2985" s="1" t="s">
        <v>25</v>
      </c>
      <c r="F2985" s="1">
        <v>71.0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1">
        <v>89.9</v>
      </c>
      <c r="T2985" s="1">
        <v>6457.15</v>
      </c>
      <c r="U2985" s="1">
        <v>0.0</v>
      </c>
      <c r="V2985" s="1">
        <v>0.0</v>
      </c>
      <c r="W2985" s="1" t="s">
        <v>26</v>
      </c>
    </row>
    <row r="2986" ht="15.75" customHeight="1">
      <c r="A2986" s="1" t="s">
        <v>3023</v>
      </c>
      <c r="B2986" s="1" t="s">
        <v>24</v>
      </c>
      <c r="C2986" s="1">
        <v>0.0</v>
      </c>
      <c r="D2986" s="1" t="s">
        <v>25</v>
      </c>
      <c r="E2986" s="1" t="s">
        <v>26</v>
      </c>
      <c r="F2986" s="1">
        <v>26.0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1">
        <v>26.0</v>
      </c>
      <c r="T2986" s="1">
        <v>684.05</v>
      </c>
      <c r="U2986" s="1">
        <v>0.0</v>
      </c>
      <c r="V2986" s="1">
        <v>0.0</v>
      </c>
      <c r="W2986" s="1" t="s">
        <v>26</v>
      </c>
    </row>
    <row r="2987" ht="15.75" customHeight="1">
      <c r="A2987" s="1" t="s">
        <v>3024</v>
      </c>
      <c r="B2987" s="1" t="s">
        <v>24</v>
      </c>
      <c r="C2987" s="1">
        <v>0.0</v>
      </c>
      <c r="D2987" s="1" t="s">
        <v>26</v>
      </c>
      <c r="E2987" s="1" t="s">
        <v>26</v>
      </c>
      <c r="F2987" s="1">
        <v>35.0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1">
        <v>113.2</v>
      </c>
      <c r="T2987" s="1">
        <v>3914.05</v>
      </c>
      <c r="U2987" s="1">
        <v>0.0</v>
      </c>
      <c r="V2987" s="1">
        <v>0.0</v>
      </c>
      <c r="W2987" s="1" t="s">
        <v>26</v>
      </c>
    </row>
    <row r="2988" ht="15.75" customHeight="1">
      <c r="A2988" s="1" t="s">
        <v>3025</v>
      </c>
      <c r="B2988" s="1" t="s">
        <v>24</v>
      </c>
      <c r="C2988" s="1">
        <v>0.0</v>
      </c>
      <c r="D2988" s="1" t="s">
        <v>25</v>
      </c>
      <c r="E2988" s="1" t="s">
        <v>25</v>
      </c>
      <c r="F2988" s="1">
        <v>55.0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1">
        <v>69.05</v>
      </c>
      <c r="T2988" s="1">
        <v>3842.6</v>
      </c>
      <c r="U2988" s="1">
        <v>0.0</v>
      </c>
      <c r="V2988" s="1">
        <v>3.0</v>
      </c>
      <c r="W2988" s="1" t="s">
        <v>26</v>
      </c>
    </row>
    <row r="2989" ht="15.75" customHeight="1">
      <c r="A2989" s="1" t="s">
        <v>3026</v>
      </c>
      <c r="B2989" s="1" t="s">
        <v>24</v>
      </c>
      <c r="C2989" s="1">
        <v>0.0</v>
      </c>
      <c r="D2989" s="1" t="s">
        <v>25</v>
      </c>
      <c r="E2989" s="1" t="s">
        <v>25</v>
      </c>
      <c r="F2989" s="1">
        <v>33.0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1">
        <v>20.1</v>
      </c>
      <c r="T2989" s="1">
        <v>670.35</v>
      </c>
      <c r="U2989" s="1">
        <v>0.0</v>
      </c>
      <c r="V2989" s="1">
        <v>0.0</v>
      </c>
      <c r="W2989" s="1" t="s">
        <v>26</v>
      </c>
    </row>
    <row r="2990" ht="15.75" customHeight="1">
      <c r="A2990" s="1" t="s">
        <v>3027</v>
      </c>
      <c r="B2990" s="1" t="s">
        <v>32</v>
      </c>
      <c r="C2990" s="1">
        <v>0.0</v>
      </c>
      <c r="D2990" s="1" t="s">
        <v>25</v>
      </c>
      <c r="E2990" s="1" t="s">
        <v>26</v>
      </c>
      <c r="F2990" s="1">
        <v>72.0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1">
        <v>109.65</v>
      </c>
      <c r="T2990" s="1">
        <v>7880.25</v>
      </c>
      <c r="U2990" s="1">
        <v>2.0</v>
      </c>
      <c r="V2990" s="1">
        <v>5.0</v>
      </c>
      <c r="W2990" s="1" t="s">
        <v>26</v>
      </c>
    </row>
    <row r="2991" ht="15.75" customHeight="1">
      <c r="A2991" s="1" t="s">
        <v>3028</v>
      </c>
      <c r="B2991" s="1" t="s">
        <v>32</v>
      </c>
      <c r="C2991" s="1">
        <v>0.0</v>
      </c>
      <c r="D2991" s="1" t="s">
        <v>26</v>
      </c>
      <c r="E2991" s="1" t="s">
        <v>25</v>
      </c>
      <c r="F2991" s="1">
        <v>1.0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1">
        <v>19.2</v>
      </c>
      <c r="T2991" s="1">
        <v>19.2</v>
      </c>
      <c r="U2991" s="1">
        <v>0.0</v>
      </c>
      <c r="V2991" s="1">
        <v>0.0</v>
      </c>
      <c r="W2991" s="1" t="s">
        <v>26</v>
      </c>
    </row>
    <row r="2992" ht="15.75" customHeight="1">
      <c r="A2992" s="1" t="s">
        <v>3029</v>
      </c>
      <c r="B2992" s="1" t="s">
        <v>32</v>
      </c>
      <c r="C2992" s="1">
        <v>0.0</v>
      </c>
      <c r="D2992" s="1" t="s">
        <v>26</v>
      </c>
      <c r="E2992" s="1" t="s">
        <v>26</v>
      </c>
      <c r="F2992" s="1">
        <v>10.0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1">
        <v>33.9</v>
      </c>
      <c r="T2992" s="1">
        <v>298.45</v>
      </c>
      <c r="U2992" s="1">
        <v>1.0</v>
      </c>
      <c r="V2992" s="1">
        <v>0.0</v>
      </c>
      <c r="W2992" s="1" t="s">
        <v>25</v>
      </c>
    </row>
    <row r="2993" ht="15.75" customHeight="1">
      <c r="A2993" s="1" t="s">
        <v>3030</v>
      </c>
      <c r="B2993" s="1" t="s">
        <v>24</v>
      </c>
      <c r="C2993" s="1">
        <v>1.0</v>
      </c>
      <c r="D2993" s="1" t="s">
        <v>25</v>
      </c>
      <c r="E2993" s="1" t="s">
        <v>26</v>
      </c>
      <c r="F2993" s="1">
        <v>37.0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1">
        <v>90.0</v>
      </c>
      <c r="T2993" s="1">
        <v>3371.75</v>
      </c>
      <c r="U2993" s="1">
        <v>0.0</v>
      </c>
      <c r="V2993" s="1">
        <v>0.0</v>
      </c>
      <c r="W2993" s="1" t="s">
        <v>26</v>
      </c>
    </row>
    <row r="2994" ht="15.75" customHeight="1">
      <c r="A2994" s="1" t="s">
        <v>3031</v>
      </c>
      <c r="B2994" s="1" t="s">
        <v>32</v>
      </c>
      <c r="C2994" s="1">
        <v>0.0</v>
      </c>
      <c r="D2994" s="1" t="s">
        <v>26</v>
      </c>
      <c r="E2994" s="1" t="s">
        <v>26</v>
      </c>
      <c r="F2994" s="1">
        <v>12.0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1">
        <v>34.0</v>
      </c>
      <c r="T2994" s="1">
        <v>442.45</v>
      </c>
      <c r="U2994" s="1">
        <v>3.0</v>
      </c>
      <c r="V2994" s="1">
        <v>0.0</v>
      </c>
      <c r="W2994" s="1" t="s">
        <v>26</v>
      </c>
    </row>
    <row r="2995" ht="15.75" customHeight="1">
      <c r="A2995" s="1" t="s">
        <v>3032</v>
      </c>
      <c r="B2995" s="1" t="s">
        <v>32</v>
      </c>
      <c r="C2995" s="1">
        <v>0.0</v>
      </c>
      <c r="D2995" s="1" t="s">
        <v>25</v>
      </c>
      <c r="E2995" s="1" t="s">
        <v>25</v>
      </c>
      <c r="F2995" s="1">
        <v>1.0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1">
        <v>20.4</v>
      </c>
      <c r="T2995" s="1">
        <v>20.4</v>
      </c>
      <c r="U2995" s="1">
        <v>0.0</v>
      </c>
      <c r="V2995" s="1">
        <v>0.0</v>
      </c>
      <c r="W2995" s="1" t="s">
        <v>26</v>
      </c>
    </row>
    <row r="2996" ht="15.75" customHeight="1">
      <c r="A2996" s="1" t="s">
        <v>3033</v>
      </c>
      <c r="B2996" s="1" t="s">
        <v>32</v>
      </c>
      <c r="C2996" s="1">
        <v>0.0</v>
      </c>
      <c r="D2996" s="1" t="s">
        <v>25</v>
      </c>
      <c r="E2996" s="1" t="s">
        <v>26</v>
      </c>
      <c r="F2996" s="1">
        <v>62.0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1">
        <v>38.6</v>
      </c>
      <c r="T2996" s="1">
        <v>2345.55</v>
      </c>
      <c r="U2996" s="1">
        <v>0.0</v>
      </c>
      <c r="V2996" s="1">
        <v>0.0</v>
      </c>
      <c r="W2996" s="1" t="s">
        <v>26</v>
      </c>
    </row>
    <row r="2997" ht="15.75" customHeight="1">
      <c r="A2997" s="1" t="s">
        <v>3034</v>
      </c>
      <c r="B2997" s="1" t="s">
        <v>24</v>
      </c>
      <c r="C2997" s="1">
        <v>0.0</v>
      </c>
      <c r="D2997" s="1" t="s">
        <v>26</v>
      </c>
      <c r="E2997" s="1" t="s">
        <v>26</v>
      </c>
      <c r="F2997" s="1">
        <v>1.0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1">
        <v>25.25</v>
      </c>
      <c r="T2997" s="1">
        <v>25.25</v>
      </c>
      <c r="U2997" s="1">
        <v>0.0</v>
      </c>
      <c r="V2997" s="1">
        <v>0.0</v>
      </c>
      <c r="W2997" s="1" t="s">
        <v>26</v>
      </c>
    </row>
    <row r="2998" ht="15.75" customHeight="1">
      <c r="A2998" s="1" t="s">
        <v>3035</v>
      </c>
      <c r="B2998" s="1" t="s">
        <v>24</v>
      </c>
      <c r="C2998" s="1">
        <v>0.0</v>
      </c>
      <c r="D2998" s="1" t="s">
        <v>26</v>
      </c>
      <c r="E2998" s="1" t="s">
        <v>26</v>
      </c>
      <c r="F2998" s="1">
        <v>18.0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1">
        <v>60.6</v>
      </c>
      <c r="T2998" s="1">
        <v>1156.35</v>
      </c>
      <c r="U2998" s="1">
        <v>0.0</v>
      </c>
      <c r="V2998" s="1">
        <v>0.0</v>
      </c>
      <c r="W2998" s="1" t="s">
        <v>26</v>
      </c>
    </row>
    <row r="2999" ht="15.75" customHeight="1">
      <c r="A2999" s="1" t="s">
        <v>3036</v>
      </c>
      <c r="B2999" s="1" t="s">
        <v>32</v>
      </c>
      <c r="C2999" s="1">
        <v>1.0</v>
      </c>
      <c r="D2999" s="1" t="s">
        <v>25</v>
      </c>
      <c r="E2999" s="1" t="s">
        <v>26</v>
      </c>
      <c r="F2999" s="1">
        <v>69.0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1">
        <v>89.95</v>
      </c>
      <c r="T2999" s="1">
        <v>6143.15</v>
      </c>
      <c r="U2999" s="1">
        <v>0.0</v>
      </c>
      <c r="V2999" s="1">
        <v>6.0</v>
      </c>
      <c r="W2999" s="1" t="s">
        <v>25</v>
      </c>
    </row>
    <row r="3000" ht="15.75" customHeight="1">
      <c r="A3000" s="1" t="s">
        <v>3037</v>
      </c>
      <c r="B3000" s="1" t="s">
        <v>32</v>
      </c>
      <c r="C3000" s="1">
        <v>0.0</v>
      </c>
      <c r="D3000" s="1" t="s">
        <v>26</v>
      </c>
      <c r="E3000" s="1" t="s">
        <v>26</v>
      </c>
      <c r="F3000" s="1">
        <v>2.0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1">
        <v>74.75</v>
      </c>
      <c r="T3000" s="1">
        <v>144.8</v>
      </c>
      <c r="U3000" s="1">
        <v>0.0</v>
      </c>
      <c r="V3000" s="1">
        <v>0.0</v>
      </c>
      <c r="W3000" s="1" t="s">
        <v>26</v>
      </c>
    </row>
    <row r="3001" ht="15.75" customHeight="1">
      <c r="A3001" s="1" t="s">
        <v>3038</v>
      </c>
      <c r="B3001" s="1" t="s">
        <v>32</v>
      </c>
      <c r="C3001" s="1">
        <v>0.0</v>
      </c>
      <c r="D3001" s="1" t="s">
        <v>25</v>
      </c>
      <c r="E3001" s="1" t="s">
        <v>25</v>
      </c>
      <c r="F3001" s="1">
        <v>19.0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1">
        <v>20.6</v>
      </c>
      <c r="T3001" s="1">
        <v>414.95</v>
      </c>
      <c r="U3001" s="1">
        <v>0.0</v>
      </c>
      <c r="V3001" s="1">
        <v>0.0</v>
      </c>
      <c r="W3001" s="1" t="s">
        <v>26</v>
      </c>
    </row>
    <row r="3002" ht="15.75" customHeight="1">
      <c r="A3002" s="1" t="s">
        <v>3039</v>
      </c>
      <c r="B3002" s="1" t="s">
        <v>32</v>
      </c>
      <c r="C3002" s="1">
        <v>0.0</v>
      </c>
      <c r="D3002" s="1" t="s">
        <v>26</v>
      </c>
      <c r="E3002" s="1" t="s">
        <v>26</v>
      </c>
      <c r="F3002" s="1">
        <v>12.0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1">
        <v>84.45</v>
      </c>
      <c r="T3002" s="1">
        <v>1059.55</v>
      </c>
      <c r="U3002" s="1">
        <v>0.0</v>
      </c>
      <c r="V3002" s="1">
        <v>0.0</v>
      </c>
      <c r="W3002" s="1" t="s">
        <v>25</v>
      </c>
    </row>
    <row r="3003" ht="15.75" customHeight="1">
      <c r="A3003" s="1" t="s">
        <v>3040</v>
      </c>
      <c r="B3003" s="1" t="s">
        <v>32</v>
      </c>
      <c r="C3003" s="1">
        <v>0.0</v>
      </c>
      <c r="D3003" s="1" t="s">
        <v>26</v>
      </c>
      <c r="E3003" s="1" t="s">
        <v>26</v>
      </c>
      <c r="F3003" s="1">
        <v>9.0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1">
        <v>20.4</v>
      </c>
      <c r="T3003" s="1">
        <v>181.8</v>
      </c>
      <c r="U3003" s="1">
        <v>0.0</v>
      </c>
      <c r="V3003" s="1">
        <v>0.0</v>
      </c>
      <c r="W3003" s="1" t="s">
        <v>26</v>
      </c>
    </row>
    <row r="3004" ht="15.75" customHeight="1">
      <c r="A3004" s="1" t="s">
        <v>3041</v>
      </c>
      <c r="B3004" s="1" t="s">
        <v>32</v>
      </c>
      <c r="C3004" s="1">
        <v>0.0</v>
      </c>
      <c r="D3004" s="1" t="s">
        <v>26</v>
      </c>
      <c r="E3004" s="1" t="s">
        <v>26</v>
      </c>
      <c r="F3004" s="1">
        <v>27.0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1">
        <v>81.7</v>
      </c>
      <c r="T3004" s="1">
        <v>2212.55</v>
      </c>
      <c r="U3004" s="1">
        <v>0.0</v>
      </c>
      <c r="V3004" s="1">
        <v>0.0</v>
      </c>
      <c r="W3004" s="1" t="s">
        <v>26</v>
      </c>
    </row>
    <row r="3005" ht="15.75" customHeight="1">
      <c r="A3005" s="1" t="s">
        <v>3042</v>
      </c>
      <c r="B3005" s="1" t="s">
        <v>32</v>
      </c>
      <c r="C3005" s="1">
        <v>0.0</v>
      </c>
      <c r="D3005" s="1" t="s">
        <v>26</v>
      </c>
      <c r="E3005" s="1" t="s">
        <v>25</v>
      </c>
      <c r="F3005" s="1">
        <v>27.0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1">
        <v>79.5</v>
      </c>
      <c r="T3005" s="1">
        <v>2180.55</v>
      </c>
      <c r="U3005" s="1">
        <v>0.0</v>
      </c>
      <c r="V3005" s="1">
        <v>1.0</v>
      </c>
      <c r="W3005" s="1" t="s">
        <v>25</v>
      </c>
    </row>
    <row r="3006" ht="15.75" customHeight="1">
      <c r="A3006" s="1" t="s">
        <v>3043</v>
      </c>
      <c r="B3006" s="1" t="s">
        <v>32</v>
      </c>
      <c r="C3006" s="1">
        <v>0.0</v>
      </c>
      <c r="D3006" s="1" t="s">
        <v>25</v>
      </c>
      <c r="E3006" s="1" t="s">
        <v>25</v>
      </c>
      <c r="F3006" s="1">
        <v>1.0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1">
        <v>89.15</v>
      </c>
      <c r="T3006" s="1">
        <v>89.15</v>
      </c>
      <c r="U3006" s="1">
        <v>5.0</v>
      </c>
      <c r="V3006" s="1">
        <v>0.0</v>
      </c>
      <c r="W3006" s="1" t="s">
        <v>25</v>
      </c>
    </row>
    <row r="3007" ht="15.75" customHeight="1">
      <c r="A3007" s="1" t="s">
        <v>3044</v>
      </c>
      <c r="B3007" s="1" t="s">
        <v>24</v>
      </c>
      <c r="C3007" s="1">
        <v>1.0</v>
      </c>
      <c r="D3007" s="1" t="s">
        <v>26</v>
      </c>
      <c r="E3007" s="1" t="s">
        <v>26</v>
      </c>
      <c r="F3007" s="1">
        <v>24.0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1">
        <v>20.3</v>
      </c>
      <c r="T3007" s="1">
        <v>459.95</v>
      </c>
      <c r="U3007" s="1">
        <v>0.0</v>
      </c>
      <c r="V3007" s="1">
        <v>0.0</v>
      </c>
      <c r="W3007" s="1" t="s">
        <v>26</v>
      </c>
    </row>
    <row r="3008" ht="15.75" customHeight="1">
      <c r="A3008" s="1" t="s">
        <v>3045</v>
      </c>
      <c r="B3008" s="1" t="s">
        <v>32</v>
      </c>
      <c r="C3008" s="1">
        <v>1.0</v>
      </c>
      <c r="D3008" s="1" t="s">
        <v>26</v>
      </c>
      <c r="E3008" s="1" t="s">
        <v>26</v>
      </c>
      <c r="F3008" s="1">
        <v>14.0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1">
        <v>74.95</v>
      </c>
      <c r="T3008" s="1">
        <v>1036.75</v>
      </c>
      <c r="U3008" s="1">
        <v>0.0</v>
      </c>
      <c r="V3008" s="1">
        <v>0.0</v>
      </c>
      <c r="W3008" s="1" t="s">
        <v>25</v>
      </c>
    </row>
    <row r="3009" ht="15.75" customHeight="1">
      <c r="A3009" s="1" t="s">
        <v>3046</v>
      </c>
      <c r="B3009" s="1" t="s">
        <v>24</v>
      </c>
      <c r="C3009" s="1">
        <v>1.0</v>
      </c>
      <c r="D3009" s="1" t="s">
        <v>26</v>
      </c>
      <c r="E3009" s="1" t="s">
        <v>26</v>
      </c>
      <c r="F3009" s="1">
        <v>32.0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1">
        <v>74.4</v>
      </c>
      <c r="T3009" s="1">
        <v>2276.95</v>
      </c>
      <c r="U3009" s="1">
        <v>0.0</v>
      </c>
      <c r="V3009" s="1">
        <v>0.0</v>
      </c>
      <c r="W3009" s="1" t="s">
        <v>25</v>
      </c>
    </row>
    <row r="3010" ht="15.75" customHeight="1">
      <c r="A3010" s="1" t="s">
        <v>3047</v>
      </c>
      <c r="B3010" s="1" t="s">
        <v>24</v>
      </c>
      <c r="C3010" s="1">
        <v>0.0</v>
      </c>
      <c r="D3010" s="1" t="s">
        <v>26</v>
      </c>
      <c r="E3010" s="1" t="s">
        <v>26</v>
      </c>
      <c r="F3010" s="1">
        <v>11.0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1">
        <v>20.0</v>
      </c>
      <c r="T3010" s="1">
        <v>211.95</v>
      </c>
      <c r="U3010" s="1">
        <v>0.0</v>
      </c>
      <c r="V3010" s="1">
        <v>0.0</v>
      </c>
      <c r="W3010" s="1" t="s">
        <v>26</v>
      </c>
    </row>
    <row r="3011" ht="15.75" customHeight="1">
      <c r="A3011" s="1" t="s">
        <v>3048</v>
      </c>
      <c r="B3011" s="1" t="s">
        <v>32</v>
      </c>
      <c r="C3011" s="1">
        <v>0.0</v>
      </c>
      <c r="D3011" s="1" t="s">
        <v>26</v>
      </c>
      <c r="E3011" s="1" t="s">
        <v>26</v>
      </c>
      <c r="F3011" s="1">
        <v>1.0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1">
        <v>25.0</v>
      </c>
      <c r="T3011" s="1">
        <v>25.0</v>
      </c>
      <c r="U3011" s="1">
        <v>1.0</v>
      </c>
      <c r="V3011" s="1">
        <v>0.0</v>
      </c>
      <c r="W3011" s="1" t="s">
        <v>26</v>
      </c>
    </row>
    <row r="3012" ht="15.75" customHeight="1">
      <c r="A3012" s="1" t="s">
        <v>3049</v>
      </c>
      <c r="B3012" s="1" t="s">
        <v>32</v>
      </c>
      <c r="C3012" s="1">
        <v>1.0</v>
      </c>
      <c r="D3012" s="1" t="s">
        <v>26</v>
      </c>
      <c r="E3012" s="1" t="s">
        <v>25</v>
      </c>
      <c r="F3012" s="1">
        <v>38.0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1">
        <v>80.45</v>
      </c>
      <c r="T3012" s="1">
        <v>3162.65</v>
      </c>
      <c r="U3012" s="1">
        <v>5.0</v>
      </c>
      <c r="V3012" s="1">
        <v>0.0</v>
      </c>
      <c r="W3012" s="1" t="s">
        <v>26</v>
      </c>
    </row>
    <row r="3013" ht="15.75" customHeight="1">
      <c r="A3013" s="1" t="s">
        <v>3050</v>
      </c>
      <c r="B3013" s="1" t="s">
        <v>24</v>
      </c>
      <c r="C3013" s="1">
        <v>0.0</v>
      </c>
      <c r="D3013" s="1" t="s">
        <v>25</v>
      </c>
      <c r="E3013" s="1" t="s">
        <v>25</v>
      </c>
      <c r="F3013" s="1">
        <v>9.0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1">
        <v>19.75</v>
      </c>
      <c r="T3013" s="1">
        <v>210.65</v>
      </c>
      <c r="U3013" s="1">
        <v>0.0</v>
      </c>
      <c r="V3013" s="1">
        <v>0.0</v>
      </c>
      <c r="W3013" s="1" t="s">
        <v>26</v>
      </c>
    </row>
    <row r="3014" ht="15.75" customHeight="1">
      <c r="A3014" s="1" t="s">
        <v>3051</v>
      </c>
      <c r="B3014" s="1" t="s">
        <v>32</v>
      </c>
      <c r="C3014" s="1">
        <v>0.0</v>
      </c>
      <c r="D3014" s="1" t="s">
        <v>25</v>
      </c>
      <c r="E3014" s="1" t="s">
        <v>25</v>
      </c>
      <c r="F3014" s="1">
        <v>54.0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1">
        <v>65.65</v>
      </c>
      <c r="T3014" s="1">
        <v>3566.7</v>
      </c>
      <c r="U3014" s="1">
        <v>0.0</v>
      </c>
      <c r="V3014" s="1">
        <v>0.0</v>
      </c>
      <c r="W3014" s="1" t="s">
        <v>26</v>
      </c>
    </row>
    <row r="3015" ht="15.75" customHeight="1">
      <c r="A3015" s="1" t="s">
        <v>3052</v>
      </c>
      <c r="B3015" s="1" t="s">
        <v>24</v>
      </c>
      <c r="C3015" s="1">
        <v>0.0</v>
      </c>
      <c r="D3015" s="1" t="s">
        <v>26</v>
      </c>
      <c r="E3015" s="1" t="s">
        <v>26</v>
      </c>
      <c r="F3015" s="1">
        <v>29.0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1">
        <v>71.0</v>
      </c>
      <c r="T3015" s="1">
        <v>2080.1</v>
      </c>
      <c r="U3015" s="1">
        <v>0.0</v>
      </c>
      <c r="V3015" s="1">
        <v>0.0</v>
      </c>
      <c r="W3015" s="1" t="s">
        <v>26</v>
      </c>
    </row>
    <row r="3016" ht="15.75" customHeight="1">
      <c r="A3016" s="1" t="s">
        <v>3053</v>
      </c>
      <c r="B3016" s="1" t="s">
        <v>32</v>
      </c>
      <c r="C3016" s="1">
        <v>1.0</v>
      </c>
      <c r="D3016" s="1" t="s">
        <v>25</v>
      </c>
      <c r="E3016" s="1" t="s">
        <v>26</v>
      </c>
      <c r="F3016" s="1">
        <v>44.0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1">
        <v>89.2</v>
      </c>
      <c r="T3016" s="1">
        <v>4040.2</v>
      </c>
      <c r="U3016" s="1">
        <v>0.0</v>
      </c>
      <c r="V3016" s="1">
        <v>0.0</v>
      </c>
      <c r="W3016" s="1" t="s">
        <v>26</v>
      </c>
    </row>
    <row r="3017" ht="15.75" customHeight="1">
      <c r="A3017" s="1" t="s">
        <v>3054</v>
      </c>
      <c r="B3017" s="1" t="s">
        <v>32</v>
      </c>
      <c r="C3017" s="1">
        <v>0.0</v>
      </c>
      <c r="D3017" s="1" t="s">
        <v>25</v>
      </c>
      <c r="E3017" s="1" t="s">
        <v>25</v>
      </c>
      <c r="F3017" s="1">
        <v>59.0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1">
        <v>86.75</v>
      </c>
      <c r="T3017" s="1">
        <v>5186.0</v>
      </c>
      <c r="U3017" s="1">
        <v>0.0</v>
      </c>
      <c r="V3017" s="1">
        <v>0.0</v>
      </c>
      <c r="W3017" s="1" t="s">
        <v>26</v>
      </c>
    </row>
    <row r="3018" ht="15.75" customHeight="1">
      <c r="A3018" s="1" t="s">
        <v>3055</v>
      </c>
      <c r="B3018" s="1" t="s">
        <v>24</v>
      </c>
      <c r="C3018" s="1">
        <v>0.0</v>
      </c>
      <c r="D3018" s="1" t="s">
        <v>26</v>
      </c>
      <c r="E3018" s="1" t="s">
        <v>26</v>
      </c>
      <c r="F3018" s="1">
        <v>3.0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1">
        <v>55.3</v>
      </c>
      <c r="T3018" s="1">
        <v>196.15</v>
      </c>
      <c r="U3018" s="1">
        <v>0.0</v>
      </c>
      <c r="V3018" s="1">
        <v>0.0</v>
      </c>
      <c r="W3018" s="1" t="s">
        <v>25</v>
      </c>
    </row>
    <row r="3019" ht="15.75" customHeight="1">
      <c r="A3019" s="1" t="s">
        <v>3056</v>
      </c>
      <c r="B3019" s="1" t="s">
        <v>24</v>
      </c>
      <c r="C3019" s="1">
        <v>0.0</v>
      </c>
      <c r="D3019" s="1" t="s">
        <v>25</v>
      </c>
      <c r="E3019" s="1" t="s">
        <v>25</v>
      </c>
      <c r="F3019" s="1">
        <v>18.0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1">
        <v>61.5</v>
      </c>
      <c r="T3019" s="1">
        <v>1087.45</v>
      </c>
      <c r="U3019" s="1">
        <v>0.0</v>
      </c>
      <c r="V3019" s="1">
        <v>0.0</v>
      </c>
      <c r="W3019" s="1" t="s">
        <v>26</v>
      </c>
    </row>
    <row r="3020" ht="15.75" customHeight="1">
      <c r="A3020" s="1" t="s">
        <v>3057</v>
      </c>
      <c r="B3020" s="1" t="s">
        <v>32</v>
      </c>
      <c r="C3020" s="1">
        <v>1.0</v>
      </c>
      <c r="D3020" s="1" t="s">
        <v>26</v>
      </c>
      <c r="E3020" s="1" t="s">
        <v>26</v>
      </c>
      <c r="F3020" s="1">
        <v>67.0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1">
        <v>25.1</v>
      </c>
      <c r="T3020" s="1">
        <v>1672.15</v>
      </c>
      <c r="U3020" s="1">
        <v>5.0</v>
      </c>
      <c r="V3020" s="1">
        <v>0.0</v>
      </c>
      <c r="W3020" s="1" t="s">
        <v>26</v>
      </c>
    </row>
    <row r="3021" ht="15.75" customHeight="1">
      <c r="A3021" s="1" t="s">
        <v>3058</v>
      </c>
      <c r="B3021" s="1" t="s">
        <v>24</v>
      </c>
      <c r="C3021" s="1">
        <v>0.0</v>
      </c>
      <c r="D3021" s="1" t="s">
        <v>25</v>
      </c>
      <c r="E3021" s="1" t="s">
        <v>25</v>
      </c>
      <c r="F3021" s="1">
        <v>22.0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1">
        <v>55.15</v>
      </c>
      <c r="T3021" s="1">
        <v>1206.05</v>
      </c>
      <c r="U3021" s="1">
        <v>0.0</v>
      </c>
      <c r="V3021" s="1">
        <v>0.0</v>
      </c>
      <c r="W3021" s="1" t="s">
        <v>25</v>
      </c>
    </row>
    <row r="3022" ht="15.75" customHeight="1">
      <c r="A3022" s="1" t="s">
        <v>3059</v>
      </c>
      <c r="B3022" s="1" t="s">
        <v>32</v>
      </c>
      <c r="C3022" s="1">
        <v>0.0</v>
      </c>
      <c r="D3022" s="1" t="s">
        <v>26</v>
      </c>
      <c r="E3022" s="1" t="s">
        <v>25</v>
      </c>
      <c r="F3022" s="1">
        <v>33.0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1">
        <v>34.05</v>
      </c>
      <c r="T3022" s="1">
        <v>1113.95</v>
      </c>
      <c r="U3022" s="1">
        <v>0.0</v>
      </c>
      <c r="V3022" s="1">
        <v>0.0</v>
      </c>
      <c r="W3022" s="1" t="s">
        <v>26</v>
      </c>
    </row>
    <row r="3023" ht="15.75" customHeight="1">
      <c r="A3023" s="1" t="s">
        <v>3060</v>
      </c>
      <c r="B3023" s="1" t="s">
        <v>32</v>
      </c>
      <c r="C3023" s="1">
        <v>0.0</v>
      </c>
      <c r="D3023" s="1" t="s">
        <v>26</v>
      </c>
      <c r="E3023" s="1" t="s">
        <v>26</v>
      </c>
      <c r="F3023" s="1">
        <v>5.0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1">
        <v>19.95</v>
      </c>
      <c r="T3023" s="1">
        <v>107.05</v>
      </c>
      <c r="U3023" s="1">
        <v>0.0</v>
      </c>
      <c r="V3023" s="1">
        <v>0.0</v>
      </c>
      <c r="W3023" s="1" t="s">
        <v>26</v>
      </c>
    </row>
    <row r="3024" ht="15.75" customHeight="1">
      <c r="A3024" s="1" t="s">
        <v>3061</v>
      </c>
      <c r="B3024" s="1" t="s">
        <v>24</v>
      </c>
      <c r="C3024" s="1">
        <v>0.0</v>
      </c>
      <c r="D3024" s="1" t="s">
        <v>26</v>
      </c>
      <c r="E3024" s="1" t="s">
        <v>26</v>
      </c>
      <c r="F3024" s="1">
        <v>2.0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1">
        <v>19.95</v>
      </c>
      <c r="T3024" s="1">
        <v>38.15</v>
      </c>
      <c r="U3024" s="1">
        <v>0.0</v>
      </c>
      <c r="V3024" s="1">
        <v>0.0</v>
      </c>
      <c r="W3024" s="1" t="s">
        <v>26</v>
      </c>
    </row>
    <row r="3025" ht="15.75" customHeight="1">
      <c r="A3025" s="1" t="s">
        <v>3062</v>
      </c>
      <c r="B3025" s="1" t="s">
        <v>32</v>
      </c>
      <c r="C3025" s="1">
        <v>0.0</v>
      </c>
      <c r="D3025" s="1" t="s">
        <v>25</v>
      </c>
      <c r="E3025" s="1" t="s">
        <v>25</v>
      </c>
      <c r="F3025" s="1">
        <v>72.0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1">
        <v>89.7</v>
      </c>
      <c r="T3025" s="1">
        <v>6339.3</v>
      </c>
      <c r="U3025" s="1">
        <v>0.0</v>
      </c>
      <c r="V3025" s="1">
        <v>0.0</v>
      </c>
      <c r="W3025" s="1" t="s">
        <v>26</v>
      </c>
    </row>
    <row r="3026" ht="15.75" customHeight="1">
      <c r="A3026" s="1" t="s">
        <v>3063</v>
      </c>
      <c r="B3026" s="1" t="s">
        <v>32</v>
      </c>
      <c r="C3026" s="1">
        <v>0.0</v>
      </c>
      <c r="D3026" s="1" t="s">
        <v>26</v>
      </c>
      <c r="E3026" s="1" t="s">
        <v>25</v>
      </c>
      <c r="F3026" s="1">
        <v>9.0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1">
        <v>20.4</v>
      </c>
      <c r="T3026" s="1">
        <v>184.1</v>
      </c>
      <c r="U3026" s="1">
        <v>0.0</v>
      </c>
      <c r="V3026" s="1">
        <v>0.0</v>
      </c>
      <c r="W3026" s="1" t="s">
        <v>26</v>
      </c>
    </row>
    <row r="3027" ht="15.75" customHeight="1">
      <c r="A3027" s="1" t="s">
        <v>3064</v>
      </c>
      <c r="B3027" s="1" t="s">
        <v>32</v>
      </c>
      <c r="C3027" s="1">
        <v>0.0</v>
      </c>
      <c r="D3027" s="1" t="s">
        <v>25</v>
      </c>
      <c r="E3027" s="1" t="s">
        <v>25</v>
      </c>
      <c r="F3027" s="1">
        <v>67.0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1">
        <v>26.3</v>
      </c>
      <c r="T3027" s="1">
        <v>1688.9</v>
      </c>
      <c r="U3027" s="1">
        <v>0.0</v>
      </c>
      <c r="V3027" s="1">
        <v>0.0</v>
      </c>
      <c r="W3027" s="1" t="s">
        <v>26</v>
      </c>
    </row>
    <row r="3028" ht="15.75" customHeight="1">
      <c r="A3028" s="1" t="s">
        <v>3065</v>
      </c>
      <c r="B3028" s="1" t="s">
        <v>24</v>
      </c>
      <c r="C3028" s="1">
        <v>0.0</v>
      </c>
      <c r="D3028" s="1" t="s">
        <v>25</v>
      </c>
      <c r="E3028" s="1" t="s">
        <v>26</v>
      </c>
      <c r="F3028" s="1">
        <v>16.0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1">
        <v>84.95</v>
      </c>
      <c r="T3028" s="1">
        <v>1378.25</v>
      </c>
      <c r="U3028" s="1">
        <v>0.0</v>
      </c>
      <c r="V3028" s="1">
        <v>0.0</v>
      </c>
      <c r="W3028" s="1" t="s">
        <v>25</v>
      </c>
    </row>
    <row r="3029" ht="15.75" customHeight="1">
      <c r="A3029" s="1" t="s">
        <v>3066</v>
      </c>
      <c r="B3029" s="1" t="s">
        <v>24</v>
      </c>
      <c r="C3029" s="1">
        <v>0.0</v>
      </c>
      <c r="D3029" s="1" t="s">
        <v>26</v>
      </c>
      <c r="E3029" s="1" t="s">
        <v>26</v>
      </c>
      <c r="F3029" s="1">
        <v>8.0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1">
        <v>20.7</v>
      </c>
      <c r="T3029" s="1">
        <v>137.6</v>
      </c>
      <c r="U3029" s="1">
        <v>0.0</v>
      </c>
      <c r="V3029" s="1">
        <v>0.0</v>
      </c>
      <c r="W3029" s="1" t="s">
        <v>26</v>
      </c>
    </row>
    <row r="3030" ht="15.75" customHeight="1">
      <c r="A3030" s="1" t="s">
        <v>3067</v>
      </c>
      <c r="B3030" s="1" t="s">
        <v>32</v>
      </c>
      <c r="C3030" s="1">
        <v>0.0</v>
      </c>
      <c r="D3030" s="1" t="s">
        <v>26</v>
      </c>
      <c r="E3030" s="1" t="s">
        <v>26</v>
      </c>
      <c r="F3030" s="1">
        <v>5.0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1">
        <v>43.25</v>
      </c>
      <c r="T3030" s="1">
        <v>219.0</v>
      </c>
      <c r="U3030" s="1">
        <v>0.0</v>
      </c>
      <c r="V3030" s="1">
        <v>0.0</v>
      </c>
      <c r="W3030" s="1" t="s">
        <v>25</v>
      </c>
    </row>
    <row r="3031" ht="15.75" customHeight="1">
      <c r="A3031" s="1" t="s">
        <v>3068</v>
      </c>
      <c r="B3031" s="1" t="s">
        <v>32</v>
      </c>
      <c r="C3031" s="1">
        <v>0.0</v>
      </c>
      <c r="D3031" s="1" t="s">
        <v>25</v>
      </c>
      <c r="E3031" s="1" t="s">
        <v>25</v>
      </c>
      <c r="F3031" s="1">
        <v>23.0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1">
        <v>48.35</v>
      </c>
      <c r="T3031" s="1">
        <v>1067.15</v>
      </c>
      <c r="U3031" s="1">
        <v>0.0</v>
      </c>
      <c r="V3031" s="1">
        <v>0.0</v>
      </c>
      <c r="W3031" s="1" t="s">
        <v>25</v>
      </c>
    </row>
    <row r="3032" ht="15.75" customHeight="1">
      <c r="A3032" s="1" t="s">
        <v>3069</v>
      </c>
      <c r="B3032" s="1" t="s">
        <v>32</v>
      </c>
      <c r="C3032" s="1">
        <v>0.0</v>
      </c>
      <c r="D3032" s="1" t="s">
        <v>26</v>
      </c>
      <c r="E3032" s="1" t="s">
        <v>26</v>
      </c>
      <c r="F3032" s="1">
        <v>1.0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1">
        <v>79.55</v>
      </c>
      <c r="T3032" s="1">
        <v>79.55</v>
      </c>
      <c r="U3032" s="1">
        <v>0.0</v>
      </c>
      <c r="V3032" s="1">
        <v>0.0</v>
      </c>
      <c r="W3032" s="1" t="s">
        <v>25</v>
      </c>
    </row>
    <row r="3033" ht="15.75" customHeight="1">
      <c r="A3033" s="1" t="s">
        <v>3070</v>
      </c>
      <c r="B3033" s="1" t="s">
        <v>24</v>
      </c>
      <c r="C3033" s="1">
        <v>1.0</v>
      </c>
      <c r="D3033" s="1" t="s">
        <v>25</v>
      </c>
      <c r="E3033" s="1" t="s">
        <v>26</v>
      </c>
      <c r="F3033" s="1">
        <v>50.0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1">
        <v>71.05</v>
      </c>
      <c r="T3033" s="1">
        <v>3444.85</v>
      </c>
      <c r="U3033" s="1">
        <v>0.0</v>
      </c>
      <c r="V3033" s="1">
        <v>0.0</v>
      </c>
      <c r="W3033" s="1" t="s">
        <v>25</v>
      </c>
    </row>
    <row r="3034" ht="15.75" customHeight="1">
      <c r="A3034" s="1" t="s">
        <v>3071</v>
      </c>
      <c r="B3034" s="1" t="s">
        <v>32</v>
      </c>
      <c r="C3034" s="1">
        <v>0.0</v>
      </c>
      <c r="D3034" s="1" t="s">
        <v>26</v>
      </c>
      <c r="E3034" s="1" t="s">
        <v>26</v>
      </c>
      <c r="F3034" s="1">
        <v>17.0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1">
        <v>19.45</v>
      </c>
      <c r="T3034" s="1">
        <v>369.05</v>
      </c>
      <c r="U3034" s="1">
        <v>0.0</v>
      </c>
      <c r="V3034" s="1">
        <v>0.0</v>
      </c>
      <c r="W3034" s="1" t="s">
        <v>26</v>
      </c>
    </row>
    <row r="3035" ht="15.75" customHeight="1">
      <c r="A3035" s="1" t="s">
        <v>3072</v>
      </c>
      <c r="B3035" s="1" t="s">
        <v>24</v>
      </c>
      <c r="C3035" s="1">
        <v>0.0</v>
      </c>
      <c r="D3035" s="1" t="s">
        <v>25</v>
      </c>
      <c r="E3035" s="1" t="s">
        <v>26</v>
      </c>
      <c r="F3035" s="1">
        <v>68.0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1">
        <v>110.8</v>
      </c>
      <c r="T3035" s="1">
        <v>7553.6</v>
      </c>
      <c r="U3035" s="1">
        <v>0.0</v>
      </c>
      <c r="V3035" s="1">
        <v>0.0</v>
      </c>
      <c r="W3035" s="1" t="s">
        <v>26</v>
      </c>
    </row>
    <row r="3036" ht="15.75" customHeight="1">
      <c r="A3036" s="1" t="s">
        <v>3073</v>
      </c>
      <c r="B3036" s="1" t="s">
        <v>32</v>
      </c>
      <c r="C3036" s="1">
        <v>0.0</v>
      </c>
      <c r="D3036" s="1" t="s">
        <v>26</v>
      </c>
      <c r="E3036" s="1" t="s">
        <v>26</v>
      </c>
      <c r="F3036" s="1">
        <v>1.0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1">
        <v>84.5</v>
      </c>
      <c r="T3036" s="1">
        <v>84.5</v>
      </c>
      <c r="U3036" s="1">
        <v>0.0</v>
      </c>
      <c r="V3036" s="1">
        <v>0.0</v>
      </c>
      <c r="W3036" s="1" t="s">
        <v>25</v>
      </c>
    </row>
    <row r="3037" ht="15.75" customHeight="1">
      <c r="A3037" s="1" t="s">
        <v>3074</v>
      </c>
      <c r="B3037" s="1" t="s">
        <v>24</v>
      </c>
      <c r="C3037" s="1">
        <v>1.0</v>
      </c>
      <c r="D3037" s="1" t="s">
        <v>25</v>
      </c>
      <c r="E3037" s="1" t="s">
        <v>26</v>
      </c>
      <c r="F3037" s="1">
        <v>25.0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1">
        <v>69.3</v>
      </c>
      <c r="T3037" s="1">
        <v>1813.1</v>
      </c>
      <c r="U3037" s="1">
        <v>0.0</v>
      </c>
      <c r="V3037" s="1">
        <v>0.0</v>
      </c>
      <c r="W3037" s="1" t="s">
        <v>26</v>
      </c>
    </row>
    <row r="3038" ht="15.75" customHeight="1">
      <c r="A3038" s="1" t="s">
        <v>3075</v>
      </c>
      <c r="B3038" s="1" t="s">
        <v>32</v>
      </c>
      <c r="C3038" s="1">
        <v>0.0</v>
      </c>
      <c r="D3038" s="1" t="s">
        <v>26</v>
      </c>
      <c r="E3038" s="1" t="s">
        <v>26</v>
      </c>
      <c r="F3038" s="1">
        <v>67.0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1">
        <v>49.35</v>
      </c>
      <c r="T3038" s="1">
        <v>3321.35</v>
      </c>
      <c r="U3038" s="1">
        <v>0.0</v>
      </c>
      <c r="V3038" s="1">
        <v>0.0</v>
      </c>
      <c r="W3038" s="1" t="s">
        <v>26</v>
      </c>
    </row>
    <row r="3039" ht="15.75" customHeight="1">
      <c r="A3039" s="1" t="s">
        <v>3076</v>
      </c>
      <c r="B3039" s="1" t="s">
        <v>32</v>
      </c>
      <c r="C3039" s="1">
        <v>0.0</v>
      </c>
      <c r="D3039" s="1" t="s">
        <v>26</v>
      </c>
      <c r="E3039" s="1" t="s">
        <v>26</v>
      </c>
      <c r="F3039" s="1">
        <v>32.0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1">
        <v>20.35</v>
      </c>
      <c r="T3039" s="1">
        <v>707.5</v>
      </c>
      <c r="U3039" s="1">
        <v>0.0</v>
      </c>
      <c r="V3039" s="1">
        <v>0.0</v>
      </c>
      <c r="W3039" s="1" t="s">
        <v>26</v>
      </c>
    </row>
    <row r="3040" ht="15.75" customHeight="1">
      <c r="A3040" s="1" t="s">
        <v>3077</v>
      </c>
      <c r="B3040" s="1" t="s">
        <v>24</v>
      </c>
      <c r="C3040" s="1">
        <v>1.0</v>
      </c>
      <c r="D3040" s="1" t="s">
        <v>25</v>
      </c>
      <c r="E3040" s="1" t="s">
        <v>26</v>
      </c>
      <c r="F3040" s="1">
        <v>67.0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1">
        <v>105.6</v>
      </c>
      <c r="T3040" s="1">
        <v>7112.15</v>
      </c>
      <c r="U3040" s="1">
        <v>0.0</v>
      </c>
      <c r="V3040" s="1">
        <v>0.0</v>
      </c>
      <c r="W3040" s="1" t="s">
        <v>26</v>
      </c>
    </row>
    <row r="3041" ht="15.75" customHeight="1">
      <c r="A3041" s="1" t="s">
        <v>3078</v>
      </c>
      <c r="B3041" s="1" t="s">
        <v>32</v>
      </c>
      <c r="C3041" s="1">
        <v>1.0</v>
      </c>
      <c r="D3041" s="1" t="s">
        <v>25</v>
      </c>
      <c r="E3041" s="1" t="s">
        <v>26</v>
      </c>
      <c r="F3041" s="1">
        <v>72.0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1">
        <v>64.45</v>
      </c>
      <c r="T3041" s="1">
        <v>4641.1</v>
      </c>
      <c r="U3041" s="1">
        <v>0.0</v>
      </c>
      <c r="V3041" s="1">
        <v>0.0</v>
      </c>
      <c r="W3041" s="1" t="s">
        <v>26</v>
      </c>
    </row>
    <row r="3042" ht="15.75" customHeight="1">
      <c r="A3042" s="1" t="s">
        <v>3079</v>
      </c>
      <c r="B3042" s="1" t="s">
        <v>32</v>
      </c>
      <c r="C3042" s="1">
        <v>0.0</v>
      </c>
      <c r="D3042" s="1" t="s">
        <v>25</v>
      </c>
      <c r="E3042" s="1" t="s">
        <v>26</v>
      </c>
      <c r="F3042" s="1">
        <v>71.0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1">
        <v>108.6</v>
      </c>
      <c r="T3042" s="1">
        <v>7690.9</v>
      </c>
      <c r="U3042" s="1">
        <v>0.0</v>
      </c>
      <c r="V3042" s="1">
        <v>7.0</v>
      </c>
      <c r="W3042" s="1" t="s">
        <v>25</v>
      </c>
    </row>
    <row r="3043" ht="15.75" customHeight="1">
      <c r="A3043" s="1" t="s">
        <v>3080</v>
      </c>
      <c r="B3043" s="1" t="s">
        <v>32</v>
      </c>
      <c r="C3043" s="1">
        <v>0.0</v>
      </c>
      <c r="D3043" s="1" t="s">
        <v>26</v>
      </c>
      <c r="E3043" s="1" t="s">
        <v>25</v>
      </c>
      <c r="F3043" s="1">
        <v>1.0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1">
        <v>49.9</v>
      </c>
      <c r="T3043" s="1">
        <v>49.9</v>
      </c>
      <c r="U3043" s="1">
        <v>0.0</v>
      </c>
      <c r="V3043" s="1">
        <v>0.0</v>
      </c>
      <c r="W3043" s="1" t="s">
        <v>26</v>
      </c>
    </row>
    <row r="3044" ht="15.75" customHeight="1">
      <c r="A3044" s="1" t="s">
        <v>3081</v>
      </c>
      <c r="B3044" s="1" t="s">
        <v>32</v>
      </c>
      <c r="C3044" s="1">
        <v>0.0</v>
      </c>
      <c r="D3044" s="1" t="s">
        <v>26</v>
      </c>
      <c r="E3044" s="1" t="s">
        <v>26</v>
      </c>
      <c r="F3044" s="1">
        <v>46.0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1">
        <v>30.3</v>
      </c>
      <c r="T3044" s="1">
        <v>1380.1</v>
      </c>
      <c r="U3044" s="1">
        <v>0.0</v>
      </c>
      <c r="V3044" s="1">
        <v>1.0</v>
      </c>
      <c r="W3044" s="1" t="s">
        <v>25</v>
      </c>
    </row>
    <row r="3045" ht="15.75" customHeight="1">
      <c r="A3045" s="1" t="s">
        <v>3082</v>
      </c>
      <c r="B3045" s="1" t="s">
        <v>24</v>
      </c>
      <c r="C3045" s="1">
        <v>1.0</v>
      </c>
      <c r="D3045" s="1" t="s">
        <v>26</v>
      </c>
      <c r="E3045" s="1" t="s">
        <v>26</v>
      </c>
      <c r="F3045" s="1">
        <v>2.0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1">
        <v>30.4</v>
      </c>
      <c r="T3045" s="1">
        <v>78.65</v>
      </c>
      <c r="U3045" s="1">
        <v>0.0</v>
      </c>
      <c r="V3045" s="1">
        <v>0.0</v>
      </c>
      <c r="W3045" s="1" t="s">
        <v>25</v>
      </c>
    </row>
    <row r="3046" ht="15.75" customHeight="1">
      <c r="A3046" s="1" t="s">
        <v>3083</v>
      </c>
      <c r="B3046" s="1" t="s">
        <v>24</v>
      </c>
      <c r="C3046" s="1">
        <v>0.0</v>
      </c>
      <c r="D3046" s="1" t="s">
        <v>26</v>
      </c>
      <c r="E3046" s="1" t="s">
        <v>26</v>
      </c>
      <c r="F3046" s="1">
        <v>1.0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1">
        <v>45.4</v>
      </c>
      <c r="T3046" s="1">
        <v>45.4</v>
      </c>
      <c r="U3046" s="1">
        <v>0.0</v>
      </c>
      <c r="V3046" s="1">
        <v>0.0</v>
      </c>
      <c r="W3046" s="1" t="s">
        <v>25</v>
      </c>
    </row>
    <row r="3047" ht="15.75" customHeight="1">
      <c r="A3047" s="1" t="s">
        <v>3084</v>
      </c>
      <c r="B3047" s="1" t="s">
        <v>24</v>
      </c>
      <c r="C3047" s="1">
        <v>0.0</v>
      </c>
      <c r="D3047" s="1" t="s">
        <v>25</v>
      </c>
      <c r="E3047" s="1" t="s">
        <v>26</v>
      </c>
      <c r="F3047" s="1">
        <v>48.0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1">
        <v>65.65</v>
      </c>
      <c r="T3047" s="1">
        <v>3094.65</v>
      </c>
      <c r="U3047" s="1">
        <v>0.0</v>
      </c>
      <c r="V3047" s="1">
        <v>0.0</v>
      </c>
      <c r="W3047" s="1" t="s">
        <v>26</v>
      </c>
    </row>
    <row r="3048" ht="15.75" customHeight="1">
      <c r="A3048" s="1" t="s">
        <v>3085</v>
      </c>
      <c r="B3048" s="1" t="s">
        <v>24</v>
      </c>
      <c r="C3048" s="1">
        <v>0.0</v>
      </c>
      <c r="D3048" s="1" t="s">
        <v>25</v>
      </c>
      <c r="E3048" s="1" t="s">
        <v>26</v>
      </c>
      <c r="F3048" s="1">
        <v>61.0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1">
        <v>103.3</v>
      </c>
      <c r="T3048" s="1">
        <v>6518.35</v>
      </c>
      <c r="U3048" s="1">
        <v>0.0</v>
      </c>
      <c r="V3048" s="1">
        <v>0.0</v>
      </c>
      <c r="W3048" s="1" t="s">
        <v>26</v>
      </c>
    </row>
    <row r="3049" ht="15.75" customHeight="1">
      <c r="A3049" s="1" t="s">
        <v>3086</v>
      </c>
      <c r="B3049" s="1" t="s">
        <v>24</v>
      </c>
      <c r="C3049" s="1">
        <v>0.0</v>
      </c>
      <c r="D3049" s="1" t="s">
        <v>25</v>
      </c>
      <c r="E3049" s="1" t="s">
        <v>26</v>
      </c>
      <c r="F3049" s="1">
        <v>32.0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1">
        <v>84.15</v>
      </c>
      <c r="T3049" s="1">
        <v>2585.95</v>
      </c>
      <c r="U3049" s="1">
        <v>0.0</v>
      </c>
      <c r="V3049" s="1">
        <v>5.0</v>
      </c>
      <c r="W3049" s="1" t="s">
        <v>25</v>
      </c>
    </row>
    <row r="3050" ht="15.75" customHeight="1">
      <c r="A3050" s="1" t="s">
        <v>3087</v>
      </c>
      <c r="B3050" s="1" t="s">
        <v>24</v>
      </c>
      <c r="C3050" s="1">
        <v>0.0</v>
      </c>
      <c r="D3050" s="1" t="s">
        <v>26</v>
      </c>
      <c r="E3050" s="1" t="s">
        <v>26</v>
      </c>
      <c r="F3050" s="1">
        <v>2.0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1">
        <v>44.45</v>
      </c>
      <c r="T3050" s="1">
        <v>82.7</v>
      </c>
      <c r="U3050" s="1">
        <v>0.0</v>
      </c>
      <c r="V3050" s="1">
        <v>0.0</v>
      </c>
      <c r="W3050" s="1" t="s">
        <v>26</v>
      </c>
    </row>
    <row r="3051" ht="15.75" customHeight="1">
      <c r="A3051" s="1" t="s">
        <v>3088</v>
      </c>
      <c r="B3051" s="1" t="s">
        <v>24</v>
      </c>
      <c r="C3051" s="1">
        <v>0.0</v>
      </c>
      <c r="D3051" s="1" t="s">
        <v>26</v>
      </c>
      <c r="E3051" s="1" t="s">
        <v>26</v>
      </c>
      <c r="F3051" s="1">
        <v>3.0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1">
        <v>19.75</v>
      </c>
      <c r="T3051" s="1">
        <v>58.85</v>
      </c>
      <c r="U3051" s="1">
        <v>0.0</v>
      </c>
      <c r="V3051" s="1">
        <v>0.0</v>
      </c>
      <c r="W3051" s="1" t="s">
        <v>25</v>
      </c>
    </row>
    <row r="3052" ht="15.75" customHeight="1">
      <c r="A3052" s="1" t="s">
        <v>3089</v>
      </c>
      <c r="B3052" s="1" t="s">
        <v>24</v>
      </c>
      <c r="C3052" s="1">
        <v>0.0</v>
      </c>
      <c r="D3052" s="1" t="s">
        <v>26</v>
      </c>
      <c r="E3052" s="1" t="s">
        <v>26</v>
      </c>
      <c r="F3052" s="1">
        <v>5.0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1">
        <v>85.4</v>
      </c>
      <c r="T3052" s="1">
        <v>425.9</v>
      </c>
      <c r="U3052" s="1">
        <v>0.0</v>
      </c>
      <c r="V3052" s="1">
        <v>0.0</v>
      </c>
      <c r="W3052" s="1" t="s">
        <v>25</v>
      </c>
    </row>
    <row r="3053" ht="15.75" customHeight="1">
      <c r="A3053" s="1" t="s">
        <v>3090</v>
      </c>
      <c r="B3053" s="1" t="s">
        <v>24</v>
      </c>
      <c r="C3053" s="1">
        <v>0.0</v>
      </c>
      <c r="D3053" s="1" t="s">
        <v>25</v>
      </c>
      <c r="E3053" s="1" t="s">
        <v>25</v>
      </c>
      <c r="F3053" s="1">
        <v>71.0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1">
        <v>89.9</v>
      </c>
      <c r="T3053" s="1">
        <v>6342.7</v>
      </c>
      <c r="U3053" s="1">
        <v>0.0</v>
      </c>
      <c r="V3053" s="1">
        <v>0.0</v>
      </c>
      <c r="W3053" s="1" t="s">
        <v>26</v>
      </c>
    </row>
    <row r="3054" ht="15.75" customHeight="1">
      <c r="A3054" s="1" t="s">
        <v>3091</v>
      </c>
      <c r="B3054" s="1" t="s">
        <v>32</v>
      </c>
      <c r="C3054" s="1">
        <v>0.0</v>
      </c>
      <c r="D3054" s="1" t="s">
        <v>25</v>
      </c>
      <c r="E3054" s="1" t="s">
        <v>26</v>
      </c>
      <c r="F3054" s="1">
        <v>37.0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1">
        <v>55.05</v>
      </c>
      <c r="T3054" s="1">
        <v>2030.75</v>
      </c>
      <c r="U3054" s="1">
        <v>0.0</v>
      </c>
      <c r="V3054" s="1">
        <v>0.0</v>
      </c>
      <c r="W3054" s="1" t="s">
        <v>26</v>
      </c>
    </row>
    <row r="3055" ht="15.75" customHeight="1">
      <c r="A3055" s="1" t="s">
        <v>3092</v>
      </c>
      <c r="B3055" s="1" t="s">
        <v>32</v>
      </c>
      <c r="C3055" s="1">
        <v>0.0</v>
      </c>
      <c r="D3055" s="1" t="s">
        <v>25</v>
      </c>
      <c r="E3055" s="1" t="s">
        <v>25</v>
      </c>
      <c r="F3055" s="1">
        <v>65.0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1">
        <v>104.1</v>
      </c>
      <c r="T3055" s="1">
        <v>6700.05</v>
      </c>
      <c r="U3055" s="1">
        <v>0.0</v>
      </c>
      <c r="V3055" s="1">
        <v>0.0</v>
      </c>
      <c r="W3055" s="1" t="s">
        <v>26</v>
      </c>
    </row>
    <row r="3056" ht="15.75" customHeight="1">
      <c r="A3056" s="1" t="s">
        <v>3093</v>
      </c>
      <c r="B3056" s="1" t="s">
        <v>24</v>
      </c>
      <c r="C3056" s="1">
        <v>0.0</v>
      </c>
      <c r="D3056" s="1" t="s">
        <v>26</v>
      </c>
      <c r="E3056" s="1" t="s">
        <v>25</v>
      </c>
      <c r="F3056" s="1">
        <v>67.0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1">
        <v>106.6</v>
      </c>
      <c r="T3056" s="1">
        <v>7244.7</v>
      </c>
      <c r="U3056" s="1">
        <v>0.0</v>
      </c>
      <c r="V3056" s="1">
        <v>0.0</v>
      </c>
      <c r="W3056" s="1" t="s">
        <v>26</v>
      </c>
    </row>
    <row r="3057" ht="15.75" customHeight="1">
      <c r="A3057" s="1" t="s">
        <v>3094</v>
      </c>
      <c r="B3057" s="1" t="s">
        <v>32</v>
      </c>
      <c r="C3057" s="1">
        <v>0.0</v>
      </c>
      <c r="D3057" s="1" t="s">
        <v>26</v>
      </c>
      <c r="E3057" s="1" t="s">
        <v>25</v>
      </c>
      <c r="F3057" s="1">
        <v>49.0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1">
        <v>75.2</v>
      </c>
      <c r="T3057" s="1">
        <v>3678.3</v>
      </c>
      <c r="U3057" s="1">
        <v>0.0</v>
      </c>
      <c r="V3057" s="1">
        <v>0.0</v>
      </c>
      <c r="W3057" s="1" t="s">
        <v>25</v>
      </c>
    </row>
    <row r="3058" ht="15.75" customHeight="1">
      <c r="A3058" s="1" t="s">
        <v>3095</v>
      </c>
      <c r="B3058" s="1" t="s">
        <v>32</v>
      </c>
      <c r="C3058" s="1">
        <v>0.0</v>
      </c>
      <c r="D3058" s="1" t="s">
        <v>25</v>
      </c>
      <c r="E3058" s="1" t="s">
        <v>25</v>
      </c>
      <c r="F3058" s="1">
        <v>50.0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1">
        <v>70.5</v>
      </c>
      <c r="T3058" s="1">
        <v>3486.65</v>
      </c>
      <c r="U3058" s="1">
        <v>4.0</v>
      </c>
      <c r="V3058" s="1">
        <v>0.0</v>
      </c>
      <c r="W3058" s="1" t="s">
        <v>26</v>
      </c>
    </row>
    <row r="3059" ht="15.75" customHeight="1">
      <c r="A3059" s="1" t="s">
        <v>3096</v>
      </c>
      <c r="B3059" s="1" t="s">
        <v>32</v>
      </c>
      <c r="C3059" s="1">
        <v>0.0</v>
      </c>
      <c r="D3059" s="1" t="s">
        <v>25</v>
      </c>
      <c r="E3059" s="1" t="s">
        <v>25</v>
      </c>
      <c r="F3059" s="1">
        <v>25.0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1">
        <v>19.6</v>
      </c>
      <c r="T3059" s="1">
        <v>411.15</v>
      </c>
      <c r="U3059" s="1">
        <v>0.0</v>
      </c>
      <c r="V3059" s="1">
        <v>0.0</v>
      </c>
      <c r="W3059" s="1" t="s">
        <v>26</v>
      </c>
    </row>
    <row r="3060" ht="15.75" customHeight="1">
      <c r="A3060" s="1" t="s">
        <v>3097</v>
      </c>
      <c r="B3060" s="1" t="s">
        <v>24</v>
      </c>
      <c r="C3060" s="1">
        <v>0.0</v>
      </c>
      <c r="D3060" s="1" t="s">
        <v>26</v>
      </c>
      <c r="E3060" s="1" t="s">
        <v>25</v>
      </c>
      <c r="F3060" s="1">
        <v>17.0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1">
        <v>55.85</v>
      </c>
      <c r="T3060" s="1">
        <v>937.5</v>
      </c>
      <c r="U3060" s="1">
        <v>0.0</v>
      </c>
      <c r="V3060" s="1">
        <v>0.0</v>
      </c>
      <c r="W3060" s="1" t="s">
        <v>25</v>
      </c>
    </row>
    <row r="3061" ht="15.75" customHeight="1">
      <c r="A3061" s="1" t="s">
        <v>3098</v>
      </c>
      <c r="B3061" s="1" t="s">
        <v>24</v>
      </c>
      <c r="C3061" s="1">
        <v>0.0</v>
      </c>
      <c r="D3061" s="1" t="s">
        <v>25</v>
      </c>
      <c r="E3061" s="1" t="s">
        <v>25</v>
      </c>
      <c r="F3061" s="1">
        <v>64.0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1">
        <v>24.05</v>
      </c>
      <c r="T3061" s="1">
        <v>1559.15</v>
      </c>
      <c r="U3061" s="1">
        <v>0.0</v>
      </c>
      <c r="V3061" s="1">
        <v>0.0</v>
      </c>
      <c r="W3061" s="1" t="s">
        <v>26</v>
      </c>
    </row>
    <row r="3062" ht="15.75" customHeight="1">
      <c r="A3062" s="1" t="s">
        <v>3099</v>
      </c>
      <c r="B3062" s="1" t="s">
        <v>32</v>
      </c>
      <c r="C3062" s="1">
        <v>0.0</v>
      </c>
      <c r="D3062" s="1" t="s">
        <v>25</v>
      </c>
      <c r="E3062" s="1" t="s">
        <v>26</v>
      </c>
      <c r="F3062" s="1">
        <v>25.0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1">
        <v>38.1</v>
      </c>
      <c r="T3062" s="1">
        <v>970.4</v>
      </c>
      <c r="U3062" s="1">
        <v>0.0</v>
      </c>
      <c r="V3062" s="1">
        <v>0.0</v>
      </c>
      <c r="W3062" s="1" t="s">
        <v>26</v>
      </c>
    </row>
    <row r="3063" ht="15.75" customHeight="1">
      <c r="A3063" s="1" t="s">
        <v>3100</v>
      </c>
      <c r="B3063" s="1" t="s">
        <v>32</v>
      </c>
      <c r="C3063" s="1">
        <v>1.0</v>
      </c>
      <c r="D3063" s="1" t="s">
        <v>26</v>
      </c>
      <c r="E3063" s="1" t="s">
        <v>26</v>
      </c>
      <c r="F3063" s="1">
        <v>23.0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1">
        <v>106.4</v>
      </c>
      <c r="T3063" s="1">
        <v>2483.5</v>
      </c>
      <c r="U3063" s="1">
        <v>0.0</v>
      </c>
      <c r="V3063" s="1">
        <v>1.0</v>
      </c>
      <c r="W3063" s="1" t="s">
        <v>25</v>
      </c>
    </row>
    <row r="3064" ht="15.75" customHeight="1">
      <c r="A3064" s="1" t="s">
        <v>3101</v>
      </c>
      <c r="B3064" s="1" t="s">
        <v>32</v>
      </c>
      <c r="C3064" s="1">
        <v>1.0</v>
      </c>
      <c r="D3064" s="1" t="s">
        <v>25</v>
      </c>
      <c r="E3064" s="1" t="s">
        <v>26</v>
      </c>
      <c r="F3064" s="1">
        <v>24.0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1">
        <v>34.25</v>
      </c>
      <c r="T3064" s="1">
        <v>828.2</v>
      </c>
      <c r="U3064" s="1">
        <v>0.0</v>
      </c>
      <c r="V3064" s="1">
        <v>0.0</v>
      </c>
      <c r="W3064" s="1" t="s">
        <v>26</v>
      </c>
    </row>
    <row r="3065" ht="15.75" customHeight="1">
      <c r="A3065" s="1" t="s">
        <v>3102</v>
      </c>
      <c r="B3065" s="1" t="s">
        <v>24</v>
      </c>
      <c r="C3065" s="1">
        <v>0.0</v>
      </c>
      <c r="D3065" s="1" t="s">
        <v>26</v>
      </c>
      <c r="E3065" s="1" t="s">
        <v>26</v>
      </c>
      <c r="F3065" s="1">
        <v>37.0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1">
        <v>100.05</v>
      </c>
      <c r="T3065" s="1">
        <v>3810.55</v>
      </c>
      <c r="U3065" s="1">
        <v>0.0</v>
      </c>
      <c r="V3065" s="1">
        <v>0.0</v>
      </c>
      <c r="W3065" s="1" t="s">
        <v>26</v>
      </c>
    </row>
    <row r="3066" ht="15.75" customHeight="1">
      <c r="A3066" s="1" t="s">
        <v>3103</v>
      </c>
      <c r="B3066" s="1" t="s">
        <v>24</v>
      </c>
      <c r="C3066" s="1">
        <v>0.0</v>
      </c>
      <c r="D3066" s="1" t="s">
        <v>26</v>
      </c>
      <c r="E3066" s="1" t="s">
        <v>26</v>
      </c>
      <c r="F3066" s="1">
        <v>21.0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1">
        <v>68.65</v>
      </c>
      <c r="T3066" s="1">
        <v>1493.2</v>
      </c>
      <c r="U3066" s="1">
        <v>0.0</v>
      </c>
      <c r="V3066" s="1">
        <v>0.0</v>
      </c>
      <c r="W3066" s="1" t="s">
        <v>26</v>
      </c>
    </row>
    <row r="3067" ht="15.75" customHeight="1">
      <c r="A3067" s="1" t="s">
        <v>3104</v>
      </c>
      <c r="B3067" s="1" t="s">
        <v>32</v>
      </c>
      <c r="C3067" s="1">
        <v>0.0</v>
      </c>
      <c r="D3067" s="1" t="s">
        <v>26</v>
      </c>
      <c r="E3067" s="1" t="s">
        <v>26</v>
      </c>
      <c r="F3067" s="1">
        <v>1.0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1">
        <v>45.8</v>
      </c>
      <c r="T3067" s="1">
        <v>45.8</v>
      </c>
      <c r="U3067" s="1">
        <v>0.0</v>
      </c>
      <c r="V3067" s="1">
        <v>0.0</v>
      </c>
      <c r="W3067" s="1" t="s">
        <v>26</v>
      </c>
    </row>
    <row r="3068" ht="15.75" customHeight="1">
      <c r="A3068" s="1" t="s">
        <v>3105</v>
      </c>
      <c r="B3068" s="1" t="s">
        <v>24</v>
      </c>
      <c r="C3068" s="1">
        <v>0.0</v>
      </c>
      <c r="D3068" s="1" t="s">
        <v>26</v>
      </c>
      <c r="E3068" s="1" t="s">
        <v>26</v>
      </c>
      <c r="F3068" s="1">
        <v>10.0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1">
        <v>75.75</v>
      </c>
      <c r="T3068" s="1">
        <v>777.3</v>
      </c>
      <c r="U3068" s="1">
        <v>0.0</v>
      </c>
      <c r="V3068" s="1">
        <v>0.0</v>
      </c>
      <c r="W3068" s="1" t="s">
        <v>26</v>
      </c>
    </row>
    <row r="3069" ht="15.75" customHeight="1">
      <c r="A3069" s="1" t="s">
        <v>3106</v>
      </c>
      <c r="B3069" s="1" t="s">
        <v>32</v>
      </c>
      <c r="C3069" s="1">
        <v>0.0</v>
      </c>
      <c r="D3069" s="1" t="s">
        <v>26</v>
      </c>
      <c r="E3069" s="1" t="s">
        <v>26</v>
      </c>
      <c r="F3069" s="1">
        <v>6.0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1">
        <v>84.4</v>
      </c>
      <c r="T3069" s="1">
        <v>556.35</v>
      </c>
      <c r="U3069" s="1">
        <v>0.0</v>
      </c>
      <c r="V3069" s="1">
        <v>1.0</v>
      </c>
      <c r="W3069" s="1" t="s">
        <v>25</v>
      </c>
    </row>
    <row r="3070" ht="15.75" customHeight="1">
      <c r="A3070" s="1" t="s">
        <v>3107</v>
      </c>
      <c r="B3070" s="1" t="s">
        <v>32</v>
      </c>
      <c r="C3070" s="1">
        <v>0.0</v>
      </c>
      <c r="D3070" s="1" t="s">
        <v>25</v>
      </c>
      <c r="E3070" s="1" t="s">
        <v>26</v>
      </c>
      <c r="F3070" s="1">
        <v>51.0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1">
        <v>96.4</v>
      </c>
      <c r="T3070" s="1">
        <v>4911.05</v>
      </c>
      <c r="U3070" s="1">
        <v>0.0</v>
      </c>
      <c r="V3070" s="1">
        <v>0.0</v>
      </c>
      <c r="W3070" s="1" t="s">
        <v>26</v>
      </c>
    </row>
    <row r="3071" ht="15.75" customHeight="1">
      <c r="A3071" s="1" t="s">
        <v>3108</v>
      </c>
      <c r="B3071" s="1" t="s">
        <v>24</v>
      </c>
      <c r="C3071" s="1">
        <v>0.0</v>
      </c>
      <c r="D3071" s="1" t="s">
        <v>26</v>
      </c>
      <c r="E3071" s="1" t="s">
        <v>26</v>
      </c>
      <c r="F3071" s="1">
        <v>10.0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1">
        <v>20.55</v>
      </c>
      <c r="T3071" s="1">
        <v>187.35</v>
      </c>
      <c r="U3071" s="1">
        <v>0.0</v>
      </c>
      <c r="V3071" s="1">
        <v>0.0</v>
      </c>
      <c r="W3071" s="1" t="s">
        <v>26</v>
      </c>
    </row>
    <row r="3072" ht="15.75" customHeight="1">
      <c r="A3072" s="1" t="s">
        <v>3109</v>
      </c>
      <c r="B3072" s="1" t="s">
        <v>24</v>
      </c>
      <c r="C3072" s="1">
        <v>0.0</v>
      </c>
      <c r="D3072" s="1" t="s">
        <v>26</v>
      </c>
      <c r="E3072" s="1" t="s">
        <v>26</v>
      </c>
      <c r="F3072" s="1">
        <v>6.0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1">
        <v>50.95</v>
      </c>
      <c r="T3072" s="1">
        <v>307.6</v>
      </c>
      <c r="U3072" s="1">
        <v>0.0</v>
      </c>
      <c r="V3072" s="1">
        <v>0.0</v>
      </c>
      <c r="W3072" s="1" t="s">
        <v>26</v>
      </c>
    </row>
    <row r="3073" ht="15.75" customHeight="1">
      <c r="A3073" s="1" t="s">
        <v>3110</v>
      </c>
      <c r="B3073" s="1" t="s">
        <v>32</v>
      </c>
      <c r="C3073" s="1">
        <v>0.0</v>
      </c>
      <c r="D3073" s="1" t="s">
        <v>25</v>
      </c>
      <c r="E3073" s="1" t="s">
        <v>25</v>
      </c>
      <c r="F3073" s="1">
        <v>47.0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1">
        <v>90.5</v>
      </c>
      <c r="T3073" s="1">
        <v>4318.35</v>
      </c>
      <c r="U3073" s="1">
        <v>0.0</v>
      </c>
      <c r="V3073" s="1">
        <v>0.0</v>
      </c>
      <c r="W3073" s="1" t="s">
        <v>26</v>
      </c>
    </row>
    <row r="3074" ht="15.75" customHeight="1">
      <c r="A3074" s="1" t="s">
        <v>3111</v>
      </c>
      <c r="B3074" s="1" t="s">
        <v>24</v>
      </c>
      <c r="C3074" s="1">
        <v>0.0</v>
      </c>
      <c r="D3074" s="1" t="s">
        <v>25</v>
      </c>
      <c r="E3074" s="1" t="s">
        <v>25</v>
      </c>
      <c r="F3074" s="1">
        <v>61.0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1">
        <v>79.4</v>
      </c>
      <c r="T3074" s="1">
        <v>4820.55</v>
      </c>
      <c r="U3074" s="1">
        <v>1.0</v>
      </c>
      <c r="V3074" s="1">
        <v>0.0</v>
      </c>
      <c r="W3074" s="1" t="s">
        <v>26</v>
      </c>
    </row>
    <row r="3075" ht="15.75" customHeight="1">
      <c r="A3075" s="1" t="s">
        <v>3112</v>
      </c>
      <c r="B3075" s="1" t="s">
        <v>24</v>
      </c>
      <c r="C3075" s="1">
        <v>0.0</v>
      </c>
      <c r="D3075" s="1" t="s">
        <v>26</v>
      </c>
      <c r="E3075" s="1" t="s">
        <v>26</v>
      </c>
      <c r="F3075" s="1">
        <v>52.0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1">
        <v>58.75</v>
      </c>
      <c r="T3075" s="1">
        <v>3038.55</v>
      </c>
      <c r="U3075" s="1">
        <v>0.0</v>
      </c>
      <c r="V3075" s="1">
        <v>0.0</v>
      </c>
      <c r="W3075" s="1" t="s">
        <v>26</v>
      </c>
    </row>
    <row r="3076" ht="15.75" customHeight="1">
      <c r="A3076" s="1" t="s">
        <v>3113</v>
      </c>
      <c r="B3076" s="1" t="s">
        <v>24</v>
      </c>
      <c r="C3076" s="1">
        <v>0.0</v>
      </c>
      <c r="D3076" s="1" t="s">
        <v>25</v>
      </c>
      <c r="E3076" s="1" t="s">
        <v>25</v>
      </c>
      <c r="F3076" s="1">
        <v>35.0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1">
        <v>59.45</v>
      </c>
      <c r="T3076" s="1">
        <v>2136.9</v>
      </c>
      <c r="U3076" s="1">
        <v>0.0</v>
      </c>
      <c r="V3076" s="1">
        <v>0.0</v>
      </c>
      <c r="W3076" s="1" t="s">
        <v>26</v>
      </c>
    </row>
    <row r="3077" ht="15.75" customHeight="1">
      <c r="A3077" s="1" t="s">
        <v>3114</v>
      </c>
      <c r="B3077" s="1" t="s">
        <v>32</v>
      </c>
      <c r="C3077" s="1">
        <v>0.0</v>
      </c>
      <c r="D3077" s="1" t="s">
        <v>25</v>
      </c>
      <c r="E3077" s="1" t="s">
        <v>26</v>
      </c>
      <c r="F3077" s="1">
        <v>71.0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1">
        <v>105.7</v>
      </c>
      <c r="T3077" s="1">
        <v>7472.15</v>
      </c>
      <c r="U3077" s="1">
        <v>1.0</v>
      </c>
      <c r="V3077" s="1">
        <v>0.0</v>
      </c>
      <c r="W3077" s="1" t="s">
        <v>26</v>
      </c>
    </row>
    <row r="3078" ht="15.75" customHeight="1">
      <c r="A3078" s="1" t="s">
        <v>3115</v>
      </c>
      <c r="B3078" s="1" t="s">
        <v>24</v>
      </c>
      <c r="C3078" s="1">
        <v>0.0</v>
      </c>
      <c r="D3078" s="1" t="s">
        <v>26</v>
      </c>
      <c r="E3078" s="1" t="s">
        <v>26</v>
      </c>
      <c r="F3078" s="1">
        <v>6.0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1">
        <v>56.25</v>
      </c>
      <c r="T3078" s="1">
        <v>389.1</v>
      </c>
      <c r="U3078" s="1">
        <v>0.0</v>
      </c>
      <c r="V3078" s="1">
        <v>0.0</v>
      </c>
      <c r="W3078" s="1" t="s">
        <v>25</v>
      </c>
    </row>
    <row r="3079" ht="15.75" customHeight="1">
      <c r="A3079" s="1" t="s">
        <v>3116</v>
      </c>
      <c r="B3079" s="1" t="s">
        <v>32</v>
      </c>
      <c r="C3079" s="1">
        <v>0.0</v>
      </c>
      <c r="D3079" s="1" t="s">
        <v>25</v>
      </c>
      <c r="E3079" s="1" t="s">
        <v>26</v>
      </c>
      <c r="F3079" s="1">
        <v>45.0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1">
        <v>53.3</v>
      </c>
      <c r="T3079" s="1">
        <v>2296.25</v>
      </c>
      <c r="U3079" s="1">
        <v>0.0</v>
      </c>
      <c r="V3079" s="1">
        <v>0.0</v>
      </c>
      <c r="W3079" s="1" t="s">
        <v>26</v>
      </c>
    </row>
    <row r="3080" ht="15.75" customHeight="1">
      <c r="A3080" s="1" t="s">
        <v>3117</v>
      </c>
      <c r="B3080" s="1" t="s">
        <v>24</v>
      </c>
      <c r="C3080" s="1">
        <v>1.0</v>
      </c>
      <c r="D3080" s="1" t="s">
        <v>26</v>
      </c>
      <c r="E3080" s="1" t="s">
        <v>26</v>
      </c>
      <c r="F3080" s="1">
        <v>2.0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1">
        <v>85.55</v>
      </c>
      <c r="T3080" s="1">
        <v>187.45</v>
      </c>
      <c r="U3080" s="1">
        <v>0.0</v>
      </c>
      <c r="V3080" s="1">
        <v>0.0</v>
      </c>
      <c r="W3080" s="1" t="s">
        <v>25</v>
      </c>
    </row>
    <row r="3081" ht="15.75" customHeight="1">
      <c r="A3081" s="1" t="s">
        <v>3118</v>
      </c>
      <c r="B3081" s="1" t="s">
        <v>24</v>
      </c>
      <c r="C3081" s="1">
        <v>0.0</v>
      </c>
      <c r="D3081" s="1" t="s">
        <v>26</v>
      </c>
      <c r="E3081" s="1" t="s">
        <v>26</v>
      </c>
      <c r="F3081" s="1">
        <v>4.0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1">
        <v>68.65</v>
      </c>
      <c r="T3081" s="1">
        <v>261.25</v>
      </c>
      <c r="U3081" s="1">
        <v>4.0</v>
      </c>
      <c r="V3081" s="1">
        <v>1.0</v>
      </c>
      <c r="W3081" s="1" t="s">
        <v>25</v>
      </c>
    </row>
    <row r="3082" ht="15.75" customHeight="1">
      <c r="A3082" s="1" t="s">
        <v>3119</v>
      </c>
      <c r="B3082" s="1" t="s">
        <v>32</v>
      </c>
      <c r="C3082" s="1">
        <v>0.0</v>
      </c>
      <c r="D3082" s="1" t="s">
        <v>26</v>
      </c>
      <c r="E3082" s="1" t="s">
        <v>26</v>
      </c>
      <c r="F3082" s="1">
        <v>2.0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1">
        <v>24.3</v>
      </c>
      <c r="T3082" s="1">
        <v>38.45</v>
      </c>
      <c r="U3082" s="1">
        <v>0.0</v>
      </c>
      <c r="V3082" s="1">
        <v>0.0</v>
      </c>
      <c r="W3082" s="1" t="s">
        <v>26</v>
      </c>
    </row>
    <row r="3083" ht="15.75" customHeight="1">
      <c r="A3083" s="1" t="s">
        <v>3120</v>
      </c>
      <c r="B3083" s="1" t="s">
        <v>32</v>
      </c>
      <c r="C3083" s="1">
        <v>0.0</v>
      </c>
      <c r="D3083" s="1" t="s">
        <v>26</v>
      </c>
      <c r="E3083" s="1" t="s">
        <v>26</v>
      </c>
      <c r="F3083" s="1">
        <v>4.0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1">
        <v>77.85</v>
      </c>
      <c r="T3083" s="1">
        <v>299.2</v>
      </c>
      <c r="U3083" s="1">
        <v>0.0</v>
      </c>
      <c r="V3083" s="1">
        <v>0.0</v>
      </c>
      <c r="W3083" s="1" t="s">
        <v>25</v>
      </c>
    </row>
    <row r="3084" ht="15.75" customHeight="1">
      <c r="A3084" s="1" t="s">
        <v>3121</v>
      </c>
      <c r="B3084" s="1" t="s">
        <v>32</v>
      </c>
      <c r="C3084" s="1">
        <v>0.0</v>
      </c>
      <c r="D3084" s="1" t="s">
        <v>26</v>
      </c>
      <c r="E3084" s="1" t="s">
        <v>26</v>
      </c>
      <c r="F3084" s="1">
        <v>51.0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1">
        <v>59.9</v>
      </c>
      <c r="T3084" s="1">
        <v>3043.6</v>
      </c>
      <c r="U3084" s="1">
        <v>0.0</v>
      </c>
      <c r="V3084" s="1">
        <v>0.0</v>
      </c>
      <c r="W3084" s="1" t="s">
        <v>26</v>
      </c>
    </row>
    <row r="3085" ht="15.75" customHeight="1">
      <c r="A3085" s="1" t="s">
        <v>3122</v>
      </c>
      <c r="B3085" s="1" t="s">
        <v>32</v>
      </c>
      <c r="C3085" s="1">
        <v>0.0</v>
      </c>
      <c r="D3085" s="1" t="s">
        <v>25</v>
      </c>
      <c r="E3085" s="1" t="s">
        <v>25</v>
      </c>
      <c r="F3085" s="1">
        <v>60.0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1">
        <v>23.95</v>
      </c>
      <c r="T3085" s="1">
        <v>1506.4</v>
      </c>
      <c r="U3085" s="1">
        <v>0.0</v>
      </c>
      <c r="V3085" s="1">
        <v>0.0</v>
      </c>
      <c r="W3085" s="1" t="s">
        <v>26</v>
      </c>
    </row>
    <row r="3086" ht="15.75" customHeight="1">
      <c r="A3086" s="1" t="s">
        <v>3123</v>
      </c>
      <c r="B3086" s="1" t="s">
        <v>32</v>
      </c>
      <c r="C3086" s="1">
        <v>0.0</v>
      </c>
      <c r="D3086" s="1" t="s">
        <v>26</v>
      </c>
      <c r="E3086" s="1" t="s">
        <v>26</v>
      </c>
      <c r="F3086" s="1">
        <v>9.0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1">
        <v>20.15</v>
      </c>
      <c r="T3086" s="1">
        <v>163.7</v>
      </c>
      <c r="U3086" s="1">
        <v>0.0</v>
      </c>
      <c r="V3086" s="1">
        <v>0.0</v>
      </c>
      <c r="W3086" s="1" t="s">
        <v>26</v>
      </c>
    </row>
    <row r="3087" ht="15.75" customHeight="1">
      <c r="A3087" s="1" t="s">
        <v>3124</v>
      </c>
      <c r="B3087" s="1" t="s">
        <v>32</v>
      </c>
      <c r="C3087" s="1">
        <v>0.0</v>
      </c>
      <c r="D3087" s="1" t="s">
        <v>26</v>
      </c>
      <c r="E3087" s="1" t="s">
        <v>26</v>
      </c>
      <c r="F3087" s="1">
        <v>3.0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1">
        <v>105.35</v>
      </c>
      <c r="T3087" s="1">
        <v>323.25</v>
      </c>
      <c r="U3087" s="1">
        <v>0.0</v>
      </c>
      <c r="V3087" s="1">
        <v>1.0</v>
      </c>
      <c r="W3087" s="1" t="s">
        <v>25</v>
      </c>
    </row>
    <row r="3088" ht="15.75" customHeight="1">
      <c r="A3088" s="1" t="s">
        <v>3125</v>
      </c>
      <c r="B3088" s="1" t="s">
        <v>32</v>
      </c>
      <c r="C3088" s="1">
        <v>0.0</v>
      </c>
      <c r="D3088" s="1" t="s">
        <v>26</v>
      </c>
      <c r="E3088" s="1" t="s">
        <v>26</v>
      </c>
      <c r="F3088" s="1">
        <v>17.0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1">
        <v>95.65</v>
      </c>
      <c r="T3088" s="1">
        <v>1640.0</v>
      </c>
      <c r="U3088" s="1">
        <v>0.0</v>
      </c>
      <c r="V3088" s="1">
        <v>0.0</v>
      </c>
      <c r="W3088" s="1" t="s">
        <v>26</v>
      </c>
    </row>
    <row r="3089" ht="15.75" customHeight="1">
      <c r="A3089" s="1" t="s">
        <v>3126</v>
      </c>
      <c r="B3089" s="1" t="s">
        <v>24</v>
      </c>
      <c r="C3089" s="1">
        <v>0.0</v>
      </c>
      <c r="D3089" s="1" t="s">
        <v>26</v>
      </c>
      <c r="E3089" s="1" t="s">
        <v>26</v>
      </c>
      <c r="F3089" s="1">
        <v>8.0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1">
        <v>87.05</v>
      </c>
      <c r="T3089" s="1">
        <v>762.1</v>
      </c>
      <c r="U3089" s="1">
        <v>1.0</v>
      </c>
      <c r="V3089" s="1">
        <v>0.0</v>
      </c>
      <c r="W3089" s="1" t="s">
        <v>25</v>
      </c>
    </row>
    <row r="3090" ht="15.75" customHeight="1">
      <c r="A3090" s="1" t="s">
        <v>3127</v>
      </c>
      <c r="B3090" s="1" t="s">
        <v>32</v>
      </c>
      <c r="C3090" s="1">
        <v>0.0</v>
      </c>
      <c r="D3090" s="1" t="s">
        <v>25</v>
      </c>
      <c r="E3090" s="1" t="s">
        <v>25</v>
      </c>
      <c r="F3090" s="1">
        <v>46.0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1">
        <v>81.0</v>
      </c>
      <c r="T3090" s="1">
        <v>3846.35</v>
      </c>
      <c r="U3090" s="1">
        <v>0.0</v>
      </c>
      <c r="V3090" s="1">
        <v>0.0</v>
      </c>
      <c r="W3090" s="1" t="s">
        <v>26</v>
      </c>
    </row>
    <row r="3091" ht="15.75" customHeight="1">
      <c r="A3091" s="1" t="s">
        <v>3128</v>
      </c>
      <c r="B3091" s="1" t="s">
        <v>24</v>
      </c>
      <c r="C3091" s="1">
        <v>0.0</v>
      </c>
      <c r="D3091" s="1" t="s">
        <v>26</v>
      </c>
      <c r="E3091" s="1" t="s">
        <v>26</v>
      </c>
      <c r="F3091" s="1">
        <v>68.0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1">
        <v>82.45</v>
      </c>
      <c r="T3091" s="1">
        <v>5646.6</v>
      </c>
      <c r="U3091" s="1">
        <v>0.0</v>
      </c>
      <c r="V3091" s="1">
        <v>0.0</v>
      </c>
      <c r="W3091" s="1" t="s">
        <v>26</v>
      </c>
    </row>
    <row r="3092" ht="15.75" customHeight="1">
      <c r="A3092" s="1" t="s">
        <v>3129</v>
      </c>
      <c r="B3092" s="1" t="s">
        <v>32</v>
      </c>
      <c r="C3092" s="1">
        <v>0.0</v>
      </c>
      <c r="D3092" s="1" t="s">
        <v>26</v>
      </c>
      <c r="E3092" s="1" t="s">
        <v>26</v>
      </c>
      <c r="F3092" s="1">
        <v>1.0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1">
        <v>53.5</v>
      </c>
      <c r="T3092" s="1">
        <v>53.5</v>
      </c>
      <c r="U3092" s="1">
        <v>0.0</v>
      </c>
      <c r="V3092" s="1">
        <v>0.0</v>
      </c>
      <c r="W3092" s="1" t="s">
        <v>25</v>
      </c>
    </row>
    <row r="3093" ht="15.75" customHeight="1">
      <c r="A3093" s="1" t="s">
        <v>3130</v>
      </c>
      <c r="B3093" s="1" t="s">
        <v>24</v>
      </c>
      <c r="C3093" s="1">
        <v>0.0</v>
      </c>
      <c r="D3093" s="1" t="s">
        <v>25</v>
      </c>
      <c r="E3093" s="1" t="s">
        <v>26</v>
      </c>
      <c r="F3093" s="1">
        <v>4.0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1">
        <v>20.5</v>
      </c>
      <c r="T3093" s="1">
        <v>79.05</v>
      </c>
      <c r="U3093" s="1">
        <v>0.0</v>
      </c>
      <c r="V3093" s="1">
        <v>0.0</v>
      </c>
      <c r="W3093" s="1" t="s">
        <v>26</v>
      </c>
    </row>
    <row r="3094" ht="15.75" customHeight="1">
      <c r="A3094" s="1" t="s">
        <v>3131</v>
      </c>
      <c r="B3094" s="1" t="s">
        <v>24</v>
      </c>
      <c r="C3094" s="1">
        <v>0.0</v>
      </c>
      <c r="D3094" s="1" t="s">
        <v>26</v>
      </c>
      <c r="E3094" s="1" t="s">
        <v>26</v>
      </c>
      <c r="F3094" s="1">
        <v>1.0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1">
        <v>25.1</v>
      </c>
      <c r="T3094" s="1">
        <v>25.1</v>
      </c>
      <c r="U3094" s="1">
        <v>0.0</v>
      </c>
      <c r="V3094" s="1">
        <v>0.0</v>
      </c>
      <c r="W3094" s="1" t="s">
        <v>25</v>
      </c>
    </row>
    <row r="3095" ht="15.75" customHeight="1">
      <c r="A3095" s="1" t="s">
        <v>3132</v>
      </c>
      <c r="B3095" s="1" t="s">
        <v>32</v>
      </c>
      <c r="C3095" s="1">
        <v>0.0</v>
      </c>
      <c r="D3095" s="1" t="s">
        <v>26</v>
      </c>
      <c r="E3095" s="1" t="s">
        <v>25</v>
      </c>
      <c r="F3095" s="1">
        <v>28.0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1">
        <v>54.4</v>
      </c>
      <c r="T3095" s="1">
        <v>1516.6</v>
      </c>
      <c r="U3095" s="1">
        <v>0.0</v>
      </c>
      <c r="V3095" s="1">
        <v>0.0</v>
      </c>
      <c r="W3095" s="1" t="s">
        <v>26</v>
      </c>
    </row>
    <row r="3096" ht="15.75" customHeight="1">
      <c r="A3096" s="1" t="s">
        <v>3133</v>
      </c>
      <c r="B3096" s="1" t="s">
        <v>24</v>
      </c>
      <c r="C3096" s="1">
        <v>0.0</v>
      </c>
      <c r="D3096" s="1" t="s">
        <v>26</v>
      </c>
      <c r="E3096" s="1" t="s">
        <v>26</v>
      </c>
      <c r="F3096" s="1">
        <v>39.0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1">
        <v>58.6</v>
      </c>
      <c r="T3096" s="1">
        <v>2224.5</v>
      </c>
      <c r="U3096" s="1">
        <v>0.0</v>
      </c>
      <c r="V3096" s="1">
        <v>1.0</v>
      </c>
      <c r="W3096" s="1" t="s">
        <v>26</v>
      </c>
    </row>
    <row r="3097" ht="15.75" customHeight="1">
      <c r="A3097" s="1" t="s">
        <v>3134</v>
      </c>
      <c r="B3097" s="1" t="s">
        <v>32</v>
      </c>
      <c r="C3097" s="1">
        <v>0.0</v>
      </c>
      <c r="D3097" s="1" t="s">
        <v>26</v>
      </c>
      <c r="E3097" s="1" t="s">
        <v>26</v>
      </c>
      <c r="F3097" s="1">
        <v>11.0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1">
        <v>84.8</v>
      </c>
      <c r="T3097" s="1">
        <v>888.75</v>
      </c>
      <c r="U3097" s="1">
        <v>0.0</v>
      </c>
      <c r="V3097" s="1">
        <v>0.0</v>
      </c>
      <c r="W3097" s="1" t="s">
        <v>26</v>
      </c>
    </row>
    <row r="3098" ht="15.75" customHeight="1">
      <c r="A3098" s="1" t="s">
        <v>3135</v>
      </c>
      <c r="B3098" s="1" t="s">
        <v>24</v>
      </c>
      <c r="C3098" s="1">
        <v>0.0</v>
      </c>
      <c r="D3098" s="1" t="s">
        <v>25</v>
      </c>
      <c r="E3098" s="1" t="s">
        <v>26</v>
      </c>
      <c r="F3098" s="1">
        <v>71.0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1">
        <v>61.4</v>
      </c>
      <c r="T3098" s="1">
        <v>4310.35</v>
      </c>
      <c r="U3098" s="1">
        <v>0.0</v>
      </c>
      <c r="V3098" s="1">
        <v>0.0</v>
      </c>
      <c r="W3098" s="1" t="s">
        <v>26</v>
      </c>
    </row>
    <row r="3099" ht="15.75" customHeight="1">
      <c r="A3099" s="1" t="s">
        <v>3136</v>
      </c>
      <c r="B3099" s="1" t="s">
        <v>32</v>
      </c>
      <c r="C3099" s="1">
        <v>0.0</v>
      </c>
      <c r="D3099" s="1" t="s">
        <v>26</v>
      </c>
      <c r="E3099" s="1" t="s">
        <v>25</v>
      </c>
      <c r="F3099" s="1">
        <v>2.0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1">
        <v>20.4</v>
      </c>
      <c r="T3099" s="1">
        <v>42.9</v>
      </c>
      <c r="U3099" s="1">
        <v>0.0</v>
      </c>
      <c r="V3099" s="1">
        <v>0.0</v>
      </c>
      <c r="W3099" s="1" t="s">
        <v>26</v>
      </c>
    </row>
    <row r="3100" ht="15.75" customHeight="1">
      <c r="A3100" s="1" t="s">
        <v>3137</v>
      </c>
      <c r="B3100" s="1" t="s">
        <v>32</v>
      </c>
      <c r="C3100" s="1">
        <v>1.0</v>
      </c>
      <c r="D3100" s="1" t="s">
        <v>25</v>
      </c>
      <c r="E3100" s="1" t="s">
        <v>26</v>
      </c>
      <c r="F3100" s="1">
        <v>30.0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1">
        <v>79.65</v>
      </c>
      <c r="T3100" s="1">
        <v>2365.15</v>
      </c>
      <c r="U3100" s="1">
        <v>0.0</v>
      </c>
      <c r="V3100" s="1">
        <v>3.0</v>
      </c>
      <c r="W3100" s="1" t="s">
        <v>25</v>
      </c>
    </row>
    <row r="3101" ht="15.75" customHeight="1">
      <c r="A3101" s="1" t="s">
        <v>3138</v>
      </c>
      <c r="B3101" s="1" t="s">
        <v>24</v>
      </c>
      <c r="C3101" s="1">
        <v>0.0</v>
      </c>
      <c r="D3101" s="1" t="s">
        <v>26</v>
      </c>
      <c r="E3101" s="1" t="s">
        <v>26</v>
      </c>
      <c r="F3101" s="1">
        <v>17.0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1">
        <v>20.15</v>
      </c>
      <c r="T3101" s="1">
        <v>353.65</v>
      </c>
      <c r="U3101" s="1">
        <v>0.0</v>
      </c>
      <c r="V3101" s="1">
        <v>0.0</v>
      </c>
      <c r="W3101" s="1" t="s">
        <v>26</v>
      </c>
    </row>
    <row r="3102" ht="15.75" customHeight="1">
      <c r="A3102" s="1" t="s">
        <v>3139</v>
      </c>
      <c r="B3102" s="1" t="s">
        <v>24</v>
      </c>
      <c r="C3102" s="1">
        <v>0.0</v>
      </c>
      <c r="D3102" s="1" t="s">
        <v>25</v>
      </c>
      <c r="E3102" s="1" t="s">
        <v>26</v>
      </c>
      <c r="F3102" s="1">
        <v>55.0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1">
        <v>94.45</v>
      </c>
      <c r="T3102" s="1">
        <v>5073.1</v>
      </c>
      <c r="U3102" s="1">
        <v>0.0</v>
      </c>
      <c r="V3102" s="1">
        <v>3.0</v>
      </c>
      <c r="W3102" s="1" t="s">
        <v>26</v>
      </c>
    </row>
    <row r="3103" ht="15.75" customHeight="1">
      <c r="A3103" s="1" t="s">
        <v>3140</v>
      </c>
      <c r="B3103" s="1" t="s">
        <v>24</v>
      </c>
      <c r="C3103" s="1">
        <v>0.0</v>
      </c>
      <c r="D3103" s="1" t="s">
        <v>26</v>
      </c>
      <c r="E3103" s="1" t="s">
        <v>26</v>
      </c>
      <c r="F3103" s="1">
        <v>58.0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1">
        <v>79.8</v>
      </c>
      <c r="T3103" s="1">
        <v>4526.85</v>
      </c>
      <c r="U3103" s="1">
        <v>0.0</v>
      </c>
      <c r="V3103" s="1">
        <v>0.0</v>
      </c>
      <c r="W3103" s="1" t="s">
        <v>26</v>
      </c>
    </row>
    <row r="3104" ht="15.75" customHeight="1">
      <c r="A3104" s="1" t="s">
        <v>3141</v>
      </c>
      <c r="B3104" s="1" t="s">
        <v>24</v>
      </c>
      <c r="C3104" s="1">
        <v>0.0</v>
      </c>
      <c r="D3104" s="1" t="s">
        <v>26</v>
      </c>
      <c r="E3104" s="1" t="s">
        <v>26</v>
      </c>
      <c r="F3104" s="1">
        <v>5.0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1">
        <v>54.2</v>
      </c>
      <c r="T3104" s="1">
        <v>308.25</v>
      </c>
      <c r="U3104" s="1">
        <v>0.0</v>
      </c>
      <c r="V3104" s="1">
        <v>0.0</v>
      </c>
      <c r="W3104" s="1" t="s">
        <v>25</v>
      </c>
    </row>
    <row r="3105" ht="15.75" customHeight="1">
      <c r="A3105" s="1" t="s">
        <v>3142</v>
      </c>
      <c r="B3105" s="1" t="s">
        <v>24</v>
      </c>
      <c r="C3105" s="1">
        <v>1.0</v>
      </c>
      <c r="D3105" s="1" t="s">
        <v>26</v>
      </c>
      <c r="E3105" s="1" t="s">
        <v>26</v>
      </c>
      <c r="F3105" s="1">
        <v>1.0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1">
        <v>19.45</v>
      </c>
      <c r="T3105" s="1">
        <v>19.45</v>
      </c>
      <c r="U3105" s="1">
        <v>0.0</v>
      </c>
      <c r="V3105" s="1">
        <v>0.0</v>
      </c>
      <c r="W3105" s="1" t="s">
        <v>25</v>
      </c>
    </row>
    <row r="3106" ht="15.75" customHeight="1">
      <c r="A3106" s="1" t="s">
        <v>3143</v>
      </c>
      <c r="B3106" s="1" t="s">
        <v>32</v>
      </c>
      <c r="C3106" s="1">
        <v>1.0</v>
      </c>
      <c r="D3106" s="1" t="s">
        <v>26</v>
      </c>
      <c r="E3106" s="1" t="s">
        <v>26</v>
      </c>
      <c r="F3106" s="1">
        <v>9.0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1">
        <v>74.05</v>
      </c>
      <c r="T3106" s="1">
        <v>678.45</v>
      </c>
      <c r="U3106" s="1">
        <v>0.0</v>
      </c>
      <c r="V3106" s="1">
        <v>0.0</v>
      </c>
      <c r="W3106" s="1" t="s">
        <v>26</v>
      </c>
    </row>
    <row r="3107" ht="15.75" customHeight="1">
      <c r="A3107" s="1" t="s">
        <v>3144</v>
      </c>
      <c r="B3107" s="1" t="s">
        <v>32</v>
      </c>
      <c r="C3107" s="1">
        <v>0.0</v>
      </c>
      <c r="D3107" s="1" t="s">
        <v>26</v>
      </c>
      <c r="E3107" s="1" t="s">
        <v>26</v>
      </c>
      <c r="F3107" s="1">
        <v>26.0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1">
        <v>49.15</v>
      </c>
      <c r="T3107" s="1">
        <v>1237.3</v>
      </c>
      <c r="U3107" s="1">
        <v>0.0</v>
      </c>
      <c r="V3107" s="1">
        <v>1.0</v>
      </c>
      <c r="W3107" s="1" t="s">
        <v>26</v>
      </c>
    </row>
    <row r="3108" ht="15.75" customHeight="1">
      <c r="A3108" s="1" t="s">
        <v>3145</v>
      </c>
      <c r="B3108" s="1" t="s">
        <v>24</v>
      </c>
      <c r="C3108" s="1">
        <v>0.0</v>
      </c>
      <c r="D3108" s="1" t="s">
        <v>26</v>
      </c>
      <c r="E3108" s="1" t="s">
        <v>26</v>
      </c>
      <c r="F3108" s="1">
        <v>50.0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1">
        <v>19.4</v>
      </c>
      <c r="T3108" s="1">
        <v>1023.95</v>
      </c>
      <c r="U3108" s="1">
        <v>0.0</v>
      </c>
      <c r="V3108" s="1">
        <v>0.0</v>
      </c>
      <c r="W3108" s="1" t="s">
        <v>26</v>
      </c>
    </row>
    <row r="3109" ht="15.75" customHeight="1">
      <c r="A3109" s="1" t="s">
        <v>3146</v>
      </c>
      <c r="B3109" s="1" t="s">
        <v>24</v>
      </c>
      <c r="C3109" s="1">
        <v>0.0</v>
      </c>
      <c r="D3109" s="1" t="s">
        <v>25</v>
      </c>
      <c r="E3109" s="1" t="s">
        <v>26</v>
      </c>
      <c r="F3109" s="1">
        <v>72.0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1">
        <v>113.65</v>
      </c>
      <c r="T3109" s="1">
        <v>8182.75</v>
      </c>
      <c r="U3109" s="1">
        <v>0.0</v>
      </c>
      <c r="V3109" s="1">
        <v>0.0</v>
      </c>
      <c r="W3109" s="1" t="s">
        <v>26</v>
      </c>
    </row>
    <row r="3110" ht="15.75" customHeight="1">
      <c r="A3110" s="1" t="s">
        <v>3147</v>
      </c>
      <c r="B3110" s="1" t="s">
        <v>24</v>
      </c>
      <c r="C3110" s="1">
        <v>0.0</v>
      </c>
      <c r="D3110" s="1" t="s">
        <v>26</v>
      </c>
      <c r="E3110" s="1" t="s">
        <v>25</v>
      </c>
      <c r="F3110" s="1">
        <v>43.0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1">
        <v>106.0</v>
      </c>
      <c r="T3110" s="1">
        <v>4532.3</v>
      </c>
      <c r="U3110" s="1">
        <v>0.0</v>
      </c>
      <c r="V3110" s="1">
        <v>2.0</v>
      </c>
      <c r="W3110" s="1" t="s">
        <v>26</v>
      </c>
    </row>
    <row r="3111" ht="15.75" customHeight="1">
      <c r="A3111" s="1" t="s">
        <v>3148</v>
      </c>
      <c r="B3111" s="1" t="s">
        <v>32</v>
      </c>
      <c r="C3111" s="1">
        <v>0.0</v>
      </c>
      <c r="D3111" s="1" t="s">
        <v>26</v>
      </c>
      <c r="E3111" s="1" t="s">
        <v>26</v>
      </c>
      <c r="F3111" s="1">
        <v>56.0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1">
        <v>25.95</v>
      </c>
      <c r="T3111" s="1">
        <v>1444.05</v>
      </c>
      <c r="U3111" s="1">
        <v>0.0</v>
      </c>
      <c r="V3111" s="1">
        <v>0.0</v>
      </c>
      <c r="W3111" s="1" t="s">
        <v>26</v>
      </c>
    </row>
    <row r="3112" ht="15.75" customHeight="1">
      <c r="A3112" s="1" t="s">
        <v>3149</v>
      </c>
      <c r="B3112" s="1" t="s">
        <v>24</v>
      </c>
      <c r="C3112" s="1">
        <v>0.0</v>
      </c>
      <c r="D3112" s="1" t="s">
        <v>26</v>
      </c>
      <c r="E3112" s="1" t="s">
        <v>26</v>
      </c>
      <c r="F3112" s="1">
        <v>1.0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1">
        <v>19.1</v>
      </c>
      <c r="T3112" s="1">
        <v>19.1</v>
      </c>
      <c r="U3112" s="1">
        <v>0.0</v>
      </c>
      <c r="V3112" s="1">
        <v>0.0</v>
      </c>
      <c r="W3112" s="1" t="s">
        <v>26</v>
      </c>
    </row>
    <row r="3113" ht="15.75" customHeight="1">
      <c r="A3113" s="1" t="s">
        <v>3150</v>
      </c>
      <c r="B3113" s="1" t="s">
        <v>32</v>
      </c>
      <c r="C3113" s="1">
        <v>0.0</v>
      </c>
      <c r="D3113" s="1" t="s">
        <v>25</v>
      </c>
      <c r="E3113" s="1" t="s">
        <v>25</v>
      </c>
      <c r="F3113" s="1">
        <v>72.0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1">
        <v>103.4</v>
      </c>
      <c r="T3113" s="1">
        <v>7372.65</v>
      </c>
      <c r="U3113" s="1">
        <v>0.0</v>
      </c>
      <c r="V3113" s="1">
        <v>7.0</v>
      </c>
      <c r="W3113" s="1" t="s">
        <v>25</v>
      </c>
    </row>
    <row r="3114" ht="15.75" customHeight="1">
      <c r="A3114" s="1" t="s">
        <v>3151</v>
      </c>
      <c r="B3114" s="1" t="s">
        <v>32</v>
      </c>
      <c r="C3114" s="1">
        <v>0.0</v>
      </c>
      <c r="D3114" s="1" t="s">
        <v>25</v>
      </c>
      <c r="E3114" s="1" t="s">
        <v>26</v>
      </c>
      <c r="F3114" s="1">
        <v>72.0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1">
        <v>100.55</v>
      </c>
      <c r="T3114" s="1">
        <v>7325.1</v>
      </c>
      <c r="U3114" s="1">
        <v>1.0</v>
      </c>
      <c r="V3114" s="1">
        <v>0.0</v>
      </c>
      <c r="W3114" s="1" t="s">
        <v>26</v>
      </c>
    </row>
    <row r="3115" ht="15.75" customHeight="1">
      <c r="A3115" s="1" t="s">
        <v>3152</v>
      </c>
      <c r="B3115" s="1" t="s">
        <v>32</v>
      </c>
      <c r="C3115" s="1">
        <v>0.0</v>
      </c>
      <c r="D3115" s="1" t="s">
        <v>25</v>
      </c>
      <c r="E3115" s="1" t="s">
        <v>26</v>
      </c>
      <c r="F3115" s="1">
        <v>36.0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1">
        <v>95.4</v>
      </c>
      <c r="T3115" s="1">
        <v>3474.2</v>
      </c>
      <c r="U3115" s="1">
        <v>0.0</v>
      </c>
      <c r="V3115" s="1">
        <v>0.0</v>
      </c>
      <c r="W3115" s="1" t="s">
        <v>26</v>
      </c>
    </row>
    <row r="3116" ht="15.75" customHeight="1">
      <c r="A3116" s="1" t="s">
        <v>3153</v>
      </c>
      <c r="B3116" s="1" t="s">
        <v>32</v>
      </c>
      <c r="C3116" s="1">
        <v>0.0</v>
      </c>
      <c r="D3116" s="1" t="s">
        <v>26</v>
      </c>
      <c r="E3116" s="1" t="s">
        <v>26</v>
      </c>
      <c r="F3116" s="1">
        <v>5.0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1">
        <v>75.15</v>
      </c>
      <c r="T3116" s="1">
        <v>392.65</v>
      </c>
      <c r="U3116" s="1">
        <v>0.0</v>
      </c>
      <c r="V3116" s="1">
        <v>0.0</v>
      </c>
      <c r="W3116" s="1" t="s">
        <v>26</v>
      </c>
    </row>
    <row r="3117" ht="15.75" customHeight="1">
      <c r="A3117" s="1" t="s">
        <v>3154</v>
      </c>
      <c r="B3117" s="1" t="s">
        <v>24</v>
      </c>
      <c r="C3117" s="1">
        <v>0.0</v>
      </c>
      <c r="D3117" s="1" t="s">
        <v>26</v>
      </c>
      <c r="E3117" s="1" t="s">
        <v>26</v>
      </c>
      <c r="F3117" s="1">
        <v>13.0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1">
        <v>84.45</v>
      </c>
      <c r="T3117" s="1">
        <v>1058.6</v>
      </c>
      <c r="U3117" s="1">
        <v>0.0</v>
      </c>
      <c r="V3117" s="1">
        <v>1.0</v>
      </c>
      <c r="W3117" s="1" t="s">
        <v>25</v>
      </c>
    </row>
    <row r="3118" ht="15.75" customHeight="1">
      <c r="A3118" s="1" t="s">
        <v>3155</v>
      </c>
      <c r="B3118" s="1" t="s">
        <v>24</v>
      </c>
      <c r="C3118" s="1">
        <v>1.0</v>
      </c>
      <c r="D3118" s="1" t="s">
        <v>26</v>
      </c>
      <c r="E3118" s="1" t="s">
        <v>26</v>
      </c>
      <c r="F3118" s="1">
        <v>44.0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1">
        <v>89.15</v>
      </c>
      <c r="T3118" s="1">
        <v>3990.75</v>
      </c>
      <c r="U3118" s="1">
        <v>0.0</v>
      </c>
      <c r="V3118" s="1">
        <v>0.0</v>
      </c>
      <c r="W3118" s="1" t="s">
        <v>26</v>
      </c>
    </row>
    <row r="3119" ht="15.75" customHeight="1">
      <c r="A3119" s="1" t="s">
        <v>3156</v>
      </c>
      <c r="B3119" s="1" t="s">
        <v>24</v>
      </c>
      <c r="C3119" s="1">
        <v>1.0</v>
      </c>
      <c r="D3119" s="1" t="s">
        <v>25</v>
      </c>
      <c r="E3119" s="1" t="s">
        <v>25</v>
      </c>
      <c r="F3119" s="1">
        <v>70.0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1">
        <v>107.9</v>
      </c>
      <c r="T3119" s="1">
        <v>7475.85</v>
      </c>
      <c r="U3119" s="1">
        <v>0.0</v>
      </c>
      <c r="V3119" s="1">
        <v>0.0</v>
      </c>
      <c r="W3119" s="1" t="s">
        <v>26</v>
      </c>
    </row>
    <row r="3120" ht="15.75" customHeight="1">
      <c r="A3120" s="1" t="s">
        <v>3157</v>
      </c>
      <c r="B3120" s="1" t="s">
        <v>32</v>
      </c>
      <c r="C3120" s="1">
        <v>0.0</v>
      </c>
      <c r="D3120" s="1" t="s">
        <v>26</v>
      </c>
      <c r="E3120" s="1" t="s">
        <v>26</v>
      </c>
      <c r="F3120" s="1">
        <v>44.0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1">
        <v>19.5</v>
      </c>
      <c r="T3120" s="1">
        <v>835.5</v>
      </c>
      <c r="U3120" s="1">
        <v>1.0</v>
      </c>
      <c r="V3120" s="1">
        <v>0.0</v>
      </c>
      <c r="W3120" s="1" t="s">
        <v>26</v>
      </c>
    </row>
    <row r="3121" ht="15.75" customHeight="1">
      <c r="A3121" s="1" t="s">
        <v>3158</v>
      </c>
      <c r="B3121" s="1" t="s">
        <v>24</v>
      </c>
      <c r="C3121" s="1">
        <v>1.0</v>
      </c>
      <c r="D3121" s="1" t="s">
        <v>25</v>
      </c>
      <c r="E3121" s="1" t="s">
        <v>26</v>
      </c>
      <c r="F3121" s="1">
        <v>32.0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1">
        <v>85.95</v>
      </c>
      <c r="T3121" s="1">
        <v>2628.6</v>
      </c>
      <c r="U3121" s="1">
        <v>0.0</v>
      </c>
      <c r="V3121" s="1">
        <v>0.0</v>
      </c>
      <c r="W3121" s="1" t="s">
        <v>25</v>
      </c>
    </row>
    <row r="3122" ht="15.75" customHeight="1">
      <c r="A3122" s="1" t="s">
        <v>3159</v>
      </c>
      <c r="B3122" s="1" t="s">
        <v>24</v>
      </c>
      <c r="C3122" s="1">
        <v>0.0</v>
      </c>
      <c r="D3122" s="1" t="s">
        <v>25</v>
      </c>
      <c r="E3122" s="1" t="s">
        <v>26</v>
      </c>
      <c r="F3122" s="1">
        <v>69.0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1">
        <v>24.95</v>
      </c>
      <c r="T3122" s="1">
        <v>1718.35</v>
      </c>
      <c r="U3122" s="1">
        <v>0.0</v>
      </c>
      <c r="V3122" s="1">
        <v>0.0</v>
      </c>
      <c r="W3122" s="1" t="s">
        <v>26</v>
      </c>
    </row>
    <row r="3123" ht="15.75" customHeight="1">
      <c r="A3123" s="1" t="s">
        <v>3160</v>
      </c>
      <c r="B3123" s="1" t="s">
        <v>24</v>
      </c>
      <c r="C3123" s="1">
        <v>1.0</v>
      </c>
      <c r="D3123" s="1" t="s">
        <v>26</v>
      </c>
      <c r="E3123" s="1" t="s">
        <v>26</v>
      </c>
      <c r="F3123" s="1">
        <v>16.0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1">
        <v>59.4</v>
      </c>
      <c r="T3123" s="1">
        <v>1023.9</v>
      </c>
      <c r="U3123" s="1">
        <v>0.0</v>
      </c>
      <c r="V3123" s="1">
        <v>0.0</v>
      </c>
      <c r="W3123" s="1" t="s">
        <v>25</v>
      </c>
    </row>
    <row r="3124" ht="15.75" customHeight="1">
      <c r="A3124" s="1" t="s">
        <v>3161</v>
      </c>
      <c r="B3124" s="1" t="s">
        <v>32</v>
      </c>
      <c r="C3124" s="1">
        <v>1.0</v>
      </c>
      <c r="D3124" s="1" t="s">
        <v>25</v>
      </c>
      <c r="E3124" s="1" t="s">
        <v>25</v>
      </c>
      <c r="F3124" s="1">
        <v>68.0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1">
        <v>19.5</v>
      </c>
      <c r="T3124" s="1">
        <v>1193.55</v>
      </c>
      <c r="U3124" s="1">
        <v>0.0</v>
      </c>
      <c r="V3124" s="1">
        <v>0.0</v>
      </c>
      <c r="W3124" s="1" t="s">
        <v>26</v>
      </c>
    </row>
    <row r="3125" ht="15.75" customHeight="1">
      <c r="A3125" s="1" t="s">
        <v>3162</v>
      </c>
      <c r="B3125" s="1" t="s">
        <v>32</v>
      </c>
      <c r="C3125" s="1">
        <v>0.0</v>
      </c>
      <c r="D3125" s="1" t="s">
        <v>26</v>
      </c>
      <c r="E3125" s="1" t="s">
        <v>26</v>
      </c>
      <c r="F3125" s="1">
        <v>16.0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1">
        <v>69.95</v>
      </c>
      <c r="T3125" s="1">
        <v>1205.5</v>
      </c>
      <c r="U3125" s="1">
        <v>0.0</v>
      </c>
      <c r="V3125" s="1">
        <v>0.0</v>
      </c>
      <c r="W3125" s="1" t="s">
        <v>26</v>
      </c>
    </row>
    <row r="3126" ht="15.75" customHeight="1">
      <c r="A3126" s="1" t="s">
        <v>3163</v>
      </c>
      <c r="B3126" s="1" t="s">
        <v>32</v>
      </c>
      <c r="C3126" s="1">
        <v>0.0</v>
      </c>
      <c r="D3126" s="1" t="s">
        <v>25</v>
      </c>
      <c r="E3126" s="1" t="s">
        <v>25</v>
      </c>
      <c r="F3126" s="1">
        <v>68.0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1">
        <v>82.85</v>
      </c>
      <c r="T3126" s="1">
        <v>5776.45</v>
      </c>
      <c r="U3126" s="1">
        <v>0.0</v>
      </c>
      <c r="V3126" s="1">
        <v>0.0</v>
      </c>
      <c r="W3126" s="1" t="s">
        <v>26</v>
      </c>
    </row>
    <row r="3127" ht="15.75" customHeight="1">
      <c r="A3127" s="1" t="s">
        <v>3164</v>
      </c>
      <c r="B3127" s="1" t="s">
        <v>32</v>
      </c>
      <c r="C3127" s="1">
        <v>0.0</v>
      </c>
      <c r="D3127" s="1" t="s">
        <v>26</v>
      </c>
      <c r="E3127" s="1" t="s">
        <v>26</v>
      </c>
      <c r="F3127" s="1">
        <v>4.0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1">
        <v>19.0</v>
      </c>
      <c r="T3127" s="1">
        <v>78.9</v>
      </c>
      <c r="U3127" s="1">
        <v>5.0</v>
      </c>
      <c r="V3127" s="1">
        <v>0.0</v>
      </c>
      <c r="W3127" s="1" t="s">
        <v>26</v>
      </c>
    </row>
    <row r="3128" ht="15.75" customHeight="1">
      <c r="A3128" s="1" t="s">
        <v>3165</v>
      </c>
      <c r="B3128" s="1" t="s">
        <v>24</v>
      </c>
      <c r="C3128" s="1">
        <v>0.0</v>
      </c>
      <c r="D3128" s="1" t="s">
        <v>25</v>
      </c>
      <c r="E3128" s="1" t="s">
        <v>25</v>
      </c>
      <c r="F3128" s="1">
        <v>26.0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1">
        <v>38.85</v>
      </c>
      <c r="T3128" s="1">
        <v>1025.15</v>
      </c>
      <c r="U3128" s="1">
        <v>0.0</v>
      </c>
      <c r="V3128" s="1">
        <v>0.0</v>
      </c>
      <c r="W3128" s="1" t="s">
        <v>26</v>
      </c>
    </row>
    <row r="3129" ht="15.75" customHeight="1">
      <c r="A3129" s="1" t="s">
        <v>3166</v>
      </c>
      <c r="B3129" s="1" t="s">
        <v>24</v>
      </c>
      <c r="C3129" s="1">
        <v>0.0</v>
      </c>
      <c r="D3129" s="1" t="s">
        <v>26</v>
      </c>
      <c r="E3129" s="1" t="s">
        <v>26</v>
      </c>
      <c r="F3129" s="1">
        <v>29.0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1">
        <v>30.6</v>
      </c>
      <c r="T3129" s="1">
        <v>856.35</v>
      </c>
      <c r="U3129" s="1">
        <v>0.0</v>
      </c>
      <c r="V3129" s="1">
        <v>0.0</v>
      </c>
      <c r="W3129" s="1" t="s">
        <v>25</v>
      </c>
    </row>
    <row r="3130" ht="15.75" customHeight="1">
      <c r="A3130" s="1" t="s">
        <v>3167</v>
      </c>
      <c r="B3130" s="1" t="s">
        <v>32</v>
      </c>
      <c r="C3130" s="1">
        <v>0.0</v>
      </c>
      <c r="D3130" s="1" t="s">
        <v>26</v>
      </c>
      <c r="E3130" s="1" t="s">
        <v>25</v>
      </c>
      <c r="F3130" s="1">
        <v>5.0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1">
        <v>20.35</v>
      </c>
      <c r="T3130" s="1">
        <v>122.0</v>
      </c>
      <c r="U3130" s="1">
        <v>0.0</v>
      </c>
      <c r="V3130" s="1">
        <v>0.0</v>
      </c>
      <c r="W3130" s="1" t="s">
        <v>26</v>
      </c>
    </row>
    <row r="3131" ht="15.75" customHeight="1">
      <c r="A3131" s="1" t="s">
        <v>3168</v>
      </c>
      <c r="B3131" s="1" t="s">
        <v>32</v>
      </c>
      <c r="C3131" s="1">
        <v>0.0</v>
      </c>
      <c r="D3131" s="1" t="s">
        <v>25</v>
      </c>
      <c r="E3131" s="1" t="s">
        <v>26</v>
      </c>
      <c r="F3131" s="1">
        <v>70.0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1">
        <v>95.0</v>
      </c>
      <c r="T3131" s="1">
        <v>6602.9</v>
      </c>
      <c r="U3131" s="1">
        <v>0.0</v>
      </c>
      <c r="V3131" s="1">
        <v>0.0</v>
      </c>
      <c r="W3131" s="1" t="s">
        <v>26</v>
      </c>
    </row>
    <row r="3132" ht="15.75" customHeight="1">
      <c r="A3132" s="1" t="s">
        <v>3169</v>
      </c>
      <c r="B3132" s="1" t="s">
        <v>32</v>
      </c>
      <c r="C3132" s="1">
        <v>0.0</v>
      </c>
      <c r="D3132" s="1" t="s">
        <v>25</v>
      </c>
      <c r="E3132" s="1" t="s">
        <v>26</v>
      </c>
      <c r="F3132" s="1">
        <v>24.0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1">
        <v>74.4</v>
      </c>
      <c r="T3132" s="1">
        <v>1712.9</v>
      </c>
      <c r="U3132" s="1">
        <v>0.0</v>
      </c>
      <c r="V3132" s="1">
        <v>0.0</v>
      </c>
      <c r="W3132" s="1" t="s">
        <v>26</v>
      </c>
    </row>
    <row r="3133" ht="15.75" customHeight="1">
      <c r="A3133" s="1" t="s">
        <v>3170</v>
      </c>
      <c r="B3133" s="1" t="s">
        <v>24</v>
      </c>
      <c r="C3133" s="1">
        <v>1.0</v>
      </c>
      <c r="D3133" s="1" t="s">
        <v>25</v>
      </c>
      <c r="E3133" s="1" t="s">
        <v>26</v>
      </c>
      <c r="F3133" s="1">
        <v>72.0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1">
        <v>78.45</v>
      </c>
      <c r="T3133" s="1">
        <v>5682.25</v>
      </c>
      <c r="U3133" s="1">
        <v>0.0</v>
      </c>
      <c r="V3133" s="1">
        <v>0.0</v>
      </c>
      <c r="W3133" s="1" t="s">
        <v>26</v>
      </c>
    </row>
    <row r="3134" ht="15.75" customHeight="1">
      <c r="A3134" s="1" t="s">
        <v>3171</v>
      </c>
      <c r="B3134" s="1" t="s">
        <v>32</v>
      </c>
      <c r="C3134" s="1">
        <v>0.0</v>
      </c>
      <c r="D3134" s="1" t="s">
        <v>26</v>
      </c>
      <c r="E3134" s="1" t="s">
        <v>26</v>
      </c>
      <c r="F3134" s="1">
        <v>1.0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1">
        <v>74.3</v>
      </c>
      <c r="T3134" s="1">
        <v>74.3</v>
      </c>
      <c r="U3134" s="1">
        <v>0.0</v>
      </c>
      <c r="V3134" s="1">
        <v>0.0</v>
      </c>
      <c r="W3134" s="1" t="s">
        <v>26</v>
      </c>
    </row>
    <row r="3135" ht="15.75" customHeight="1">
      <c r="A3135" s="1" t="s">
        <v>3172</v>
      </c>
      <c r="B3135" s="1" t="s">
        <v>32</v>
      </c>
      <c r="C3135" s="1">
        <v>0.0</v>
      </c>
      <c r="D3135" s="1" t="s">
        <v>25</v>
      </c>
      <c r="E3135" s="1" t="s">
        <v>26</v>
      </c>
      <c r="F3135" s="1">
        <v>70.0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1">
        <v>51.05</v>
      </c>
      <c r="T3135" s="1">
        <v>3635.15</v>
      </c>
      <c r="U3135" s="1">
        <v>0.0</v>
      </c>
      <c r="V3135" s="1">
        <v>0.0</v>
      </c>
      <c r="W3135" s="1" t="s">
        <v>26</v>
      </c>
    </row>
    <row r="3136" ht="15.75" customHeight="1">
      <c r="A3136" s="1" t="s">
        <v>3173</v>
      </c>
      <c r="B3136" s="1" t="s">
        <v>24</v>
      </c>
      <c r="C3136" s="1">
        <v>0.0</v>
      </c>
      <c r="D3136" s="1" t="s">
        <v>25</v>
      </c>
      <c r="E3136" s="1" t="s">
        <v>25</v>
      </c>
      <c r="F3136" s="1">
        <v>36.0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1">
        <v>19.2</v>
      </c>
      <c r="T3136" s="1">
        <v>702.9</v>
      </c>
      <c r="U3136" s="1">
        <v>0.0</v>
      </c>
      <c r="V3136" s="1">
        <v>0.0</v>
      </c>
      <c r="W3136" s="1" t="s">
        <v>26</v>
      </c>
    </row>
    <row r="3137" ht="15.75" customHeight="1">
      <c r="A3137" s="1" t="s">
        <v>3174</v>
      </c>
      <c r="B3137" s="1" t="s">
        <v>24</v>
      </c>
      <c r="C3137" s="1">
        <v>1.0</v>
      </c>
      <c r="D3137" s="1" t="s">
        <v>26</v>
      </c>
      <c r="E3137" s="1" t="s">
        <v>26</v>
      </c>
      <c r="F3137" s="1">
        <v>38.0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1">
        <v>99.55</v>
      </c>
      <c r="T3137" s="1">
        <v>3734.25</v>
      </c>
      <c r="U3137" s="1">
        <v>0.0</v>
      </c>
      <c r="V3137" s="1">
        <v>2.0</v>
      </c>
      <c r="W3137" s="1" t="s">
        <v>25</v>
      </c>
    </row>
    <row r="3138" ht="15.75" customHeight="1">
      <c r="A3138" s="1" t="s">
        <v>3175</v>
      </c>
      <c r="B3138" s="1" t="s">
        <v>24</v>
      </c>
      <c r="C3138" s="1">
        <v>0.0</v>
      </c>
      <c r="D3138" s="1" t="s">
        <v>26</v>
      </c>
      <c r="E3138" s="1" t="s">
        <v>26</v>
      </c>
      <c r="F3138" s="1">
        <v>17.0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1">
        <v>70.0</v>
      </c>
      <c r="T3138" s="1">
        <v>1144.5</v>
      </c>
      <c r="U3138" s="1">
        <v>2.0</v>
      </c>
      <c r="V3138" s="1">
        <v>0.0</v>
      </c>
      <c r="W3138" s="1" t="s">
        <v>25</v>
      </c>
    </row>
    <row r="3139" ht="15.75" customHeight="1">
      <c r="A3139" s="1" t="s">
        <v>3176</v>
      </c>
      <c r="B3139" s="1" t="s">
        <v>24</v>
      </c>
      <c r="C3139" s="1">
        <v>0.0</v>
      </c>
      <c r="D3139" s="1" t="s">
        <v>25</v>
      </c>
      <c r="E3139" s="1" t="s">
        <v>25</v>
      </c>
      <c r="F3139" s="1">
        <v>41.0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1">
        <v>109.1</v>
      </c>
      <c r="T3139" s="1">
        <v>4454.25</v>
      </c>
      <c r="U3139" s="1">
        <v>0.0</v>
      </c>
      <c r="V3139" s="1">
        <v>0.0</v>
      </c>
      <c r="W3139" s="1" t="s">
        <v>26</v>
      </c>
    </row>
    <row r="3140" ht="15.75" customHeight="1">
      <c r="A3140" s="1" t="s">
        <v>3177</v>
      </c>
      <c r="B3140" s="1" t="s">
        <v>24</v>
      </c>
      <c r="C3140" s="1">
        <v>0.0</v>
      </c>
      <c r="D3140" s="1" t="s">
        <v>26</v>
      </c>
      <c r="E3140" s="1" t="s">
        <v>26</v>
      </c>
      <c r="F3140" s="1">
        <v>1.0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1">
        <v>45.3</v>
      </c>
      <c r="T3140" s="1">
        <v>45.3</v>
      </c>
      <c r="U3140" s="1">
        <v>0.0</v>
      </c>
      <c r="V3140" s="1">
        <v>0.0</v>
      </c>
      <c r="W3140" s="1" t="s">
        <v>25</v>
      </c>
    </row>
    <row r="3141" ht="15.75" customHeight="1">
      <c r="A3141" s="1" t="s">
        <v>3178</v>
      </c>
      <c r="B3141" s="1" t="s">
        <v>32</v>
      </c>
      <c r="C3141" s="1">
        <v>0.0</v>
      </c>
      <c r="D3141" s="1" t="s">
        <v>26</v>
      </c>
      <c r="E3141" s="1" t="s">
        <v>26</v>
      </c>
      <c r="F3141" s="1">
        <v>2.0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1">
        <v>29.85</v>
      </c>
      <c r="T3141" s="1">
        <v>75.6</v>
      </c>
      <c r="U3141" s="1">
        <v>0.0</v>
      </c>
      <c r="V3141" s="1">
        <v>0.0</v>
      </c>
      <c r="W3141" s="1" t="s">
        <v>25</v>
      </c>
    </row>
    <row r="3142" ht="15.75" customHeight="1">
      <c r="A3142" s="1" t="s">
        <v>3179</v>
      </c>
      <c r="B3142" s="1" t="s">
        <v>32</v>
      </c>
      <c r="C3142" s="1">
        <v>0.0</v>
      </c>
      <c r="D3142" s="1" t="s">
        <v>26</v>
      </c>
      <c r="E3142" s="1" t="s">
        <v>26</v>
      </c>
      <c r="F3142" s="1">
        <v>14.0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1">
        <v>76.45</v>
      </c>
      <c r="T3142" s="1">
        <v>1117.55</v>
      </c>
      <c r="U3142" s="1">
        <v>0.0</v>
      </c>
      <c r="V3142" s="1">
        <v>0.0</v>
      </c>
      <c r="W3142" s="1" t="s">
        <v>26</v>
      </c>
    </row>
    <row r="3143" ht="15.75" customHeight="1">
      <c r="A3143" s="1" t="s">
        <v>3180</v>
      </c>
      <c r="B3143" s="1" t="s">
        <v>32</v>
      </c>
      <c r="C3143" s="1">
        <v>1.0</v>
      </c>
      <c r="D3143" s="1" t="s">
        <v>26</v>
      </c>
      <c r="E3143" s="1" t="s">
        <v>26</v>
      </c>
      <c r="F3143" s="1">
        <v>2.0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1">
        <v>95.1</v>
      </c>
      <c r="T3143" s="1">
        <v>180.25</v>
      </c>
      <c r="U3143" s="1">
        <v>0.0</v>
      </c>
      <c r="V3143" s="1">
        <v>0.0</v>
      </c>
      <c r="W3143" s="1" t="s">
        <v>25</v>
      </c>
    </row>
    <row r="3144" ht="15.75" customHeight="1">
      <c r="A3144" s="1" t="s">
        <v>3181</v>
      </c>
      <c r="B3144" s="1" t="s">
        <v>32</v>
      </c>
      <c r="C3144" s="1">
        <v>0.0</v>
      </c>
      <c r="D3144" s="1" t="s">
        <v>26</v>
      </c>
      <c r="E3144" s="1" t="s">
        <v>26</v>
      </c>
      <c r="F3144" s="1">
        <v>1.0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1">
        <v>19.8</v>
      </c>
      <c r="T3144" s="1">
        <v>19.8</v>
      </c>
      <c r="U3144" s="1">
        <v>0.0</v>
      </c>
      <c r="V3144" s="1">
        <v>0.0</v>
      </c>
      <c r="W3144" s="1" t="s">
        <v>25</v>
      </c>
    </row>
    <row r="3145" ht="15.75" customHeight="1">
      <c r="A3145" s="1" t="s">
        <v>3182</v>
      </c>
      <c r="B3145" s="1" t="s">
        <v>32</v>
      </c>
      <c r="C3145" s="1">
        <v>0.0</v>
      </c>
      <c r="D3145" s="1" t="s">
        <v>25</v>
      </c>
      <c r="E3145" s="1" t="s">
        <v>25</v>
      </c>
      <c r="F3145" s="1">
        <v>13.0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1">
        <v>72.8</v>
      </c>
      <c r="T3145" s="1">
        <v>930.05</v>
      </c>
      <c r="U3145" s="1">
        <v>0.0</v>
      </c>
      <c r="V3145" s="1">
        <v>0.0</v>
      </c>
      <c r="W3145" s="1" t="s">
        <v>26</v>
      </c>
    </row>
    <row r="3146" ht="15.75" customHeight="1">
      <c r="A3146" s="1" t="s">
        <v>3183</v>
      </c>
      <c r="B3146" s="1" t="s">
        <v>32</v>
      </c>
      <c r="C3146" s="1">
        <v>0.0</v>
      </c>
      <c r="D3146" s="1" t="s">
        <v>26</v>
      </c>
      <c r="E3146" s="1" t="s">
        <v>26</v>
      </c>
      <c r="F3146" s="1">
        <v>6.0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1">
        <v>18.95</v>
      </c>
      <c r="T3146" s="1">
        <v>110.15</v>
      </c>
      <c r="U3146" s="1">
        <v>0.0</v>
      </c>
      <c r="V3146" s="1">
        <v>0.0</v>
      </c>
      <c r="W3146" s="1" t="s">
        <v>26</v>
      </c>
    </row>
    <row r="3147" ht="15.75" customHeight="1">
      <c r="A3147" s="1" t="s">
        <v>3184</v>
      </c>
      <c r="B3147" s="1" t="s">
        <v>24</v>
      </c>
      <c r="C3147" s="1">
        <v>0.0</v>
      </c>
      <c r="D3147" s="1" t="s">
        <v>26</v>
      </c>
      <c r="E3147" s="1" t="s">
        <v>26</v>
      </c>
      <c r="F3147" s="1">
        <v>4.0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1">
        <v>76.65</v>
      </c>
      <c r="T3147" s="1">
        <v>333.6</v>
      </c>
      <c r="U3147" s="1">
        <v>0.0</v>
      </c>
      <c r="V3147" s="1">
        <v>0.0</v>
      </c>
      <c r="W3147" s="1" t="s">
        <v>25</v>
      </c>
    </row>
    <row r="3148" ht="15.75" customHeight="1">
      <c r="A3148" s="1" t="s">
        <v>3185</v>
      </c>
      <c r="B3148" s="1" t="s">
        <v>24</v>
      </c>
      <c r="C3148" s="1">
        <v>0.0</v>
      </c>
      <c r="D3148" s="1" t="s">
        <v>25</v>
      </c>
      <c r="E3148" s="1" t="s">
        <v>25</v>
      </c>
      <c r="F3148" s="1">
        <v>5.0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1">
        <v>99.15</v>
      </c>
      <c r="T3148" s="1">
        <v>465.05</v>
      </c>
      <c r="U3148" s="1">
        <v>0.0</v>
      </c>
      <c r="V3148" s="1">
        <v>0.0</v>
      </c>
      <c r="W3148" s="1" t="s">
        <v>25</v>
      </c>
    </row>
    <row r="3149" ht="15.75" customHeight="1">
      <c r="A3149" s="1" t="s">
        <v>3186</v>
      </c>
      <c r="B3149" s="1" t="s">
        <v>24</v>
      </c>
      <c r="C3149" s="1">
        <v>0.0</v>
      </c>
      <c r="D3149" s="1" t="s">
        <v>25</v>
      </c>
      <c r="E3149" s="1" t="s">
        <v>26</v>
      </c>
      <c r="F3149" s="1">
        <v>15.0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1">
        <v>101.75</v>
      </c>
      <c r="T3149" s="1">
        <v>1669.4</v>
      </c>
      <c r="U3149" s="1">
        <v>0.0</v>
      </c>
      <c r="V3149" s="1">
        <v>0.0</v>
      </c>
      <c r="W3149" s="1" t="s">
        <v>26</v>
      </c>
    </row>
    <row r="3150" ht="15.75" customHeight="1">
      <c r="A3150" s="1" t="s">
        <v>3187</v>
      </c>
      <c r="B3150" s="1" t="s">
        <v>24</v>
      </c>
      <c r="C3150" s="1">
        <v>0.0</v>
      </c>
      <c r="D3150" s="1" t="s">
        <v>26</v>
      </c>
      <c r="E3150" s="1" t="s">
        <v>26</v>
      </c>
      <c r="F3150" s="1">
        <v>47.0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1">
        <v>75.45</v>
      </c>
      <c r="T3150" s="1">
        <v>3545.1</v>
      </c>
      <c r="U3150" s="1">
        <v>0.0</v>
      </c>
      <c r="V3150" s="1">
        <v>0.0</v>
      </c>
      <c r="W3150" s="1" t="s">
        <v>26</v>
      </c>
    </row>
    <row r="3151" ht="15.75" customHeight="1">
      <c r="A3151" s="1" t="s">
        <v>3188</v>
      </c>
      <c r="B3151" s="1" t="s">
        <v>24</v>
      </c>
      <c r="C3151" s="1">
        <v>0.0</v>
      </c>
      <c r="D3151" s="1" t="s">
        <v>26</v>
      </c>
      <c r="E3151" s="1" t="s">
        <v>26</v>
      </c>
      <c r="F3151" s="1">
        <v>8.0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1">
        <v>64.1</v>
      </c>
      <c r="T3151" s="1">
        <v>504.05</v>
      </c>
      <c r="U3151" s="1">
        <v>5.0</v>
      </c>
      <c r="V3151" s="1">
        <v>0.0</v>
      </c>
      <c r="W3151" s="1" t="s">
        <v>26</v>
      </c>
    </row>
    <row r="3152" ht="15.75" customHeight="1">
      <c r="A3152" s="1" t="s">
        <v>3189</v>
      </c>
      <c r="B3152" s="1" t="s">
        <v>32</v>
      </c>
      <c r="C3152" s="1">
        <v>0.0</v>
      </c>
      <c r="D3152" s="1" t="s">
        <v>26</v>
      </c>
      <c r="E3152" s="1" t="s">
        <v>26</v>
      </c>
      <c r="F3152" s="1">
        <v>17.0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1">
        <v>25.65</v>
      </c>
      <c r="T3152" s="1">
        <v>440.2</v>
      </c>
      <c r="U3152" s="1">
        <v>0.0</v>
      </c>
      <c r="V3152" s="1">
        <v>0.0</v>
      </c>
      <c r="W3152" s="1" t="s">
        <v>26</v>
      </c>
    </row>
    <row r="3153" ht="15.75" customHeight="1">
      <c r="A3153" s="1" t="s">
        <v>3190</v>
      </c>
      <c r="B3153" s="1" t="s">
        <v>32</v>
      </c>
      <c r="C3153" s="1">
        <v>0.0</v>
      </c>
      <c r="D3153" s="1" t="s">
        <v>25</v>
      </c>
      <c r="E3153" s="1" t="s">
        <v>25</v>
      </c>
      <c r="F3153" s="1">
        <v>15.0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1">
        <v>75.1</v>
      </c>
      <c r="T3153" s="1">
        <v>1151.55</v>
      </c>
      <c r="U3153" s="1">
        <v>4.0</v>
      </c>
      <c r="V3153" s="1">
        <v>0.0</v>
      </c>
      <c r="W3153" s="1" t="s">
        <v>26</v>
      </c>
    </row>
    <row r="3154" ht="15.75" customHeight="1">
      <c r="A3154" s="1" t="s">
        <v>3191</v>
      </c>
      <c r="B3154" s="1" t="s">
        <v>24</v>
      </c>
      <c r="C3154" s="1">
        <v>0.0</v>
      </c>
      <c r="D3154" s="1" t="s">
        <v>26</v>
      </c>
      <c r="E3154" s="1" t="s">
        <v>26</v>
      </c>
      <c r="F3154" s="1">
        <v>26.0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1">
        <v>95.85</v>
      </c>
      <c r="T3154" s="1">
        <v>2475.35</v>
      </c>
      <c r="U3154" s="1">
        <v>0.0</v>
      </c>
      <c r="V3154" s="1">
        <v>0.0</v>
      </c>
      <c r="W3154" s="1" t="s">
        <v>26</v>
      </c>
    </row>
    <row r="3155" ht="15.75" customHeight="1">
      <c r="A3155" s="1" t="s">
        <v>3192</v>
      </c>
      <c r="B3155" s="1" t="s">
        <v>24</v>
      </c>
      <c r="C3155" s="1">
        <v>0.0</v>
      </c>
      <c r="D3155" s="1" t="s">
        <v>26</v>
      </c>
      <c r="E3155" s="1" t="s">
        <v>26</v>
      </c>
      <c r="F3155" s="1">
        <v>23.0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1">
        <v>54.4</v>
      </c>
      <c r="T3155" s="1">
        <v>1249.25</v>
      </c>
      <c r="U3155" s="1">
        <v>0.0</v>
      </c>
      <c r="V3155" s="1">
        <v>1.0</v>
      </c>
      <c r="W3155" s="1" t="s">
        <v>26</v>
      </c>
    </row>
    <row r="3156" ht="15.75" customHeight="1">
      <c r="A3156" s="1" t="s">
        <v>3193</v>
      </c>
      <c r="B3156" s="1" t="s">
        <v>24</v>
      </c>
      <c r="C3156" s="1">
        <v>1.0</v>
      </c>
      <c r="D3156" s="1" t="s">
        <v>26</v>
      </c>
      <c r="E3156" s="1" t="s">
        <v>26</v>
      </c>
      <c r="F3156" s="1">
        <v>4.0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1">
        <v>72.75</v>
      </c>
      <c r="T3156" s="1">
        <v>317.75</v>
      </c>
      <c r="U3156" s="1">
        <v>0.0</v>
      </c>
      <c r="V3156" s="1">
        <v>0.0</v>
      </c>
      <c r="W3156" s="1" t="s">
        <v>26</v>
      </c>
    </row>
    <row r="3157" ht="15.75" customHeight="1">
      <c r="A3157" s="1" t="s">
        <v>3194</v>
      </c>
      <c r="B3157" s="1" t="s">
        <v>32</v>
      </c>
      <c r="C3157" s="1">
        <v>0.0</v>
      </c>
      <c r="D3157" s="1" t="s">
        <v>26</v>
      </c>
      <c r="E3157" s="1" t="s">
        <v>25</v>
      </c>
      <c r="F3157" s="1">
        <v>29.0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1">
        <v>19.85</v>
      </c>
      <c r="T3157" s="1">
        <v>535.05</v>
      </c>
      <c r="U3157" s="1">
        <v>0.0</v>
      </c>
      <c r="V3157" s="1">
        <v>0.0</v>
      </c>
      <c r="W3157" s="1" t="s">
        <v>26</v>
      </c>
    </row>
    <row r="3158" ht="15.75" customHeight="1">
      <c r="A3158" s="1" t="s">
        <v>3195</v>
      </c>
      <c r="B3158" s="1" t="s">
        <v>24</v>
      </c>
      <c r="C3158" s="1">
        <v>0.0</v>
      </c>
      <c r="D3158" s="1" t="s">
        <v>26</v>
      </c>
      <c r="E3158" s="1" t="s">
        <v>26</v>
      </c>
      <c r="F3158" s="1">
        <v>25.0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1">
        <v>19.05</v>
      </c>
      <c r="T3158" s="1">
        <v>461.3</v>
      </c>
      <c r="U3158" s="1">
        <v>0.0</v>
      </c>
      <c r="V3158" s="1">
        <v>0.0</v>
      </c>
      <c r="W3158" s="1" t="s">
        <v>26</v>
      </c>
    </row>
    <row r="3159" ht="15.75" customHeight="1">
      <c r="A3159" s="1" t="s">
        <v>3196</v>
      </c>
      <c r="B3159" s="1" t="s">
        <v>32</v>
      </c>
      <c r="C3159" s="1">
        <v>0.0</v>
      </c>
      <c r="D3159" s="1" t="s">
        <v>26</v>
      </c>
      <c r="E3159" s="1" t="s">
        <v>26</v>
      </c>
      <c r="F3159" s="1">
        <v>9.0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1">
        <v>44.95</v>
      </c>
      <c r="T3159" s="1">
        <v>431.0</v>
      </c>
      <c r="U3159" s="1">
        <v>0.0</v>
      </c>
      <c r="V3159" s="1">
        <v>0.0</v>
      </c>
      <c r="W3159" s="1" t="s">
        <v>25</v>
      </c>
    </row>
    <row r="3160" ht="15.75" customHeight="1">
      <c r="A3160" s="1" t="s">
        <v>3197</v>
      </c>
      <c r="B3160" s="1" t="s">
        <v>32</v>
      </c>
      <c r="C3160" s="1">
        <v>0.0</v>
      </c>
      <c r="D3160" s="1" t="s">
        <v>25</v>
      </c>
      <c r="E3160" s="1" t="s">
        <v>26</v>
      </c>
      <c r="F3160" s="1">
        <v>18.0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1">
        <v>49.55</v>
      </c>
      <c r="T3160" s="1">
        <v>878.35</v>
      </c>
      <c r="U3160" s="1">
        <v>0.0</v>
      </c>
      <c r="V3160" s="1">
        <v>0.0</v>
      </c>
      <c r="W3160" s="1" t="s">
        <v>25</v>
      </c>
    </row>
    <row r="3161" ht="15.75" customHeight="1">
      <c r="A3161" s="1" t="s">
        <v>3198</v>
      </c>
      <c r="B3161" s="1" t="s">
        <v>32</v>
      </c>
      <c r="C3161" s="1">
        <v>1.0</v>
      </c>
      <c r="D3161" s="1" t="s">
        <v>26</v>
      </c>
      <c r="E3161" s="1" t="s">
        <v>26</v>
      </c>
      <c r="F3161" s="1">
        <v>3.0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1">
        <v>94.85</v>
      </c>
      <c r="T3161" s="1">
        <v>335.75</v>
      </c>
      <c r="U3161" s="1">
        <v>5.0</v>
      </c>
      <c r="V3161" s="1">
        <v>0.0</v>
      </c>
      <c r="W3161" s="1" t="s">
        <v>26</v>
      </c>
    </row>
    <row r="3162" ht="15.75" customHeight="1">
      <c r="A3162" s="1" t="s">
        <v>3199</v>
      </c>
      <c r="B3162" s="1" t="s">
        <v>24</v>
      </c>
      <c r="C3162" s="1">
        <v>0.0</v>
      </c>
      <c r="D3162" s="1" t="s">
        <v>25</v>
      </c>
      <c r="E3162" s="1" t="s">
        <v>25</v>
      </c>
      <c r="F3162" s="1">
        <v>69.0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1">
        <v>46.25</v>
      </c>
      <c r="T3162" s="1">
        <v>3121.4</v>
      </c>
      <c r="U3162" s="1">
        <v>0.0</v>
      </c>
      <c r="V3162" s="1">
        <v>0.0</v>
      </c>
      <c r="W3162" s="1" t="s">
        <v>26</v>
      </c>
    </row>
    <row r="3163" ht="15.75" customHeight="1">
      <c r="A3163" s="1" t="s">
        <v>3200</v>
      </c>
      <c r="B3163" s="1" t="s">
        <v>32</v>
      </c>
      <c r="C3163" s="1">
        <v>0.0</v>
      </c>
      <c r="D3163" s="1" t="s">
        <v>26</v>
      </c>
      <c r="E3163" s="1" t="s">
        <v>26</v>
      </c>
      <c r="F3163" s="1">
        <v>14.0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1">
        <v>19.35</v>
      </c>
      <c r="T3163" s="1">
        <v>324.8</v>
      </c>
      <c r="U3163" s="1">
        <v>0.0</v>
      </c>
      <c r="V3163" s="1">
        <v>0.0</v>
      </c>
      <c r="W3163" s="1" t="s">
        <v>26</v>
      </c>
    </row>
    <row r="3164" ht="15.75" customHeight="1">
      <c r="A3164" s="1" t="s">
        <v>3201</v>
      </c>
      <c r="B3164" s="1" t="s">
        <v>32</v>
      </c>
      <c r="C3164" s="1">
        <v>0.0</v>
      </c>
      <c r="D3164" s="1" t="s">
        <v>26</v>
      </c>
      <c r="E3164" s="1" t="s">
        <v>26</v>
      </c>
      <c r="F3164" s="1">
        <v>19.0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1">
        <v>69.6</v>
      </c>
      <c r="T3164" s="1">
        <v>1394.55</v>
      </c>
      <c r="U3164" s="1">
        <v>0.0</v>
      </c>
      <c r="V3164" s="1">
        <v>0.0</v>
      </c>
      <c r="W3164" s="1" t="s">
        <v>26</v>
      </c>
    </row>
    <row r="3165" ht="15.75" customHeight="1">
      <c r="A3165" s="1" t="s">
        <v>3202</v>
      </c>
      <c r="B3165" s="1" t="s">
        <v>32</v>
      </c>
      <c r="C3165" s="1">
        <v>1.0</v>
      </c>
      <c r="D3165" s="1" t="s">
        <v>26</v>
      </c>
      <c r="E3165" s="1" t="s">
        <v>26</v>
      </c>
      <c r="F3165" s="1">
        <v>39.0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1">
        <v>90.7</v>
      </c>
      <c r="T3165" s="1">
        <v>3413.25</v>
      </c>
      <c r="U3165" s="1">
        <v>0.0</v>
      </c>
      <c r="V3165" s="1">
        <v>0.0</v>
      </c>
      <c r="W3165" s="1" t="s">
        <v>26</v>
      </c>
    </row>
    <row r="3166" ht="15.75" customHeight="1">
      <c r="A3166" s="1" t="s">
        <v>3203</v>
      </c>
      <c r="B3166" s="1" t="s">
        <v>32</v>
      </c>
      <c r="C3166" s="1">
        <v>0.0</v>
      </c>
      <c r="D3166" s="1" t="s">
        <v>26</v>
      </c>
      <c r="E3166" s="1" t="s">
        <v>26</v>
      </c>
      <c r="F3166" s="1">
        <v>31.0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1">
        <v>101.4</v>
      </c>
      <c r="T3166" s="1">
        <v>3143.65</v>
      </c>
      <c r="U3166" s="1">
        <v>0.0</v>
      </c>
      <c r="V3166" s="1">
        <v>0.0</v>
      </c>
      <c r="W3166" s="1" t="s">
        <v>26</v>
      </c>
    </row>
    <row r="3167" ht="15.75" customHeight="1">
      <c r="A3167" s="1" t="s">
        <v>3204</v>
      </c>
      <c r="B3167" s="1" t="s">
        <v>32</v>
      </c>
      <c r="C3167" s="1">
        <v>0.0</v>
      </c>
      <c r="D3167" s="1" t="s">
        <v>25</v>
      </c>
      <c r="E3167" s="1" t="s">
        <v>25</v>
      </c>
      <c r="F3167" s="1">
        <v>24.0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1">
        <v>20.25</v>
      </c>
      <c r="T3167" s="1">
        <v>439.75</v>
      </c>
      <c r="U3167" s="1">
        <v>2.0</v>
      </c>
      <c r="V3167" s="1">
        <v>0.0</v>
      </c>
      <c r="W3167" s="1" t="s">
        <v>26</v>
      </c>
    </row>
    <row r="3168" ht="15.75" customHeight="1">
      <c r="A3168" s="1" t="s">
        <v>3205</v>
      </c>
      <c r="B3168" s="1" t="s">
        <v>32</v>
      </c>
      <c r="C3168" s="1">
        <v>0.0</v>
      </c>
      <c r="D3168" s="1" t="s">
        <v>25</v>
      </c>
      <c r="E3168" s="1" t="s">
        <v>26</v>
      </c>
      <c r="F3168" s="1">
        <v>14.0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1">
        <v>48.8</v>
      </c>
      <c r="T3168" s="1">
        <v>664.4</v>
      </c>
      <c r="U3168" s="1">
        <v>0.0</v>
      </c>
      <c r="V3168" s="1">
        <v>0.0</v>
      </c>
      <c r="W3168" s="1" t="s">
        <v>26</v>
      </c>
    </row>
    <row r="3169" ht="15.75" customHeight="1">
      <c r="A3169" s="1" t="s">
        <v>3206</v>
      </c>
      <c r="B3169" s="1" t="s">
        <v>24</v>
      </c>
      <c r="C3169" s="1">
        <v>0.0</v>
      </c>
      <c r="D3169" s="1" t="s">
        <v>25</v>
      </c>
      <c r="E3169" s="1" t="s">
        <v>26</v>
      </c>
      <c r="F3169" s="1">
        <v>64.0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1">
        <v>74.35</v>
      </c>
      <c r="T3169" s="1">
        <v>4759.55</v>
      </c>
      <c r="U3169" s="1">
        <v>0.0</v>
      </c>
      <c r="V3169" s="1">
        <v>0.0</v>
      </c>
      <c r="W3169" s="1" t="s">
        <v>26</v>
      </c>
    </row>
    <row r="3170" ht="15.75" customHeight="1">
      <c r="A3170" s="1" t="s">
        <v>3207</v>
      </c>
      <c r="B3170" s="1" t="s">
        <v>24</v>
      </c>
      <c r="C3170" s="1">
        <v>0.0</v>
      </c>
      <c r="D3170" s="1" t="s">
        <v>26</v>
      </c>
      <c r="E3170" s="1" t="s">
        <v>26</v>
      </c>
      <c r="F3170" s="1">
        <v>50.0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1">
        <v>19.35</v>
      </c>
      <c r="T3170" s="1">
        <v>1033.0</v>
      </c>
      <c r="U3170" s="1">
        <v>0.0</v>
      </c>
      <c r="V3170" s="1">
        <v>2.0</v>
      </c>
      <c r="W3170" s="1" t="s">
        <v>26</v>
      </c>
    </row>
    <row r="3171" ht="15.75" customHeight="1">
      <c r="A3171" s="1" t="s">
        <v>3208</v>
      </c>
      <c r="B3171" s="1" t="s">
        <v>32</v>
      </c>
      <c r="C3171" s="1">
        <v>0.0</v>
      </c>
      <c r="D3171" s="1" t="s">
        <v>25</v>
      </c>
      <c r="E3171" s="1" t="s">
        <v>25</v>
      </c>
      <c r="F3171" s="1">
        <v>52.0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1">
        <v>68.75</v>
      </c>
      <c r="T3171" s="1">
        <v>3482.85</v>
      </c>
      <c r="U3171" s="1">
        <v>0.0</v>
      </c>
      <c r="V3171" s="1">
        <v>0.0</v>
      </c>
      <c r="W3171" s="1" t="s">
        <v>26</v>
      </c>
    </row>
    <row r="3172" ht="15.75" customHeight="1">
      <c r="A3172" s="1" t="s">
        <v>3209</v>
      </c>
      <c r="B3172" s="1" t="s">
        <v>32</v>
      </c>
      <c r="C3172" s="1">
        <v>0.0</v>
      </c>
      <c r="D3172" s="1" t="s">
        <v>26</v>
      </c>
      <c r="E3172" s="1" t="s">
        <v>26</v>
      </c>
      <c r="F3172" s="1">
        <v>28.0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1">
        <v>100.2</v>
      </c>
      <c r="T3172" s="1">
        <v>2688.45</v>
      </c>
      <c r="U3172" s="1">
        <v>3.0</v>
      </c>
      <c r="V3172" s="1">
        <v>0.0</v>
      </c>
      <c r="W3172" s="1" t="s">
        <v>26</v>
      </c>
    </row>
    <row r="3173" ht="15.75" customHeight="1">
      <c r="A3173" s="1" t="s">
        <v>3210</v>
      </c>
      <c r="B3173" s="1" t="s">
        <v>24</v>
      </c>
      <c r="C3173" s="1">
        <v>0.0</v>
      </c>
      <c r="D3173" s="1" t="s">
        <v>26</v>
      </c>
      <c r="E3173" s="1" t="s">
        <v>26</v>
      </c>
      <c r="F3173" s="1">
        <v>21.0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1">
        <v>20.85</v>
      </c>
      <c r="T3173" s="1">
        <v>435.25</v>
      </c>
      <c r="U3173" s="1">
        <v>0.0</v>
      </c>
      <c r="V3173" s="1">
        <v>0.0</v>
      </c>
      <c r="W3173" s="1" t="s">
        <v>26</v>
      </c>
    </row>
    <row r="3174" ht="15.75" customHeight="1">
      <c r="A3174" s="1" t="s">
        <v>3211</v>
      </c>
      <c r="B3174" s="1" t="s">
        <v>32</v>
      </c>
      <c r="C3174" s="1">
        <v>0.0</v>
      </c>
      <c r="D3174" s="1" t="s">
        <v>26</v>
      </c>
      <c r="E3174" s="1" t="s">
        <v>25</v>
      </c>
      <c r="F3174" s="1">
        <v>25.0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1">
        <v>95.9</v>
      </c>
      <c r="T3174" s="1">
        <v>2448.75</v>
      </c>
      <c r="U3174" s="1">
        <v>0.0</v>
      </c>
      <c r="V3174" s="1">
        <v>2.0</v>
      </c>
      <c r="W3174" s="1" t="s">
        <v>25</v>
      </c>
    </row>
    <row r="3175" ht="15.75" customHeight="1">
      <c r="A3175" s="1" t="s">
        <v>3212</v>
      </c>
      <c r="B3175" s="1" t="s">
        <v>24</v>
      </c>
      <c r="C3175" s="1">
        <v>0.0</v>
      </c>
      <c r="D3175" s="1" t="s">
        <v>25</v>
      </c>
      <c r="E3175" s="1" t="s">
        <v>26</v>
      </c>
      <c r="F3175" s="1">
        <v>17.0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1">
        <v>19.35</v>
      </c>
      <c r="T3175" s="1">
        <v>307.0</v>
      </c>
      <c r="U3175" s="1">
        <v>0.0</v>
      </c>
      <c r="V3175" s="1">
        <v>0.0</v>
      </c>
      <c r="W3175" s="1" t="s">
        <v>26</v>
      </c>
    </row>
    <row r="3176" ht="15.75" customHeight="1">
      <c r="A3176" s="1" t="s">
        <v>3213</v>
      </c>
      <c r="B3176" s="1" t="s">
        <v>32</v>
      </c>
      <c r="C3176" s="1">
        <v>0.0</v>
      </c>
      <c r="D3176" s="1" t="s">
        <v>25</v>
      </c>
      <c r="E3176" s="1" t="s">
        <v>26</v>
      </c>
      <c r="F3176" s="1">
        <v>58.0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1">
        <v>45.0</v>
      </c>
      <c r="T3176" s="1">
        <v>2689.35</v>
      </c>
      <c r="U3176" s="1">
        <v>0.0</v>
      </c>
      <c r="V3176" s="1">
        <v>0.0</v>
      </c>
      <c r="W3176" s="1" t="s">
        <v>26</v>
      </c>
    </row>
    <row r="3177" ht="15.75" customHeight="1">
      <c r="A3177" s="1" t="s">
        <v>3214</v>
      </c>
      <c r="B3177" s="1" t="s">
        <v>32</v>
      </c>
      <c r="C3177" s="1">
        <v>1.0</v>
      </c>
      <c r="D3177" s="1" t="s">
        <v>25</v>
      </c>
      <c r="E3177" s="1" t="s">
        <v>26</v>
      </c>
      <c r="F3177" s="1">
        <v>17.0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1">
        <v>81.5</v>
      </c>
      <c r="T3177" s="1">
        <v>1329.2</v>
      </c>
      <c r="U3177" s="1">
        <v>0.0</v>
      </c>
      <c r="V3177" s="1">
        <v>0.0</v>
      </c>
      <c r="W3177" s="1" t="s">
        <v>25</v>
      </c>
    </row>
    <row r="3178" ht="15.75" customHeight="1">
      <c r="A3178" s="1" t="s">
        <v>3215</v>
      </c>
      <c r="B3178" s="1" t="s">
        <v>24</v>
      </c>
      <c r="C3178" s="1">
        <v>0.0</v>
      </c>
      <c r="D3178" s="1" t="s">
        <v>25</v>
      </c>
      <c r="E3178" s="1" t="s">
        <v>26</v>
      </c>
      <c r="F3178" s="1">
        <v>51.0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1">
        <v>25.5</v>
      </c>
      <c r="T3178" s="1">
        <v>1281.25</v>
      </c>
      <c r="U3178" s="1">
        <v>0.0</v>
      </c>
      <c r="V3178" s="1">
        <v>0.0</v>
      </c>
      <c r="W3178" s="1" t="s">
        <v>26</v>
      </c>
    </row>
    <row r="3179" ht="15.75" customHeight="1">
      <c r="A3179" s="1" t="s">
        <v>3216</v>
      </c>
      <c r="B3179" s="1" t="s">
        <v>32</v>
      </c>
      <c r="C3179" s="1">
        <v>0.0</v>
      </c>
      <c r="D3179" s="1" t="s">
        <v>25</v>
      </c>
      <c r="E3179" s="1" t="s">
        <v>25</v>
      </c>
      <c r="F3179" s="1">
        <v>72.0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1">
        <v>48.9</v>
      </c>
      <c r="T3179" s="1">
        <v>3527.0</v>
      </c>
      <c r="U3179" s="1">
        <v>0.0</v>
      </c>
      <c r="V3179" s="1">
        <v>0.0</v>
      </c>
      <c r="W3179" s="1" t="s">
        <v>26</v>
      </c>
    </row>
    <row r="3180" ht="15.75" customHeight="1">
      <c r="A3180" s="1" t="s">
        <v>3217</v>
      </c>
      <c r="B3180" s="1" t="s">
        <v>32</v>
      </c>
      <c r="C3180" s="1">
        <v>0.0</v>
      </c>
      <c r="D3180" s="1" t="s">
        <v>25</v>
      </c>
      <c r="E3180" s="1" t="s">
        <v>26</v>
      </c>
      <c r="F3180" s="1">
        <v>52.0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1">
        <v>84.1</v>
      </c>
      <c r="T3180" s="1">
        <v>4348.65</v>
      </c>
      <c r="U3180" s="1">
        <v>0.0</v>
      </c>
      <c r="V3180" s="1">
        <v>3.0</v>
      </c>
      <c r="W3180" s="1" t="s">
        <v>25</v>
      </c>
    </row>
    <row r="3181" ht="15.75" customHeight="1">
      <c r="A3181" s="1" t="s">
        <v>3218</v>
      </c>
      <c r="B3181" s="1" t="s">
        <v>24</v>
      </c>
      <c r="C3181" s="1">
        <v>0.0</v>
      </c>
      <c r="D3181" s="1" t="s">
        <v>26</v>
      </c>
      <c r="E3181" s="1" t="s">
        <v>26</v>
      </c>
      <c r="F3181" s="1">
        <v>27.0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1">
        <v>19.6</v>
      </c>
      <c r="T3181" s="1">
        <v>561.15</v>
      </c>
      <c r="U3181" s="1">
        <v>0.0</v>
      </c>
      <c r="V3181" s="1">
        <v>0.0</v>
      </c>
      <c r="W3181" s="1" t="s">
        <v>26</v>
      </c>
    </row>
    <row r="3182" ht="15.75" customHeight="1">
      <c r="A3182" s="1" t="s">
        <v>3219</v>
      </c>
      <c r="B3182" s="1" t="s">
        <v>24</v>
      </c>
      <c r="C3182" s="1">
        <v>0.0</v>
      </c>
      <c r="D3182" s="1" t="s">
        <v>26</v>
      </c>
      <c r="E3182" s="1" t="s">
        <v>26</v>
      </c>
      <c r="F3182" s="1">
        <v>3.0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1">
        <v>20.0</v>
      </c>
      <c r="T3182" s="1">
        <v>63.6</v>
      </c>
      <c r="U3182" s="1">
        <v>3.0</v>
      </c>
      <c r="V3182" s="1">
        <v>0.0</v>
      </c>
      <c r="W3182" s="1" t="s">
        <v>26</v>
      </c>
    </row>
    <row r="3183" ht="15.75" customHeight="1">
      <c r="A3183" s="1" t="s">
        <v>3220</v>
      </c>
      <c r="B3183" s="1" t="s">
        <v>24</v>
      </c>
      <c r="C3183" s="1">
        <v>0.0</v>
      </c>
      <c r="D3183" s="1" t="s">
        <v>25</v>
      </c>
      <c r="E3183" s="1" t="s">
        <v>26</v>
      </c>
      <c r="F3183" s="1">
        <v>64.0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1">
        <v>81.3</v>
      </c>
      <c r="T3183" s="1">
        <v>5129.3</v>
      </c>
      <c r="U3183" s="1">
        <v>0.0</v>
      </c>
      <c r="V3183" s="1">
        <v>0.0</v>
      </c>
      <c r="W3183" s="1" t="s">
        <v>26</v>
      </c>
    </row>
    <row r="3184" ht="15.75" customHeight="1">
      <c r="A3184" s="1" t="s">
        <v>3221</v>
      </c>
      <c r="B3184" s="1" t="s">
        <v>24</v>
      </c>
      <c r="C3184" s="1">
        <v>0.0</v>
      </c>
      <c r="D3184" s="1" t="s">
        <v>25</v>
      </c>
      <c r="E3184" s="1" t="s">
        <v>26</v>
      </c>
      <c r="F3184" s="1">
        <v>45.0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1">
        <v>95.2</v>
      </c>
      <c r="T3184" s="1">
        <v>4285.8</v>
      </c>
      <c r="U3184" s="1">
        <v>0.0</v>
      </c>
      <c r="V3184" s="1">
        <v>0.0</v>
      </c>
      <c r="W3184" s="1" t="s">
        <v>26</v>
      </c>
    </row>
    <row r="3185" ht="15.75" customHeight="1">
      <c r="A3185" s="1" t="s">
        <v>3222</v>
      </c>
      <c r="B3185" s="1" t="s">
        <v>32</v>
      </c>
      <c r="C3185" s="1">
        <v>1.0</v>
      </c>
      <c r="D3185" s="1" t="s">
        <v>25</v>
      </c>
      <c r="E3185" s="1" t="s">
        <v>26</v>
      </c>
      <c r="F3185" s="1">
        <v>3.0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1">
        <v>36.45</v>
      </c>
      <c r="T3185" s="1">
        <v>93.7</v>
      </c>
      <c r="U3185" s="1">
        <v>0.0</v>
      </c>
      <c r="V3185" s="1">
        <v>0.0</v>
      </c>
      <c r="W3185" s="1" t="s">
        <v>25</v>
      </c>
    </row>
    <row r="3186" ht="15.75" customHeight="1">
      <c r="A3186" s="1" t="s">
        <v>3223</v>
      </c>
      <c r="B3186" s="1" t="s">
        <v>24</v>
      </c>
      <c r="C3186" s="1">
        <v>0.0</v>
      </c>
      <c r="D3186" s="1" t="s">
        <v>25</v>
      </c>
      <c r="E3186" s="1" t="s">
        <v>26</v>
      </c>
      <c r="F3186" s="1">
        <v>71.0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1">
        <v>83.3</v>
      </c>
      <c r="T3186" s="1">
        <v>5894.5</v>
      </c>
      <c r="U3186" s="1">
        <v>0.0</v>
      </c>
      <c r="V3186" s="1">
        <v>0.0</v>
      </c>
      <c r="W3186" s="1" t="s">
        <v>26</v>
      </c>
    </row>
    <row r="3187" ht="15.75" customHeight="1">
      <c r="A3187" s="1" t="s">
        <v>3224</v>
      </c>
      <c r="B3187" s="1" t="s">
        <v>24</v>
      </c>
      <c r="C3187" s="1">
        <v>1.0</v>
      </c>
      <c r="D3187" s="1" t="s">
        <v>26</v>
      </c>
      <c r="E3187" s="1" t="s">
        <v>26</v>
      </c>
      <c r="F3187" s="1">
        <v>1.0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1">
        <v>25.05</v>
      </c>
      <c r="T3187" s="1">
        <v>25.05</v>
      </c>
      <c r="U3187" s="1">
        <v>0.0</v>
      </c>
      <c r="V3187" s="1">
        <v>0.0</v>
      </c>
      <c r="W3187" s="1" t="s">
        <v>25</v>
      </c>
    </row>
    <row r="3188" ht="15.75" customHeight="1">
      <c r="A3188" s="1" t="s">
        <v>3225</v>
      </c>
      <c r="B3188" s="1" t="s">
        <v>24</v>
      </c>
      <c r="C3188" s="1">
        <v>0.0</v>
      </c>
      <c r="D3188" s="1" t="s">
        <v>25</v>
      </c>
      <c r="E3188" s="1" t="s">
        <v>25</v>
      </c>
      <c r="F3188" s="1">
        <v>58.0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1">
        <v>20.3</v>
      </c>
      <c r="T3188" s="1">
        <v>1160.75</v>
      </c>
      <c r="U3188" s="1">
        <v>0.0</v>
      </c>
      <c r="V3188" s="1">
        <v>0.0</v>
      </c>
      <c r="W3188" s="1" t="s">
        <v>26</v>
      </c>
    </row>
    <row r="3189" ht="15.75" customHeight="1">
      <c r="A3189" s="1" t="s">
        <v>3226</v>
      </c>
      <c r="B3189" s="1" t="s">
        <v>32</v>
      </c>
      <c r="C3189" s="1">
        <v>0.0</v>
      </c>
      <c r="D3189" s="1" t="s">
        <v>25</v>
      </c>
      <c r="E3189" s="1" t="s">
        <v>25</v>
      </c>
      <c r="F3189" s="1">
        <v>34.0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1">
        <v>89.85</v>
      </c>
      <c r="T3189" s="1">
        <v>3091.75</v>
      </c>
      <c r="U3189" s="1">
        <v>0.0</v>
      </c>
      <c r="V3189" s="1">
        <v>0.0</v>
      </c>
      <c r="W3189" s="1" t="s">
        <v>26</v>
      </c>
    </row>
    <row r="3190" ht="15.75" customHeight="1">
      <c r="A3190" s="1" t="s">
        <v>3227</v>
      </c>
      <c r="B3190" s="1" t="s">
        <v>24</v>
      </c>
      <c r="C3190" s="1">
        <v>0.0</v>
      </c>
      <c r="D3190" s="1" t="s">
        <v>26</v>
      </c>
      <c r="E3190" s="1" t="s">
        <v>26</v>
      </c>
      <c r="F3190" s="1">
        <v>8.0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1">
        <v>49.85</v>
      </c>
      <c r="T3190" s="1">
        <v>365.55</v>
      </c>
      <c r="U3190" s="1">
        <v>0.0</v>
      </c>
      <c r="V3190" s="1">
        <v>0.0</v>
      </c>
      <c r="W3190" s="1" t="s">
        <v>25</v>
      </c>
    </row>
    <row r="3191" ht="15.75" customHeight="1">
      <c r="A3191" s="1" t="s">
        <v>3228</v>
      </c>
      <c r="B3191" s="1" t="s">
        <v>24</v>
      </c>
      <c r="C3191" s="1">
        <v>0.0</v>
      </c>
      <c r="D3191" s="1" t="s">
        <v>25</v>
      </c>
      <c r="E3191" s="1" t="s">
        <v>25</v>
      </c>
      <c r="F3191" s="1">
        <v>15.0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1">
        <v>19.8</v>
      </c>
      <c r="T3191" s="1">
        <v>272.95</v>
      </c>
      <c r="U3191" s="1">
        <v>2.0</v>
      </c>
      <c r="V3191" s="1">
        <v>0.0</v>
      </c>
      <c r="W3191" s="1" t="s">
        <v>26</v>
      </c>
    </row>
    <row r="3192" ht="15.75" customHeight="1">
      <c r="A3192" s="1" t="s">
        <v>3229</v>
      </c>
      <c r="B3192" s="1" t="s">
        <v>32</v>
      </c>
      <c r="C3192" s="1">
        <v>0.0</v>
      </c>
      <c r="D3192" s="1" t="s">
        <v>25</v>
      </c>
      <c r="E3192" s="1" t="s">
        <v>25</v>
      </c>
      <c r="F3192" s="1">
        <v>66.0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1">
        <v>54.65</v>
      </c>
      <c r="T3192" s="1">
        <v>3632.0</v>
      </c>
      <c r="U3192" s="1">
        <v>0.0</v>
      </c>
      <c r="V3192" s="1">
        <v>0.0</v>
      </c>
      <c r="W3192" s="1" t="s">
        <v>26</v>
      </c>
    </row>
    <row r="3193" ht="15.75" customHeight="1">
      <c r="A3193" s="1" t="s">
        <v>3230</v>
      </c>
      <c r="B3193" s="1" t="s">
        <v>32</v>
      </c>
      <c r="C3193" s="1">
        <v>1.0</v>
      </c>
      <c r="D3193" s="1" t="s">
        <v>26</v>
      </c>
      <c r="E3193" s="1" t="s">
        <v>26</v>
      </c>
      <c r="F3193" s="1">
        <v>12.0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1">
        <v>29.35</v>
      </c>
      <c r="T3193" s="1">
        <v>381.2</v>
      </c>
      <c r="U3193" s="1">
        <v>0.0</v>
      </c>
      <c r="V3193" s="1">
        <v>0.0</v>
      </c>
      <c r="W3193" s="1" t="s">
        <v>26</v>
      </c>
    </row>
    <row r="3194" ht="15.75" customHeight="1">
      <c r="A3194" s="1" t="s">
        <v>3231</v>
      </c>
      <c r="B3194" s="1" t="s">
        <v>32</v>
      </c>
      <c r="C3194" s="1">
        <v>0.0</v>
      </c>
      <c r="D3194" s="1" t="s">
        <v>26</v>
      </c>
      <c r="E3194" s="1" t="s">
        <v>26</v>
      </c>
      <c r="F3194" s="1">
        <v>58.0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1">
        <v>19.15</v>
      </c>
      <c r="T3194" s="1">
        <v>1035.5</v>
      </c>
      <c r="U3194" s="1">
        <v>3.0</v>
      </c>
      <c r="V3194" s="1">
        <v>0.0</v>
      </c>
      <c r="W3194" s="1" t="s">
        <v>26</v>
      </c>
    </row>
    <row r="3195" ht="15.75" customHeight="1">
      <c r="A3195" s="1" t="s">
        <v>3232</v>
      </c>
      <c r="B3195" s="1" t="s">
        <v>24</v>
      </c>
      <c r="C3195" s="1">
        <v>0.0</v>
      </c>
      <c r="D3195" s="1" t="s">
        <v>25</v>
      </c>
      <c r="E3195" s="1" t="s">
        <v>25</v>
      </c>
      <c r="F3195" s="1">
        <v>3.0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1">
        <v>19.1</v>
      </c>
      <c r="T3195" s="1">
        <v>52.0</v>
      </c>
      <c r="U3195" s="1">
        <v>0.0</v>
      </c>
      <c r="V3195" s="1">
        <v>0.0</v>
      </c>
      <c r="W3195" s="1" t="s">
        <v>26</v>
      </c>
    </row>
    <row r="3196" ht="15.75" customHeight="1">
      <c r="A3196" s="1" t="s">
        <v>3233</v>
      </c>
      <c r="B3196" s="1" t="s">
        <v>24</v>
      </c>
      <c r="C3196" s="1">
        <v>1.0</v>
      </c>
      <c r="D3196" s="1" t="s">
        <v>25</v>
      </c>
      <c r="E3196" s="1" t="s">
        <v>26</v>
      </c>
      <c r="F3196" s="1">
        <v>43.0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1">
        <v>55.55</v>
      </c>
      <c r="T3196" s="1">
        <v>2342.2</v>
      </c>
      <c r="U3196" s="1">
        <v>0.0</v>
      </c>
      <c r="V3196" s="1">
        <v>4.0</v>
      </c>
      <c r="W3196" s="1" t="s">
        <v>25</v>
      </c>
    </row>
    <row r="3197" ht="15.75" customHeight="1">
      <c r="A3197" s="1" t="s">
        <v>3234</v>
      </c>
      <c r="B3197" s="1" t="s">
        <v>24</v>
      </c>
      <c r="C3197" s="1">
        <v>0.0</v>
      </c>
      <c r="D3197" s="1" t="s">
        <v>26</v>
      </c>
      <c r="E3197" s="1" t="s">
        <v>26</v>
      </c>
      <c r="F3197" s="1">
        <v>9.0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1">
        <v>80.55</v>
      </c>
      <c r="T3197" s="1">
        <v>653.9</v>
      </c>
      <c r="U3197" s="1">
        <v>0.0</v>
      </c>
      <c r="V3197" s="1">
        <v>0.0</v>
      </c>
      <c r="W3197" s="1" t="s">
        <v>26</v>
      </c>
    </row>
    <row r="3198" ht="15.75" customHeight="1">
      <c r="A3198" s="1" t="s">
        <v>3235</v>
      </c>
      <c r="B3198" s="1" t="s">
        <v>24</v>
      </c>
      <c r="C3198" s="1">
        <v>0.0</v>
      </c>
      <c r="D3198" s="1" t="s">
        <v>26</v>
      </c>
      <c r="E3198" s="1" t="s">
        <v>26</v>
      </c>
      <c r="F3198" s="1">
        <v>3.0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1">
        <v>20.25</v>
      </c>
      <c r="T3198" s="1">
        <v>71.2</v>
      </c>
      <c r="U3198" s="1">
        <v>0.0</v>
      </c>
      <c r="V3198" s="1">
        <v>0.0</v>
      </c>
      <c r="W3198" s="1" t="s">
        <v>26</v>
      </c>
    </row>
    <row r="3199" ht="15.75" customHeight="1">
      <c r="A3199" s="1" t="s">
        <v>3236</v>
      </c>
      <c r="B3199" s="1" t="s">
        <v>24</v>
      </c>
      <c r="C3199" s="1">
        <v>0.0</v>
      </c>
      <c r="D3199" s="1" t="s">
        <v>25</v>
      </c>
      <c r="E3199" s="1" t="s">
        <v>25</v>
      </c>
      <c r="F3199" s="1">
        <v>22.0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1">
        <v>69.5</v>
      </c>
      <c r="T3199" s="1">
        <v>1498.2</v>
      </c>
      <c r="U3199" s="1">
        <v>0.0</v>
      </c>
      <c r="V3199" s="1">
        <v>2.0</v>
      </c>
      <c r="W3199" s="1" t="s">
        <v>25</v>
      </c>
    </row>
    <row r="3200" ht="15.75" customHeight="1">
      <c r="A3200" s="1" t="s">
        <v>3237</v>
      </c>
      <c r="B3200" s="1" t="s">
        <v>32</v>
      </c>
      <c r="C3200" s="1">
        <v>0.0</v>
      </c>
      <c r="D3200" s="1" t="s">
        <v>25</v>
      </c>
      <c r="E3200" s="1" t="s">
        <v>26</v>
      </c>
      <c r="F3200" s="1">
        <v>40.0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1">
        <v>106.0</v>
      </c>
      <c r="T3200" s="1">
        <v>4178.65</v>
      </c>
      <c r="U3200" s="1">
        <v>0.0</v>
      </c>
      <c r="V3200" s="1">
        <v>0.0</v>
      </c>
      <c r="W3200" s="1" t="s">
        <v>26</v>
      </c>
    </row>
    <row r="3201" ht="15.75" customHeight="1">
      <c r="A3201" s="1" t="s">
        <v>3238</v>
      </c>
      <c r="B3201" s="1" t="s">
        <v>24</v>
      </c>
      <c r="C3201" s="1">
        <v>0.0</v>
      </c>
      <c r="D3201" s="1" t="s">
        <v>26</v>
      </c>
      <c r="E3201" s="1" t="s">
        <v>26</v>
      </c>
      <c r="F3201" s="1">
        <v>68.0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1">
        <v>25.5</v>
      </c>
      <c r="T3201" s="1">
        <v>1821.8</v>
      </c>
      <c r="U3201" s="1">
        <v>0.0</v>
      </c>
      <c r="V3201" s="1">
        <v>0.0</v>
      </c>
      <c r="W3201" s="1" t="s">
        <v>26</v>
      </c>
    </row>
    <row r="3202" ht="15.75" customHeight="1">
      <c r="A3202" s="1" t="s">
        <v>3239</v>
      </c>
      <c r="B3202" s="1" t="s">
        <v>32</v>
      </c>
      <c r="C3202" s="1">
        <v>0.0</v>
      </c>
      <c r="D3202" s="1" t="s">
        <v>25</v>
      </c>
      <c r="E3202" s="1" t="s">
        <v>26</v>
      </c>
      <c r="F3202" s="1">
        <v>54.0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1">
        <v>104.3</v>
      </c>
      <c r="T3202" s="1">
        <v>5278.15</v>
      </c>
      <c r="U3202" s="1">
        <v>0.0</v>
      </c>
      <c r="V3202" s="1">
        <v>4.0</v>
      </c>
      <c r="W3202" s="1" t="s">
        <v>25</v>
      </c>
    </row>
    <row r="3203" ht="15.75" customHeight="1">
      <c r="A3203" s="1" t="s">
        <v>3240</v>
      </c>
      <c r="B3203" s="1" t="s">
        <v>24</v>
      </c>
      <c r="C3203" s="1">
        <v>0.0</v>
      </c>
      <c r="D3203" s="1" t="s">
        <v>26</v>
      </c>
      <c r="E3203" s="1" t="s">
        <v>26</v>
      </c>
      <c r="F3203" s="1">
        <v>50.0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1">
        <v>79.6</v>
      </c>
      <c r="T3203" s="1">
        <v>4024.2</v>
      </c>
      <c r="U3203" s="1">
        <v>0.0</v>
      </c>
      <c r="V3203" s="1">
        <v>0.0</v>
      </c>
      <c r="W3203" s="1" t="s">
        <v>26</v>
      </c>
    </row>
    <row r="3204" ht="15.75" customHeight="1">
      <c r="A3204" s="1" t="s">
        <v>3241</v>
      </c>
      <c r="B3204" s="1" t="s">
        <v>32</v>
      </c>
      <c r="C3204" s="1">
        <v>0.0</v>
      </c>
      <c r="D3204" s="1" t="s">
        <v>26</v>
      </c>
      <c r="E3204" s="1" t="s">
        <v>26</v>
      </c>
      <c r="F3204" s="1">
        <v>1.0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1">
        <v>55.25</v>
      </c>
      <c r="T3204" s="1">
        <v>55.25</v>
      </c>
      <c r="U3204" s="1">
        <v>0.0</v>
      </c>
      <c r="V3204" s="1">
        <v>0.0</v>
      </c>
      <c r="W3204" s="1" t="s">
        <v>26</v>
      </c>
    </row>
    <row r="3205" ht="15.75" customHeight="1">
      <c r="A3205" s="1" t="s">
        <v>3242</v>
      </c>
      <c r="B3205" s="1" t="s">
        <v>24</v>
      </c>
      <c r="C3205" s="1">
        <v>0.0</v>
      </c>
      <c r="D3205" s="1" t="s">
        <v>25</v>
      </c>
      <c r="E3205" s="1" t="s">
        <v>26</v>
      </c>
      <c r="F3205" s="1">
        <v>72.0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1">
        <v>88.05</v>
      </c>
      <c r="T3205" s="1">
        <v>6520.8</v>
      </c>
      <c r="U3205" s="1">
        <v>0.0</v>
      </c>
      <c r="V3205" s="1">
        <v>0.0</v>
      </c>
      <c r="W3205" s="1" t="s">
        <v>26</v>
      </c>
    </row>
    <row r="3206" ht="15.75" customHeight="1">
      <c r="A3206" s="1" t="s">
        <v>3243</v>
      </c>
      <c r="B3206" s="1" t="s">
        <v>32</v>
      </c>
      <c r="C3206" s="1">
        <v>0.0</v>
      </c>
      <c r="D3206" s="1" t="s">
        <v>26</v>
      </c>
      <c r="E3206" s="1" t="s">
        <v>25</v>
      </c>
      <c r="F3206" s="1">
        <v>40.0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1">
        <v>20.4</v>
      </c>
      <c r="T3206" s="1">
        <v>854.9</v>
      </c>
      <c r="U3206" s="1">
        <v>0.0</v>
      </c>
      <c r="V3206" s="1">
        <v>0.0</v>
      </c>
      <c r="W3206" s="1" t="s">
        <v>26</v>
      </c>
    </row>
    <row r="3207" ht="15.75" customHeight="1">
      <c r="A3207" s="1" t="s">
        <v>3244</v>
      </c>
      <c r="B3207" s="1" t="s">
        <v>24</v>
      </c>
      <c r="C3207" s="1">
        <v>0.0</v>
      </c>
      <c r="D3207" s="1" t="s">
        <v>25</v>
      </c>
      <c r="E3207" s="1" t="s">
        <v>25</v>
      </c>
      <c r="F3207" s="1">
        <v>72.0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1">
        <v>117.6</v>
      </c>
      <c r="T3207" s="1">
        <v>8308.9</v>
      </c>
      <c r="U3207" s="1">
        <v>1.0</v>
      </c>
      <c r="V3207" s="1">
        <v>0.0</v>
      </c>
      <c r="W3207" s="1" t="s">
        <v>26</v>
      </c>
    </row>
    <row r="3208" ht="15.75" customHeight="1">
      <c r="A3208" s="1" t="s">
        <v>3245</v>
      </c>
      <c r="B3208" s="1" t="s">
        <v>24</v>
      </c>
      <c r="C3208" s="1">
        <v>0.0</v>
      </c>
      <c r="D3208" s="1" t="s">
        <v>26</v>
      </c>
      <c r="E3208" s="1" t="s">
        <v>26</v>
      </c>
      <c r="F3208" s="1">
        <v>6.0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1">
        <v>20.0</v>
      </c>
      <c r="T3208" s="1">
        <v>109.2</v>
      </c>
      <c r="U3208" s="1">
        <v>0.0</v>
      </c>
      <c r="V3208" s="1">
        <v>0.0</v>
      </c>
      <c r="W3208" s="1" t="s">
        <v>26</v>
      </c>
    </row>
    <row r="3209" ht="15.75" customHeight="1">
      <c r="A3209" s="1" t="s">
        <v>3246</v>
      </c>
      <c r="B3209" s="1" t="s">
        <v>24</v>
      </c>
      <c r="C3209" s="1">
        <v>0.0</v>
      </c>
      <c r="D3209" s="1" t="s">
        <v>26</v>
      </c>
      <c r="E3209" s="1" t="s">
        <v>26</v>
      </c>
      <c r="F3209" s="1">
        <v>5.0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1">
        <v>19.65</v>
      </c>
      <c r="T3209" s="1">
        <v>92.05</v>
      </c>
      <c r="U3209" s="1">
        <v>0.0</v>
      </c>
      <c r="V3209" s="1">
        <v>0.0</v>
      </c>
      <c r="W3209" s="1" t="s">
        <v>26</v>
      </c>
    </row>
    <row r="3210" ht="15.75" customHeight="1">
      <c r="A3210" s="1" t="s">
        <v>3247</v>
      </c>
      <c r="B3210" s="1" t="s">
        <v>32</v>
      </c>
      <c r="C3210" s="1">
        <v>0.0</v>
      </c>
      <c r="D3210" s="1" t="s">
        <v>25</v>
      </c>
      <c r="E3210" s="1" t="s">
        <v>26</v>
      </c>
      <c r="F3210" s="1">
        <v>48.0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1">
        <v>70.55</v>
      </c>
      <c r="T3210" s="1">
        <v>3420.5</v>
      </c>
      <c r="U3210" s="1">
        <v>5.0</v>
      </c>
      <c r="V3210" s="1">
        <v>0.0</v>
      </c>
      <c r="W3210" s="1" t="s">
        <v>26</v>
      </c>
    </row>
    <row r="3211" ht="15.75" customHeight="1">
      <c r="A3211" s="1" t="s">
        <v>3248</v>
      </c>
      <c r="B3211" s="1" t="s">
        <v>24</v>
      </c>
      <c r="C3211" s="1">
        <v>0.0</v>
      </c>
      <c r="D3211" s="1" t="s">
        <v>26</v>
      </c>
      <c r="E3211" s="1" t="s">
        <v>26</v>
      </c>
      <c r="F3211" s="1">
        <v>1.0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1">
        <v>93.85</v>
      </c>
      <c r="T3211" s="1">
        <v>93.85</v>
      </c>
      <c r="U3211" s="1">
        <v>0.0</v>
      </c>
      <c r="V3211" s="1">
        <v>0.0</v>
      </c>
      <c r="W3211" s="1" t="s">
        <v>25</v>
      </c>
    </row>
    <row r="3212" ht="15.75" customHeight="1">
      <c r="A3212" s="1" t="s">
        <v>3249</v>
      </c>
      <c r="B3212" s="1" t="s">
        <v>24</v>
      </c>
      <c r="C3212" s="1">
        <v>0.0</v>
      </c>
      <c r="D3212" s="1" t="s">
        <v>25</v>
      </c>
      <c r="E3212" s="1" t="s">
        <v>25</v>
      </c>
      <c r="F3212" s="1">
        <v>64.0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1">
        <v>65.8</v>
      </c>
      <c r="T3212" s="1">
        <v>4068.0</v>
      </c>
      <c r="U3212" s="1">
        <v>0.0</v>
      </c>
      <c r="V3212" s="1">
        <v>0.0</v>
      </c>
      <c r="W3212" s="1" t="s">
        <v>26</v>
      </c>
    </row>
    <row r="3213" ht="15.75" customHeight="1">
      <c r="A3213" s="1" t="s">
        <v>3250</v>
      </c>
      <c r="B3213" s="1" t="s">
        <v>24</v>
      </c>
      <c r="C3213" s="1">
        <v>0.0</v>
      </c>
      <c r="D3213" s="1" t="s">
        <v>26</v>
      </c>
      <c r="E3213" s="1" t="s">
        <v>26</v>
      </c>
      <c r="F3213" s="1">
        <v>17.0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1">
        <v>20.05</v>
      </c>
      <c r="T3213" s="1">
        <v>337.9</v>
      </c>
      <c r="U3213" s="1">
        <v>0.0</v>
      </c>
      <c r="V3213" s="1">
        <v>0.0</v>
      </c>
      <c r="W3213" s="1" t="s">
        <v>26</v>
      </c>
    </row>
    <row r="3214" ht="15.75" customHeight="1">
      <c r="A3214" s="1" t="s">
        <v>3251</v>
      </c>
      <c r="B3214" s="1" t="s">
        <v>32</v>
      </c>
      <c r="C3214" s="1">
        <v>0.0</v>
      </c>
      <c r="D3214" s="1" t="s">
        <v>25</v>
      </c>
      <c r="E3214" s="1" t="s">
        <v>26</v>
      </c>
      <c r="F3214" s="1">
        <v>40.0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1">
        <v>80.0</v>
      </c>
      <c r="T3214" s="1">
        <v>3168.75</v>
      </c>
      <c r="U3214" s="1">
        <v>0.0</v>
      </c>
      <c r="V3214" s="1">
        <v>0.0</v>
      </c>
      <c r="W3214" s="1" t="s">
        <v>26</v>
      </c>
    </row>
    <row r="3215" ht="15.75" customHeight="1">
      <c r="A3215" s="1" t="s">
        <v>3252</v>
      </c>
      <c r="B3215" s="1" t="s">
        <v>24</v>
      </c>
      <c r="C3215" s="1">
        <v>0.0</v>
      </c>
      <c r="D3215" s="1" t="s">
        <v>25</v>
      </c>
      <c r="E3215" s="1" t="s">
        <v>25</v>
      </c>
      <c r="F3215" s="1">
        <v>41.0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1">
        <v>35.4</v>
      </c>
      <c r="T3215" s="1">
        <v>1412.4</v>
      </c>
      <c r="U3215" s="1">
        <v>0.0</v>
      </c>
      <c r="V3215" s="1">
        <v>0.0</v>
      </c>
      <c r="W3215" s="1" t="s">
        <v>26</v>
      </c>
    </row>
    <row r="3216" ht="15.75" customHeight="1">
      <c r="A3216" s="1" t="s">
        <v>3253</v>
      </c>
      <c r="B3216" s="1" t="s">
        <v>32</v>
      </c>
      <c r="C3216" s="1">
        <v>1.0</v>
      </c>
      <c r="D3216" s="1" t="s">
        <v>26</v>
      </c>
      <c r="E3216" s="1" t="s">
        <v>26</v>
      </c>
      <c r="F3216" s="1">
        <v>51.0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1">
        <v>79.6</v>
      </c>
      <c r="T3216" s="1">
        <v>3974.7</v>
      </c>
      <c r="U3216" s="1">
        <v>0.0</v>
      </c>
      <c r="V3216" s="1">
        <v>0.0</v>
      </c>
      <c r="W3216" s="1" t="s">
        <v>26</v>
      </c>
    </row>
    <row r="3217" ht="15.75" customHeight="1">
      <c r="A3217" s="1" t="s">
        <v>3254</v>
      </c>
      <c r="B3217" s="1" t="s">
        <v>32</v>
      </c>
      <c r="C3217" s="1">
        <v>0.0</v>
      </c>
      <c r="D3217" s="1" t="s">
        <v>25</v>
      </c>
      <c r="E3217" s="1" t="s">
        <v>26</v>
      </c>
      <c r="F3217" s="1">
        <v>41.0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1">
        <v>80.25</v>
      </c>
      <c r="T3217" s="1">
        <v>3439.0</v>
      </c>
      <c r="U3217" s="1">
        <v>0.0</v>
      </c>
      <c r="V3217" s="1">
        <v>0.0</v>
      </c>
      <c r="W3217" s="1" t="s">
        <v>26</v>
      </c>
    </row>
    <row r="3218" ht="15.75" customHeight="1">
      <c r="A3218" s="1" t="s">
        <v>3255</v>
      </c>
      <c r="B3218" s="1" t="s">
        <v>24</v>
      </c>
      <c r="C3218" s="1">
        <v>0.0</v>
      </c>
      <c r="D3218" s="1" t="s">
        <v>25</v>
      </c>
      <c r="E3218" s="1" t="s">
        <v>25</v>
      </c>
      <c r="F3218" s="1">
        <v>1.0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1">
        <v>50.45</v>
      </c>
      <c r="T3218" s="1">
        <v>50.45</v>
      </c>
      <c r="U3218" s="1">
        <v>0.0</v>
      </c>
      <c r="V3218" s="1">
        <v>0.0</v>
      </c>
      <c r="W3218" s="1" t="s">
        <v>25</v>
      </c>
    </row>
    <row r="3219" ht="15.75" customHeight="1">
      <c r="A3219" s="1" t="s">
        <v>3256</v>
      </c>
      <c r="B3219" s="1" t="s">
        <v>24</v>
      </c>
      <c r="C3219" s="1">
        <v>0.0</v>
      </c>
      <c r="D3219" s="1" t="s">
        <v>26</v>
      </c>
      <c r="E3219" s="1" t="s">
        <v>26</v>
      </c>
      <c r="F3219" s="1">
        <v>2.0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1">
        <v>20.45</v>
      </c>
      <c r="T3219" s="1">
        <v>42.45</v>
      </c>
      <c r="U3219" s="1">
        <v>0.0</v>
      </c>
      <c r="V3219" s="1">
        <v>0.0</v>
      </c>
      <c r="W3219" s="1" t="s">
        <v>26</v>
      </c>
    </row>
    <row r="3220" ht="15.75" customHeight="1">
      <c r="A3220" s="1" t="s">
        <v>3257</v>
      </c>
      <c r="B3220" s="1" t="s">
        <v>32</v>
      </c>
      <c r="C3220" s="1">
        <v>0.0</v>
      </c>
      <c r="D3220" s="1" t="s">
        <v>26</v>
      </c>
      <c r="E3220" s="1" t="s">
        <v>26</v>
      </c>
      <c r="F3220" s="1">
        <v>68.0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1">
        <v>79.6</v>
      </c>
      <c r="T3220" s="1">
        <v>5461.45</v>
      </c>
      <c r="U3220" s="1">
        <v>0.0</v>
      </c>
      <c r="V3220" s="1">
        <v>0.0</v>
      </c>
      <c r="W3220" s="1" t="s">
        <v>26</v>
      </c>
    </row>
    <row r="3221" ht="15.75" customHeight="1">
      <c r="A3221" s="1" t="s">
        <v>3258</v>
      </c>
      <c r="B3221" s="1" t="s">
        <v>24</v>
      </c>
      <c r="C3221" s="1">
        <v>0.0</v>
      </c>
      <c r="D3221" s="1" t="s">
        <v>25</v>
      </c>
      <c r="E3221" s="1" t="s">
        <v>25</v>
      </c>
      <c r="F3221" s="1">
        <v>24.0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1">
        <v>24.7</v>
      </c>
      <c r="T3221" s="1">
        <v>571.75</v>
      </c>
      <c r="U3221" s="1">
        <v>0.0</v>
      </c>
      <c r="V3221" s="1">
        <v>0.0</v>
      </c>
      <c r="W3221" s="1" t="s">
        <v>26</v>
      </c>
    </row>
    <row r="3222" ht="15.75" customHeight="1">
      <c r="A3222" s="1" t="s">
        <v>3259</v>
      </c>
      <c r="B3222" s="1" t="s">
        <v>32</v>
      </c>
      <c r="C3222" s="1">
        <v>0.0</v>
      </c>
      <c r="D3222" s="1" t="s">
        <v>25</v>
      </c>
      <c r="E3222" s="1" t="s">
        <v>26</v>
      </c>
      <c r="F3222" s="1">
        <v>70.0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1">
        <v>77.3</v>
      </c>
      <c r="T3222" s="1">
        <v>5498.2</v>
      </c>
      <c r="U3222" s="1">
        <v>0.0</v>
      </c>
      <c r="V3222" s="1">
        <v>0.0</v>
      </c>
      <c r="W3222" s="1" t="s">
        <v>26</v>
      </c>
    </row>
    <row r="3223" ht="15.75" customHeight="1">
      <c r="A3223" s="1" t="s">
        <v>3260</v>
      </c>
      <c r="B3223" s="1" t="s">
        <v>32</v>
      </c>
      <c r="C3223" s="1">
        <v>0.0</v>
      </c>
      <c r="D3223" s="1" t="s">
        <v>26</v>
      </c>
      <c r="E3223" s="1" t="s">
        <v>26</v>
      </c>
      <c r="F3223" s="1">
        <v>3.0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1">
        <v>29.75</v>
      </c>
      <c r="T3223" s="1">
        <v>96.85</v>
      </c>
      <c r="U3223" s="1">
        <v>0.0</v>
      </c>
      <c r="V3223" s="1">
        <v>0.0</v>
      </c>
      <c r="W3223" s="1" t="s">
        <v>26</v>
      </c>
    </row>
    <row r="3224" ht="15.75" customHeight="1">
      <c r="A3224" s="1" t="s">
        <v>3261</v>
      </c>
      <c r="B3224" s="1" t="s">
        <v>32</v>
      </c>
      <c r="C3224" s="1">
        <v>0.0</v>
      </c>
      <c r="D3224" s="1" t="s">
        <v>26</v>
      </c>
      <c r="E3224" s="1" t="s">
        <v>26</v>
      </c>
      <c r="F3224" s="1">
        <v>2.0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1">
        <v>44.9</v>
      </c>
      <c r="T3224" s="1">
        <v>111.05</v>
      </c>
      <c r="U3224" s="1">
        <v>0.0</v>
      </c>
      <c r="V3224" s="1">
        <v>0.0</v>
      </c>
      <c r="W3224" s="1" t="s">
        <v>26</v>
      </c>
    </row>
    <row r="3225" ht="15.75" customHeight="1">
      <c r="A3225" s="1" t="s">
        <v>3262</v>
      </c>
      <c r="B3225" s="1" t="s">
        <v>32</v>
      </c>
      <c r="C3225" s="1">
        <v>0.0</v>
      </c>
      <c r="D3225" s="1" t="s">
        <v>25</v>
      </c>
      <c r="E3225" s="1" t="s">
        <v>26</v>
      </c>
      <c r="F3225" s="1">
        <v>3.0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1">
        <v>29.8</v>
      </c>
      <c r="T3225" s="1">
        <v>94.4</v>
      </c>
      <c r="U3225" s="1">
        <v>0.0</v>
      </c>
      <c r="V3225" s="1">
        <v>0.0</v>
      </c>
      <c r="W3225" s="1" t="s">
        <v>26</v>
      </c>
    </row>
    <row r="3226" ht="15.75" customHeight="1">
      <c r="A3226" s="1" t="s">
        <v>3263</v>
      </c>
      <c r="B3226" s="1" t="s">
        <v>24</v>
      </c>
      <c r="C3226" s="1">
        <v>0.0</v>
      </c>
      <c r="D3226" s="1" t="s">
        <v>26</v>
      </c>
      <c r="E3226" s="1" t="s">
        <v>26</v>
      </c>
      <c r="F3226" s="1">
        <v>7.0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1">
        <v>74.65</v>
      </c>
      <c r="T3226" s="1">
        <v>521.1</v>
      </c>
      <c r="U3226" s="1">
        <v>0.0</v>
      </c>
      <c r="V3226" s="1">
        <v>0.0</v>
      </c>
      <c r="W3226" s="1" t="s">
        <v>25</v>
      </c>
    </row>
    <row r="3227" ht="15.75" customHeight="1">
      <c r="A3227" s="1" t="s">
        <v>3264</v>
      </c>
      <c r="B3227" s="1" t="s">
        <v>24</v>
      </c>
      <c r="C3227" s="1">
        <v>0.0</v>
      </c>
      <c r="D3227" s="1" t="s">
        <v>26</v>
      </c>
      <c r="E3227" s="1" t="s">
        <v>26</v>
      </c>
      <c r="F3227" s="1">
        <v>13.0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1">
        <v>71.95</v>
      </c>
      <c r="T3227" s="1">
        <v>923.85</v>
      </c>
      <c r="U3227" s="1">
        <v>0.0</v>
      </c>
      <c r="V3227" s="1">
        <v>0.0</v>
      </c>
      <c r="W3227" s="1" t="s">
        <v>26</v>
      </c>
    </row>
    <row r="3228" ht="15.75" customHeight="1">
      <c r="A3228" s="1" t="s">
        <v>3265</v>
      </c>
      <c r="B3228" s="1" t="s">
        <v>32</v>
      </c>
      <c r="C3228" s="1">
        <v>0.0</v>
      </c>
      <c r="D3228" s="1" t="s">
        <v>26</v>
      </c>
      <c r="E3228" s="1" t="s">
        <v>26</v>
      </c>
      <c r="F3228" s="1">
        <v>7.0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1">
        <v>20.75</v>
      </c>
      <c r="T3228" s="1">
        <v>141.1</v>
      </c>
      <c r="U3228" s="1">
        <v>0.0</v>
      </c>
      <c r="V3228" s="1">
        <v>0.0</v>
      </c>
      <c r="W3228" s="1" t="s">
        <v>26</v>
      </c>
    </row>
    <row r="3229" ht="15.75" customHeight="1">
      <c r="A3229" s="1" t="s">
        <v>3266</v>
      </c>
      <c r="B3229" s="1" t="s">
        <v>32</v>
      </c>
      <c r="C3229" s="1">
        <v>0.0</v>
      </c>
      <c r="D3229" s="1" t="s">
        <v>25</v>
      </c>
      <c r="E3229" s="1" t="s">
        <v>25</v>
      </c>
      <c r="F3229" s="1">
        <v>12.0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1">
        <v>56.3</v>
      </c>
      <c r="T3229" s="1">
        <v>628.65</v>
      </c>
      <c r="U3229" s="1">
        <v>0.0</v>
      </c>
      <c r="V3229" s="1">
        <v>0.0</v>
      </c>
      <c r="W3229" s="1" t="s">
        <v>26</v>
      </c>
    </row>
    <row r="3230" ht="15.75" customHeight="1">
      <c r="A3230" s="1" t="s">
        <v>3267</v>
      </c>
      <c r="B3230" s="1" t="s">
        <v>32</v>
      </c>
      <c r="C3230" s="1">
        <v>0.0</v>
      </c>
      <c r="D3230" s="1" t="s">
        <v>25</v>
      </c>
      <c r="E3230" s="1" t="s">
        <v>25</v>
      </c>
      <c r="F3230" s="1">
        <v>53.0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1">
        <v>105.25</v>
      </c>
      <c r="T3230" s="1">
        <v>5576.3</v>
      </c>
      <c r="U3230" s="1">
        <v>3.0</v>
      </c>
      <c r="V3230" s="1">
        <v>0.0</v>
      </c>
      <c r="W3230" s="1" t="s">
        <v>26</v>
      </c>
    </row>
    <row r="3231" ht="15.75" customHeight="1">
      <c r="A3231" s="1" t="s">
        <v>3268</v>
      </c>
      <c r="B3231" s="1" t="s">
        <v>24</v>
      </c>
      <c r="C3231" s="1">
        <v>0.0</v>
      </c>
      <c r="D3231" s="1" t="s">
        <v>26</v>
      </c>
      <c r="E3231" s="1" t="s">
        <v>26</v>
      </c>
      <c r="F3231" s="1">
        <v>12.0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1">
        <v>94.2</v>
      </c>
      <c r="T3231" s="1">
        <v>1046.1</v>
      </c>
      <c r="U3231" s="1">
        <v>0.0</v>
      </c>
      <c r="V3231" s="1">
        <v>0.0</v>
      </c>
      <c r="W3231" s="1" t="s">
        <v>25</v>
      </c>
    </row>
    <row r="3232" ht="15.75" customHeight="1">
      <c r="A3232" s="1" t="s">
        <v>3269</v>
      </c>
      <c r="B3232" s="1" t="s">
        <v>32</v>
      </c>
      <c r="C3232" s="1">
        <v>0.0</v>
      </c>
      <c r="D3232" s="1" t="s">
        <v>25</v>
      </c>
      <c r="E3232" s="1" t="s">
        <v>25</v>
      </c>
      <c r="F3232" s="1">
        <v>63.0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1">
        <v>19.55</v>
      </c>
      <c r="T3232" s="1">
        <v>1245.6</v>
      </c>
      <c r="U3232" s="1">
        <v>0.0</v>
      </c>
      <c r="V3232" s="1">
        <v>0.0</v>
      </c>
      <c r="W3232" s="1" t="s">
        <v>26</v>
      </c>
    </row>
    <row r="3233" ht="15.75" customHeight="1">
      <c r="A3233" s="1" t="s">
        <v>3270</v>
      </c>
      <c r="B3233" s="1" t="s">
        <v>24</v>
      </c>
      <c r="C3233" s="1">
        <v>0.0</v>
      </c>
      <c r="D3233" s="1" t="s">
        <v>26</v>
      </c>
      <c r="E3233" s="1" t="s">
        <v>26</v>
      </c>
      <c r="F3233" s="1">
        <v>15.0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1">
        <v>84.45</v>
      </c>
      <c r="T3233" s="1">
        <v>1287.85</v>
      </c>
      <c r="U3233" s="1">
        <v>0.0</v>
      </c>
      <c r="V3233" s="1">
        <v>0.0</v>
      </c>
      <c r="W3233" s="1" t="s">
        <v>26</v>
      </c>
    </row>
    <row r="3234" ht="15.75" customHeight="1">
      <c r="A3234" s="1" t="s">
        <v>3271</v>
      </c>
      <c r="B3234" s="1" t="s">
        <v>32</v>
      </c>
      <c r="C3234" s="1">
        <v>0.0</v>
      </c>
      <c r="D3234" s="1" t="s">
        <v>25</v>
      </c>
      <c r="E3234" s="1" t="s">
        <v>25</v>
      </c>
      <c r="F3234" s="1">
        <v>36.0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1">
        <v>53.65</v>
      </c>
      <c r="T3234" s="1">
        <v>1939.35</v>
      </c>
      <c r="U3234" s="1">
        <v>1.0</v>
      </c>
      <c r="V3234" s="1">
        <v>0.0</v>
      </c>
      <c r="W3234" s="1" t="s">
        <v>26</v>
      </c>
    </row>
    <row r="3235" ht="15.75" customHeight="1">
      <c r="A3235" s="1" t="s">
        <v>3272</v>
      </c>
      <c r="B3235" s="1" t="s">
        <v>32</v>
      </c>
      <c r="C3235" s="1">
        <v>1.0</v>
      </c>
      <c r="D3235" s="1" t="s">
        <v>25</v>
      </c>
      <c r="E3235" s="1" t="s">
        <v>26</v>
      </c>
      <c r="F3235" s="1">
        <v>4.0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1">
        <v>29.9</v>
      </c>
      <c r="T3235" s="1">
        <v>118.25</v>
      </c>
      <c r="U3235" s="1">
        <v>0.0</v>
      </c>
      <c r="V3235" s="1">
        <v>0.0</v>
      </c>
      <c r="W3235" s="1" t="s">
        <v>26</v>
      </c>
    </row>
    <row r="3236" ht="15.75" customHeight="1">
      <c r="A3236" s="1" t="s">
        <v>3273</v>
      </c>
      <c r="B3236" s="1" t="s">
        <v>24</v>
      </c>
      <c r="C3236" s="1">
        <v>0.0</v>
      </c>
      <c r="D3236" s="1" t="s">
        <v>25</v>
      </c>
      <c r="E3236" s="1" t="s">
        <v>25</v>
      </c>
      <c r="F3236" s="1">
        <v>24.0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1">
        <v>19.7</v>
      </c>
      <c r="T3236" s="1">
        <v>452.55</v>
      </c>
      <c r="U3236" s="1">
        <v>5.0</v>
      </c>
      <c r="V3236" s="1">
        <v>0.0</v>
      </c>
      <c r="W3236" s="1" t="s">
        <v>26</v>
      </c>
    </row>
    <row r="3237" ht="15.75" customHeight="1">
      <c r="A3237" s="1" t="s">
        <v>3274</v>
      </c>
      <c r="B3237" s="1" t="s">
        <v>24</v>
      </c>
      <c r="C3237" s="1">
        <v>0.0</v>
      </c>
      <c r="D3237" s="1" t="s">
        <v>26</v>
      </c>
      <c r="E3237" s="1" t="s">
        <v>26</v>
      </c>
      <c r="F3237" s="1">
        <v>61.0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1">
        <v>43.7</v>
      </c>
      <c r="T3237" s="1">
        <v>2696.55</v>
      </c>
      <c r="U3237" s="1">
        <v>0.0</v>
      </c>
      <c r="V3237" s="1">
        <v>0.0</v>
      </c>
      <c r="W3237" s="1" t="s">
        <v>26</v>
      </c>
    </row>
    <row r="3238" ht="15.75" customHeight="1">
      <c r="A3238" s="1" t="s">
        <v>3275</v>
      </c>
      <c r="B3238" s="1" t="s">
        <v>32</v>
      </c>
      <c r="C3238" s="1">
        <v>0.0</v>
      </c>
      <c r="D3238" s="1" t="s">
        <v>26</v>
      </c>
      <c r="E3238" s="1" t="s">
        <v>26</v>
      </c>
      <c r="F3238" s="1">
        <v>16.0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1">
        <v>55.3</v>
      </c>
      <c r="T3238" s="1">
        <v>875.35</v>
      </c>
      <c r="U3238" s="1">
        <v>0.0</v>
      </c>
      <c r="V3238" s="1">
        <v>0.0</v>
      </c>
      <c r="W3238" s="1" t="s">
        <v>26</v>
      </c>
    </row>
    <row r="3239" ht="15.75" customHeight="1">
      <c r="A3239" s="1" t="s">
        <v>3276</v>
      </c>
      <c r="B3239" s="1" t="s">
        <v>32</v>
      </c>
      <c r="C3239" s="1">
        <v>0.0</v>
      </c>
      <c r="D3239" s="1" t="s">
        <v>25</v>
      </c>
      <c r="E3239" s="1" t="s">
        <v>25</v>
      </c>
      <c r="F3239" s="1">
        <v>65.0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1">
        <v>19.85</v>
      </c>
      <c r="T3239" s="1">
        <v>1267.05</v>
      </c>
      <c r="U3239" s="1">
        <v>3.0</v>
      </c>
      <c r="V3239" s="1">
        <v>0.0</v>
      </c>
      <c r="W3239" s="1" t="s">
        <v>26</v>
      </c>
    </row>
    <row r="3240" ht="15.75" customHeight="1">
      <c r="A3240" s="1" t="s">
        <v>3277</v>
      </c>
      <c r="B3240" s="1" t="s">
        <v>24</v>
      </c>
      <c r="C3240" s="1">
        <v>0.0</v>
      </c>
      <c r="D3240" s="1" t="s">
        <v>25</v>
      </c>
      <c r="E3240" s="1" t="s">
        <v>25</v>
      </c>
      <c r="F3240" s="1">
        <v>26.0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1">
        <v>19.65</v>
      </c>
      <c r="T3240" s="1">
        <v>494.9</v>
      </c>
      <c r="U3240" s="1">
        <v>0.0</v>
      </c>
      <c r="V3240" s="1">
        <v>2.0</v>
      </c>
      <c r="W3240" s="1" t="s">
        <v>26</v>
      </c>
    </row>
    <row r="3241" ht="15.75" customHeight="1">
      <c r="A3241" s="1" t="s">
        <v>3278</v>
      </c>
      <c r="B3241" s="1" t="s">
        <v>32</v>
      </c>
      <c r="C3241" s="1">
        <v>0.0</v>
      </c>
      <c r="D3241" s="1" t="s">
        <v>26</v>
      </c>
      <c r="E3241" s="1" t="s">
        <v>26</v>
      </c>
      <c r="F3241" s="1">
        <v>16.0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1">
        <v>49.45</v>
      </c>
      <c r="T3241" s="1">
        <v>799.0</v>
      </c>
      <c r="U3241" s="1">
        <v>3.0</v>
      </c>
      <c r="V3241" s="1">
        <v>0.0</v>
      </c>
      <c r="W3241" s="1" t="s">
        <v>26</v>
      </c>
    </row>
    <row r="3242" ht="15.75" customHeight="1">
      <c r="A3242" s="1" t="s">
        <v>3279</v>
      </c>
      <c r="B3242" s="1" t="s">
        <v>24</v>
      </c>
      <c r="C3242" s="1">
        <v>0.0</v>
      </c>
      <c r="D3242" s="1" t="s">
        <v>25</v>
      </c>
      <c r="E3242" s="1" t="s">
        <v>26</v>
      </c>
      <c r="F3242" s="1">
        <v>54.0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1">
        <v>106.55</v>
      </c>
      <c r="T3242" s="1">
        <v>5763.3</v>
      </c>
      <c r="U3242" s="1">
        <v>0.0</v>
      </c>
      <c r="V3242" s="1">
        <v>3.0</v>
      </c>
      <c r="W3242" s="1" t="s">
        <v>25</v>
      </c>
    </row>
    <row r="3243" ht="15.75" customHeight="1">
      <c r="A3243" s="1" t="s">
        <v>3280</v>
      </c>
      <c r="B3243" s="1" t="s">
        <v>32</v>
      </c>
      <c r="C3243" s="1">
        <v>0.0</v>
      </c>
      <c r="D3243" s="1" t="s">
        <v>26</v>
      </c>
      <c r="E3243" s="1" t="s">
        <v>26</v>
      </c>
      <c r="F3243" s="1">
        <v>1.0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1">
        <v>20.1</v>
      </c>
      <c r="T3243" s="1">
        <v>20.1</v>
      </c>
      <c r="U3243" s="1">
        <v>0.0</v>
      </c>
      <c r="V3243" s="1">
        <v>0.0</v>
      </c>
      <c r="W3243" s="1" t="s">
        <v>25</v>
      </c>
    </row>
    <row r="3244" ht="15.75" customHeight="1">
      <c r="A3244" s="1" t="s">
        <v>3281</v>
      </c>
      <c r="B3244" s="1" t="s">
        <v>32</v>
      </c>
      <c r="C3244" s="1">
        <v>0.0</v>
      </c>
      <c r="D3244" s="1" t="s">
        <v>26</v>
      </c>
      <c r="E3244" s="1" t="s">
        <v>25</v>
      </c>
      <c r="F3244" s="1">
        <v>5.0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1">
        <v>20.45</v>
      </c>
      <c r="T3244" s="1">
        <v>106.9</v>
      </c>
      <c r="U3244" s="1">
        <v>1.0</v>
      </c>
      <c r="V3244" s="1">
        <v>0.0</v>
      </c>
      <c r="W3244" s="1" t="s">
        <v>26</v>
      </c>
    </row>
    <row r="3245" ht="15.75" customHeight="1">
      <c r="A3245" s="1" t="s">
        <v>3282</v>
      </c>
      <c r="B3245" s="1" t="s">
        <v>24</v>
      </c>
      <c r="C3245" s="1">
        <v>0.0</v>
      </c>
      <c r="D3245" s="1" t="s">
        <v>26</v>
      </c>
      <c r="E3245" s="1" t="s">
        <v>26</v>
      </c>
      <c r="F3245" s="1">
        <v>19.0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1">
        <v>39.7</v>
      </c>
      <c r="T3245" s="1">
        <v>710.05</v>
      </c>
      <c r="U3245" s="1">
        <v>2.0</v>
      </c>
      <c r="V3245" s="1">
        <v>0.0</v>
      </c>
      <c r="W3245" s="1" t="s">
        <v>26</v>
      </c>
    </row>
    <row r="3246" ht="15.75" customHeight="1">
      <c r="A3246" s="1" t="s">
        <v>3283</v>
      </c>
      <c r="B3246" s="1" t="s">
        <v>32</v>
      </c>
      <c r="C3246" s="1">
        <v>0.0</v>
      </c>
      <c r="D3246" s="1" t="s">
        <v>26</v>
      </c>
      <c r="E3246" s="1" t="s">
        <v>26</v>
      </c>
      <c r="F3246" s="1">
        <v>10.0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1">
        <v>54.5</v>
      </c>
      <c r="T3246" s="1">
        <v>568.2</v>
      </c>
      <c r="U3246" s="1">
        <v>0.0</v>
      </c>
      <c r="V3246" s="1">
        <v>0.0</v>
      </c>
      <c r="W3246" s="1" t="s">
        <v>26</v>
      </c>
    </row>
    <row r="3247" ht="15.75" customHeight="1">
      <c r="A3247" s="1" t="s">
        <v>3284</v>
      </c>
      <c r="B3247" s="1" t="s">
        <v>24</v>
      </c>
      <c r="C3247" s="1">
        <v>0.0</v>
      </c>
      <c r="D3247" s="1" t="s">
        <v>25</v>
      </c>
      <c r="E3247" s="1" t="s">
        <v>25</v>
      </c>
      <c r="F3247" s="1">
        <v>23.0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1">
        <v>83.8</v>
      </c>
      <c r="T3247" s="1">
        <v>1900.25</v>
      </c>
      <c r="U3247" s="1">
        <v>0.0</v>
      </c>
      <c r="V3247" s="1">
        <v>3.0</v>
      </c>
      <c r="W3247" s="1" t="s">
        <v>25</v>
      </c>
    </row>
    <row r="3248" ht="15.75" customHeight="1">
      <c r="A3248" s="1" t="s">
        <v>3285</v>
      </c>
      <c r="B3248" s="1" t="s">
        <v>32</v>
      </c>
      <c r="C3248" s="1">
        <v>0.0</v>
      </c>
      <c r="D3248" s="1" t="s">
        <v>26</v>
      </c>
      <c r="E3248" s="1" t="s">
        <v>26</v>
      </c>
      <c r="F3248" s="1">
        <v>3.0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1">
        <v>55.15</v>
      </c>
      <c r="T3248" s="1">
        <v>159.15</v>
      </c>
      <c r="U3248" s="1">
        <v>0.0</v>
      </c>
      <c r="V3248" s="1">
        <v>0.0</v>
      </c>
      <c r="W3248" s="1" t="s">
        <v>25</v>
      </c>
    </row>
    <row r="3249" ht="15.75" customHeight="1">
      <c r="A3249" s="1" t="s">
        <v>3286</v>
      </c>
      <c r="B3249" s="1" t="s">
        <v>24</v>
      </c>
      <c r="C3249" s="1">
        <v>0.0</v>
      </c>
      <c r="D3249" s="1" t="s">
        <v>26</v>
      </c>
      <c r="E3249" s="1" t="s">
        <v>26</v>
      </c>
      <c r="F3249" s="1">
        <v>72.0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1">
        <v>111.6</v>
      </c>
      <c r="T3249" s="1">
        <v>8012.75</v>
      </c>
      <c r="U3249" s="1">
        <v>0.0</v>
      </c>
      <c r="V3249" s="1">
        <v>0.0</v>
      </c>
      <c r="W3249" s="1" t="s">
        <v>26</v>
      </c>
    </row>
    <row r="3250" ht="15.75" customHeight="1">
      <c r="A3250" s="1" t="s">
        <v>3287</v>
      </c>
      <c r="B3250" s="1" t="s">
        <v>32</v>
      </c>
      <c r="C3250" s="1">
        <v>1.0</v>
      </c>
      <c r="D3250" s="1" t="s">
        <v>25</v>
      </c>
      <c r="E3250" s="1" t="s">
        <v>26</v>
      </c>
      <c r="F3250" s="1">
        <v>10.0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1">
        <v>86.65</v>
      </c>
      <c r="T3250" s="1">
        <v>856.65</v>
      </c>
      <c r="U3250" s="1">
        <v>0.0</v>
      </c>
      <c r="V3250" s="1">
        <v>0.0</v>
      </c>
      <c r="W3250" s="1" t="s">
        <v>25</v>
      </c>
    </row>
    <row r="3251" ht="15.75" customHeight="1">
      <c r="A3251" s="1" t="s">
        <v>3288</v>
      </c>
      <c r="B3251" s="1" t="s">
        <v>24</v>
      </c>
      <c r="C3251" s="1">
        <v>0.0</v>
      </c>
      <c r="D3251" s="1" t="s">
        <v>25</v>
      </c>
      <c r="E3251" s="1" t="s">
        <v>25</v>
      </c>
      <c r="F3251" s="1">
        <v>10.0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1">
        <v>55.55</v>
      </c>
      <c r="T3251" s="1">
        <v>551.3</v>
      </c>
      <c r="U3251" s="1">
        <v>0.0</v>
      </c>
      <c r="V3251" s="1">
        <v>0.0</v>
      </c>
      <c r="W3251" s="1" t="s">
        <v>26</v>
      </c>
    </row>
    <row r="3252" ht="15.75" customHeight="1">
      <c r="A3252" s="1" t="s">
        <v>3289</v>
      </c>
      <c r="B3252" s="1" t="s">
        <v>32</v>
      </c>
      <c r="C3252" s="1">
        <v>0.0</v>
      </c>
      <c r="D3252" s="1" t="s">
        <v>25</v>
      </c>
      <c r="E3252" s="1" t="s">
        <v>26</v>
      </c>
      <c r="F3252" s="1">
        <v>11.0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1">
        <v>20.55</v>
      </c>
      <c r="T3252" s="1">
        <v>184.95</v>
      </c>
      <c r="U3252" s="1">
        <v>0.0</v>
      </c>
      <c r="V3252" s="1">
        <v>0.0</v>
      </c>
      <c r="W3252" s="1" t="s">
        <v>26</v>
      </c>
    </row>
    <row r="3253" ht="15.75" customHeight="1">
      <c r="A3253" s="1" t="s">
        <v>3290</v>
      </c>
      <c r="B3253" s="1" t="s">
        <v>24</v>
      </c>
      <c r="C3253" s="1">
        <v>1.0</v>
      </c>
      <c r="D3253" s="1" t="s">
        <v>26</v>
      </c>
      <c r="E3253" s="1" t="s">
        <v>26</v>
      </c>
      <c r="F3253" s="1">
        <v>37.0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1">
        <v>106.75</v>
      </c>
      <c r="T3253" s="1">
        <v>4056.75</v>
      </c>
      <c r="U3253" s="1">
        <v>0.0</v>
      </c>
      <c r="V3253" s="1">
        <v>4.0</v>
      </c>
      <c r="W3253" s="1" t="s">
        <v>25</v>
      </c>
    </row>
    <row r="3254" ht="15.75" customHeight="1">
      <c r="A3254" s="1" t="s">
        <v>3291</v>
      </c>
      <c r="B3254" s="1" t="s">
        <v>32</v>
      </c>
      <c r="C3254" s="1">
        <v>0.0</v>
      </c>
      <c r="D3254" s="1" t="s">
        <v>25</v>
      </c>
      <c r="E3254" s="1" t="s">
        <v>25</v>
      </c>
      <c r="F3254" s="1">
        <v>17.0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1">
        <v>62.1</v>
      </c>
      <c r="T3254" s="1">
        <v>1096.65</v>
      </c>
      <c r="U3254" s="1">
        <v>0.0</v>
      </c>
      <c r="V3254" s="1">
        <v>0.0</v>
      </c>
      <c r="W3254" s="1" t="s">
        <v>26</v>
      </c>
    </row>
    <row r="3255" ht="15.75" customHeight="1">
      <c r="A3255" s="1" t="s">
        <v>3292</v>
      </c>
      <c r="B3255" s="1" t="s">
        <v>24</v>
      </c>
      <c r="C3255" s="1">
        <v>0.0</v>
      </c>
      <c r="D3255" s="1" t="s">
        <v>25</v>
      </c>
      <c r="E3255" s="1" t="s">
        <v>25</v>
      </c>
      <c r="F3255" s="1">
        <v>36.0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1">
        <v>104.5</v>
      </c>
      <c r="T3255" s="1">
        <v>3684.95</v>
      </c>
      <c r="U3255" s="1">
        <v>0.0</v>
      </c>
      <c r="V3255" s="1">
        <v>1.0</v>
      </c>
      <c r="W3255" s="1" t="s">
        <v>26</v>
      </c>
    </row>
    <row r="3256" ht="15.75" customHeight="1">
      <c r="A3256" s="1" t="s">
        <v>3293</v>
      </c>
      <c r="B3256" s="1" t="s">
        <v>32</v>
      </c>
      <c r="C3256" s="1">
        <v>1.0</v>
      </c>
      <c r="D3256" s="1" t="s">
        <v>26</v>
      </c>
      <c r="E3256" s="1" t="s">
        <v>26</v>
      </c>
      <c r="F3256" s="1">
        <v>17.0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1">
        <v>101.8</v>
      </c>
      <c r="T3256" s="1">
        <v>1752.45</v>
      </c>
      <c r="U3256" s="1">
        <v>0.0</v>
      </c>
      <c r="V3256" s="1">
        <v>0.0</v>
      </c>
      <c r="W3256" s="1" t="s">
        <v>26</v>
      </c>
    </row>
    <row r="3257" ht="15.75" customHeight="1">
      <c r="A3257" s="1" t="s">
        <v>3294</v>
      </c>
      <c r="B3257" s="1" t="s">
        <v>24</v>
      </c>
      <c r="C3257" s="1">
        <v>1.0</v>
      </c>
      <c r="D3257" s="1" t="s">
        <v>25</v>
      </c>
      <c r="E3257" s="1" t="s">
        <v>25</v>
      </c>
      <c r="F3257" s="1">
        <v>66.0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1">
        <v>110.6</v>
      </c>
      <c r="T3257" s="1">
        <v>7210.85</v>
      </c>
      <c r="U3257" s="1">
        <v>0.0</v>
      </c>
      <c r="V3257" s="1">
        <v>0.0</v>
      </c>
      <c r="W3257" s="1" t="s">
        <v>26</v>
      </c>
    </row>
    <row r="3258" ht="15.75" customHeight="1">
      <c r="A3258" s="1" t="s">
        <v>3295</v>
      </c>
      <c r="B3258" s="1" t="s">
        <v>32</v>
      </c>
      <c r="C3258" s="1">
        <v>0.0</v>
      </c>
      <c r="D3258" s="1" t="s">
        <v>25</v>
      </c>
      <c r="E3258" s="1" t="s">
        <v>25</v>
      </c>
      <c r="F3258" s="1">
        <v>61.0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1">
        <v>84.9</v>
      </c>
      <c r="T3258" s="1">
        <v>5264.5</v>
      </c>
      <c r="U3258" s="1">
        <v>0.0</v>
      </c>
      <c r="V3258" s="1">
        <v>0.0</v>
      </c>
      <c r="W3258" s="1" t="s">
        <v>26</v>
      </c>
    </row>
    <row r="3259" ht="15.75" customHeight="1">
      <c r="A3259" s="1" t="s">
        <v>3296</v>
      </c>
      <c r="B3259" s="1" t="s">
        <v>32</v>
      </c>
      <c r="C3259" s="1">
        <v>0.0</v>
      </c>
      <c r="D3259" s="1" t="s">
        <v>26</v>
      </c>
      <c r="E3259" s="1" t="s">
        <v>26</v>
      </c>
      <c r="F3259" s="1">
        <v>22.0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1">
        <v>93.2</v>
      </c>
      <c r="T3259" s="1">
        <v>2157.3</v>
      </c>
      <c r="U3259" s="1">
        <v>2.0</v>
      </c>
      <c r="V3259" s="1">
        <v>0.0</v>
      </c>
      <c r="W3259" s="1" t="s">
        <v>26</v>
      </c>
    </row>
    <row r="3260" ht="15.75" customHeight="1">
      <c r="A3260" s="1" t="s">
        <v>3297</v>
      </c>
      <c r="B3260" s="1" t="s">
        <v>32</v>
      </c>
      <c r="C3260" s="1">
        <v>0.0</v>
      </c>
      <c r="D3260" s="1" t="s">
        <v>26</v>
      </c>
      <c r="E3260" s="1" t="s">
        <v>26</v>
      </c>
      <c r="F3260" s="1">
        <v>1.0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1">
        <v>24.4</v>
      </c>
      <c r="T3260" s="1">
        <v>24.4</v>
      </c>
      <c r="U3260" s="1">
        <v>0.0</v>
      </c>
      <c r="V3260" s="1">
        <v>0.0</v>
      </c>
      <c r="W3260" s="1" t="s">
        <v>26</v>
      </c>
    </row>
    <row r="3261" ht="15.75" customHeight="1">
      <c r="A3261" s="1" t="s">
        <v>3298</v>
      </c>
      <c r="B3261" s="1" t="s">
        <v>24</v>
      </c>
      <c r="C3261" s="1">
        <v>0.0</v>
      </c>
      <c r="D3261" s="1" t="s">
        <v>26</v>
      </c>
      <c r="E3261" s="1" t="s">
        <v>26</v>
      </c>
      <c r="F3261" s="1">
        <v>6.0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1">
        <v>70.55</v>
      </c>
      <c r="T3261" s="1">
        <v>433.95</v>
      </c>
      <c r="U3261" s="1">
        <v>0.0</v>
      </c>
      <c r="V3261" s="1">
        <v>0.0</v>
      </c>
      <c r="W3261" s="1" t="s">
        <v>26</v>
      </c>
    </row>
    <row r="3262" ht="15.75" customHeight="1">
      <c r="A3262" s="1" t="s">
        <v>3299</v>
      </c>
      <c r="B3262" s="1" t="s">
        <v>32</v>
      </c>
      <c r="C3262" s="1">
        <v>0.0</v>
      </c>
      <c r="D3262" s="1" t="s">
        <v>26</v>
      </c>
      <c r="E3262" s="1" t="s">
        <v>26</v>
      </c>
      <c r="F3262" s="1">
        <v>31.0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1">
        <v>78.45</v>
      </c>
      <c r="T3262" s="1">
        <v>2435.15</v>
      </c>
      <c r="U3262" s="1">
        <v>0.0</v>
      </c>
      <c r="V3262" s="1">
        <v>0.0</v>
      </c>
      <c r="W3262" s="1" t="s">
        <v>25</v>
      </c>
    </row>
    <row r="3263" ht="15.75" customHeight="1">
      <c r="A3263" s="1" t="s">
        <v>3300</v>
      </c>
      <c r="B3263" s="1" t="s">
        <v>24</v>
      </c>
      <c r="C3263" s="1">
        <v>0.0</v>
      </c>
      <c r="D3263" s="1" t="s">
        <v>25</v>
      </c>
      <c r="E3263" s="1" t="s">
        <v>25</v>
      </c>
      <c r="F3263" s="1">
        <v>68.0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1">
        <v>85.0</v>
      </c>
      <c r="T3263" s="1">
        <v>5607.75</v>
      </c>
      <c r="U3263" s="1">
        <v>0.0</v>
      </c>
      <c r="V3263" s="1">
        <v>0.0</v>
      </c>
      <c r="W3263" s="1" t="s">
        <v>26</v>
      </c>
    </row>
    <row r="3264" ht="15.75" customHeight="1">
      <c r="A3264" s="1" t="s">
        <v>3301</v>
      </c>
      <c r="B3264" s="1" t="s">
        <v>24</v>
      </c>
      <c r="C3264" s="1">
        <v>0.0</v>
      </c>
      <c r="D3264" s="1" t="s">
        <v>25</v>
      </c>
      <c r="E3264" s="1" t="s">
        <v>25</v>
      </c>
      <c r="F3264" s="1">
        <v>34.0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1">
        <v>87.45</v>
      </c>
      <c r="T3264" s="1">
        <v>2874.15</v>
      </c>
      <c r="U3264" s="1">
        <v>0.0</v>
      </c>
      <c r="V3264" s="1">
        <v>4.0</v>
      </c>
      <c r="W3264" s="1" t="s">
        <v>25</v>
      </c>
    </row>
    <row r="3265" ht="15.75" customHeight="1">
      <c r="A3265" s="1" t="s">
        <v>3302</v>
      </c>
      <c r="B3265" s="1" t="s">
        <v>24</v>
      </c>
      <c r="C3265" s="1">
        <v>0.0</v>
      </c>
      <c r="D3265" s="1" t="s">
        <v>25</v>
      </c>
      <c r="E3265" s="1" t="s">
        <v>25</v>
      </c>
      <c r="F3265" s="1">
        <v>52.0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1">
        <v>85.8</v>
      </c>
      <c r="T3265" s="1">
        <v>4433.3</v>
      </c>
      <c r="U3265" s="1">
        <v>2.0</v>
      </c>
      <c r="V3265" s="1">
        <v>0.0</v>
      </c>
      <c r="W3265" s="1" t="s">
        <v>26</v>
      </c>
    </row>
    <row r="3266" ht="15.75" customHeight="1">
      <c r="A3266" s="1" t="s">
        <v>3303</v>
      </c>
      <c r="B3266" s="1" t="s">
        <v>24</v>
      </c>
      <c r="C3266" s="1">
        <v>0.0</v>
      </c>
      <c r="D3266" s="1" t="s">
        <v>26</v>
      </c>
      <c r="E3266" s="1" t="s">
        <v>25</v>
      </c>
      <c r="F3266" s="1">
        <v>10.0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1">
        <v>91.1</v>
      </c>
      <c r="T3266" s="1">
        <v>964.35</v>
      </c>
      <c r="U3266" s="1">
        <v>0.0</v>
      </c>
      <c r="V3266" s="1">
        <v>0.0</v>
      </c>
      <c r="W3266" s="1" t="s">
        <v>26</v>
      </c>
    </row>
    <row r="3267" ht="15.75" customHeight="1">
      <c r="A3267" s="1" t="s">
        <v>3304</v>
      </c>
      <c r="B3267" s="1" t="s">
        <v>32</v>
      </c>
      <c r="C3267" s="1">
        <v>0.0</v>
      </c>
      <c r="D3267" s="1" t="s">
        <v>25</v>
      </c>
      <c r="E3267" s="1" t="s">
        <v>25</v>
      </c>
      <c r="F3267" s="1">
        <v>29.0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1">
        <v>70.75</v>
      </c>
      <c r="T3267" s="1">
        <v>1974.8</v>
      </c>
      <c r="U3267" s="1">
        <v>1.0</v>
      </c>
      <c r="V3267" s="1">
        <v>0.0</v>
      </c>
      <c r="W3267" s="1" t="s">
        <v>25</v>
      </c>
    </row>
    <row r="3268" ht="15.75" customHeight="1">
      <c r="A3268" s="1" t="s">
        <v>3305</v>
      </c>
      <c r="B3268" s="1" t="s">
        <v>24</v>
      </c>
      <c r="C3268" s="1">
        <v>0.0</v>
      </c>
      <c r="D3268" s="1" t="s">
        <v>25</v>
      </c>
      <c r="E3268" s="1" t="s">
        <v>25</v>
      </c>
      <c r="F3268" s="1">
        <v>72.0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1">
        <v>20.1</v>
      </c>
      <c r="T3268" s="1">
        <v>1460.85</v>
      </c>
      <c r="U3268" s="1">
        <v>0.0</v>
      </c>
      <c r="V3268" s="1">
        <v>0.0</v>
      </c>
      <c r="W3268" s="1" t="s">
        <v>26</v>
      </c>
    </row>
    <row r="3269" ht="15.75" customHeight="1">
      <c r="A3269" s="1" t="s">
        <v>3306</v>
      </c>
      <c r="B3269" s="1" t="s">
        <v>32</v>
      </c>
      <c r="C3269" s="1">
        <v>0.0</v>
      </c>
      <c r="D3269" s="1" t="s">
        <v>25</v>
      </c>
      <c r="E3269" s="1" t="s">
        <v>25</v>
      </c>
      <c r="F3269" s="1">
        <v>47.0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1">
        <v>20.05</v>
      </c>
      <c r="T3269" s="1">
        <v>951.55</v>
      </c>
      <c r="U3269" s="1">
        <v>0.0</v>
      </c>
      <c r="V3269" s="1">
        <v>0.0</v>
      </c>
      <c r="W3269" s="1" t="s">
        <v>26</v>
      </c>
    </row>
    <row r="3270" ht="15.75" customHeight="1">
      <c r="A3270" s="1" t="s">
        <v>3307</v>
      </c>
      <c r="B3270" s="1" t="s">
        <v>32</v>
      </c>
      <c r="C3270" s="1">
        <v>0.0</v>
      </c>
      <c r="D3270" s="1" t="s">
        <v>25</v>
      </c>
      <c r="E3270" s="1" t="s">
        <v>25</v>
      </c>
      <c r="F3270" s="1">
        <v>24.0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1">
        <v>74.8</v>
      </c>
      <c r="T3270" s="1">
        <v>1821.2</v>
      </c>
      <c r="U3270" s="1">
        <v>0.0</v>
      </c>
      <c r="V3270" s="1">
        <v>0.0</v>
      </c>
      <c r="W3270" s="1" t="s">
        <v>26</v>
      </c>
    </row>
    <row r="3271" ht="15.75" customHeight="1">
      <c r="A3271" s="1" t="s">
        <v>3308</v>
      </c>
      <c r="B3271" s="1" t="s">
        <v>32</v>
      </c>
      <c r="C3271" s="1">
        <v>0.0</v>
      </c>
      <c r="D3271" s="1" t="s">
        <v>26</v>
      </c>
      <c r="E3271" s="1" t="s">
        <v>26</v>
      </c>
      <c r="F3271" s="1">
        <v>65.0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1">
        <v>24.8</v>
      </c>
      <c r="T3271" s="1">
        <v>1600.95</v>
      </c>
      <c r="U3271" s="1">
        <v>5.0</v>
      </c>
      <c r="V3271" s="1">
        <v>0.0</v>
      </c>
      <c r="W3271" s="1" t="s">
        <v>26</v>
      </c>
    </row>
    <row r="3272" ht="15.75" customHeight="1">
      <c r="A3272" s="1" t="s">
        <v>3309</v>
      </c>
      <c r="B3272" s="1" t="s">
        <v>24</v>
      </c>
      <c r="C3272" s="1">
        <v>0.0</v>
      </c>
      <c r="D3272" s="1" t="s">
        <v>26</v>
      </c>
      <c r="E3272" s="1" t="s">
        <v>26</v>
      </c>
      <c r="F3272" s="1">
        <v>4.0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1">
        <v>100.85</v>
      </c>
      <c r="T3272" s="1">
        <v>399.25</v>
      </c>
      <c r="U3272" s="1">
        <v>0.0</v>
      </c>
      <c r="V3272" s="1">
        <v>0.0</v>
      </c>
      <c r="W3272" s="1" t="s">
        <v>26</v>
      </c>
    </row>
    <row r="3273" ht="15.75" customHeight="1">
      <c r="A3273" s="1" t="s">
        <v>3310</v>
      </c>
      <c r="B3273" s="1" t="s">
        <v>32</v>
      </c>
      <c r="C3273" s="1">
        <v>1.0</v>
      </c>
      <c r="D3273" s="1" t="s">
        <v>25</v>
      </c>
      <c r="E3273" s="1" t="s">
        <v>26</v>
      </c>
      <c r="F3273" s="1">
        <v>12.0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1">
        <v>101.35</v>
      </c>
      <c r="T3273" s="1">
        <v>1218.55</v>
      </c>
      <c r="U3273" s="1">
        <v>0.0</v>
      </c>
      <c r="V3273" s="1">
        <v>1.0</v>
      </c>
      <c r="W3273" s="1" t="s">
        <v>25</v>
      </c>
    </row>
    <row r="3274" ht="15.75" customHeight="1">
      <c r="A3274" s="1" t="s">
        <v>3311</v>
      </c>
      <c r="B3274" s="1" t="s">
        <v>32</v>
      </c>
      <c r="C3274" s="1">
        <v>0.0</v>
      </c>
      <c r="D3274" s="1" t="s">
        <v>26</v>
      </c>
      <c r="E3274" s="1" t="s">
        <v>26</v>
      </c>
      <c r="F3274" s="1">
        <v>1.0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1">
        <v>81.7</v>
      </c>
      <c r="T3274" s="1">
        <v>81.7</v>
      </c>
      <c r="U3274" s="1">
        <v>0.0</v>
      </c>
      <c r="V3274" s="1">
        <v>0.0</v>
      </c>
      <c r="W3274" s="1" t="s">
        <v>25</v>
      </c>
    </row>
    <row r="3275" ht="15.75" customHeight="1">
      <c r="A3275" s="1" t="s">
        <v>3312</v>
      </c>
      <c r="B3275" s="1" t="s">
        <v>32</v>
      </c>
      <c r="C3275" s="1">
        <v>0.0</v>
      </c>
      <c r="D3275" s="1" t="s">
        <v>26</v>
      </c>
      <c r="E3275" s="1" t="s">
        <v>26</v>
      </c>
      <c r="F3275" s="1">
        <v>33.0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1">
        <v>68.25</v>
      </c>
      <c r="T3275" s="1">
        <v>2171.15</v>
      </c>
      <c r="U3275" s="1">
        <v>3.0</v>
      </c>
      <c r="V3275" s="1">
        <v>3.0</v>
      </c>
      <c r="W3275" s="1" t="s">
        <v>25</v>
      </c>
    </row>
    <row r="3276" ht="15.75" customHeight="1">
      <c r="A3276" s="1" t="s">
        <v>3313</v>
      </c>
      <c r="B3276" s="1" t="s">
        <v>24</v>
      </c>
      <c r="C3276" s="1">
        <v>0.0</v>
      </c>
      <c r="D3276" s="1" t="s">
        <v>26</v>
      </c>
      <c r="E3276" s="1" t="s">
        <v>26</v>
      </c>
      <c r="F3276" s="1">
        <v>34.0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1">
        <v>105.1</v>
      </c>
      <c r="T3276" s="1">
        <v>3634.8</v>
      </c>
      <c r="U3276" s="1">
        <v>0.0</v>
      </c>
      <c r="V3276" s="1">
        <v>0.0</v>
      </c>
      <c r="W3276" s="1" t="s">
        <v>26</v>
      </c>
    </row>
    <row r="3277" ht="15.75" customHeight="1">
      <c r="A3277" s="1" t="s">
        <v>3314</v>
      </c>
      <c r="B3277" s="1" t="s">
        <v>24</v>
      </c>
      <c r="C3277" s="1">
        <v>0.0</v>
      </c>
      <c r="D3277" s="1" t="s">
        <v>25</v>
      </c>
      <c r="E3277" s="1" t="s">
        <v>26</v>
      </c>
      <c r="F3277" s="1">
        <v>14.0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1">
        <v>20.4</v>
      </c>
      <c r="T3277" s="1">
        <v>292.4</v>
      </c>
      <c r="U3277" s="1">
        <v>0.0</v>
      </c>
      <c r="V3277" s="1">
        <v>0.0</v>
      </c>
      <c r="W3277" s="1" t="s">
        <v>26</v>
      </c>
    </row>
    <row r="3278" ht="15.75" customHeight="1">
      <c r="A3278" s="1" t="s">
        <v>3315</v>
      </c>
      <c r="B3278" s="1" t="s">
        <v>24</v>
      </c>
      <c r="C3278" s="1">
        <v>0.0</v>
      </c>
      <c r="D3278" s="1" t="s">
        <v>26</v>
      </c>
      <c r="E3278" s="1" t="s">
        <v>26</v>
      </c>
      <c r="F3278" s="1">
        <v>4.0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1">
        <v>79.15</v>
      </c>
      <c r="T3278" s="1">
        <v>317.25</v>
      </c>
      <c r="U3278" s="1">
        <v>0.0</v>
      </c>
      <c r="V3278" s="1">
        <v>0.0</v>
      </c>
      <c r="W3278" s="1" t="s">
        <v>25</v>
      </c>
    </row>
    <row r="3279" ht="15.75" customHeight="1">
      <c r="A3279" s="1" t="s">
        <v>3316</v>
      </c>
      <c r="B3279" s="1" t="s">
        <v>32</v>
      </c>
      <c r="C3279" s="1">
        <v>0.0</v>
      </c>
      <c r="D3279" s="1" t="s">
        <v>25</v>
      </c>
      <c r="E3279" s="1" t="s">
        <v>25</v>
      </c>
      <c r="F3279" s="1">
        <v>13.0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1">
        <v>20.0</v>
      </c>
      <c r="T3279" s="1">
        <v>218.55</v>
      </c>
      <c r="U3279" s="1">
        <v>0.0</v>
      </c>
      <c r="V3279" s="1">
        <v>0.0</v>
      </c>
      <c r="W3279" s="1" t="s">
        <v>26</v>
      </c>
    </row>
    <row r="3280" ht="15.75" customHeight="1">
      <c r="A3280" s="1" t="s">
        <v>3317</v>
      </c>
      <c r="B3280" s="1" t="s">
        <v>24</v>
      </c>
      <c r="C3280" s="1">
        <v>0.0</v>
      </c>
      <c r="D3280" s="1" t="s">
        <v>25</v>
      </c>
      <c r="E3280" s="1" t="s">
        <v>25</v>
      </c>
      <c r="F3280" s="1">
        <v>65.0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1">
        <v>79.4</v>
      </c>
      <c r="T3280" s="1">
        <v>5071.9</v>
      </c>
      <c r="U3280" s="1">
        <v>0.0</v>
      </c>
      <c r="V3280" s="1">
        <v>0.0</v>
      </c>
      <c r="W3280" s="1" t="s">
        <v>26</v>
      </c>
    </row>
    <row r="3281" ht="15.75" customHeight="1">
      <c r="A3281" s="1" t="s">
        <v>3318</v>
      </c>
      <c r="B3281" s="1" t="s">
        <v>32</v>
      </c>
      <c r="C3281" s="1">
        <v>0.0</v>
      </c>
      <c r="D3281" s="1" t="s">
        <v>25</v>
      </c>
      <c r="E3281" s="1" t="s">
        <v>25</v>
      </c>
      <c r="F3281" s="1">
        <v>23.0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1">
        <v>57.2</v>
      </c>
      <c r="T3281" s="1">
        <v>1423.35</v>
      </c>
      <c r="U3281" s="1">
        <v>0.0</v>
      </c>
      <c r="V3281" s="1">
        <v>0.0</v>
      </c>
      <c r="W3281" s="1" t="s">
        <v>26</v>
      </c>
    </row>
    <row r="3282" ht="15.75" customHeight="1">
      <c r="A3282" s="1" t="s">
        <v>3319</v>
      </c>
      <c r="B3282" s="1" t="s">
        <v>32</v>
      </c>
      <c r="C3282" s="1">
        <v>0.0</v>
      </c>
      <c r="D3282" s="1" t="s">
        <v>25</v>
      </c>
      <c r="E3282" s="1" t="s">
        <v>26</v>
      </c>
      <c r="F3282" s="1">
        <v>55.0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1">
        <v>58.6</v>
      </c>
      <c r="T3282" s="1">
        <v>3068.6</v>
      </c>
      <c r="U3282" s="1">
        <v>0.0</v>
      </c>
      <c r="V3282" s="1">
        <v>0.0</v>
      </c>
      <c r="W3282" s="1" t="s">
        <v>26</v>
      </c>
    </row>
    <row r="3283" ht="15.75" customHeight="1">
      <c r="A3283" s="1" t="s">
        <v>3320</v>
      </c>
      <c r="B3283" s="1" t="s">
        <v>32</v>
      </c>
      <c r="C3283" s="1">
        <v>0.0</v>
      </c>
      <c r="D3283" s="1" t="s">
        <v>25</v>
      </c>
      <c r="E3283" s="1" t="s">
        <v>26</v>
      </c>
      <c r="F3283" s="1">
        <v>49.0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1">
        <v>94.8</v>
      </c>
      <c r="T3283" s="1">
        <v>4690.65</v>
      </c>
      <c r="U3283" s="1">
        <v>0.0</v>
      </c>
      <c r="V3283" s="1">
        <v>0.0</v>
      </c>
      <c r="W3283" s="1" t="s">
        <v>26</v>
      </c>
    </row>
    <row r="3284" ht="15.75" customHeight="1">
      <c r="A3284" s="1" t="s">
        <v>3321</v>
      </c>
      <c r="B3284" s="1" t="s">
        <v>32</v>
      </c>
      <c r="C3284" s="1">
        <v>0.0</v>
      </c>
      <c r="D3284" s="1" t="s">
        <v>25</v>
      </c>
      <c r="E3284" s="1" t="s">
        <v>26</v>
      </c>
      <c r="F3284" s="1">
        <v>60.0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1">
        <v>102.5</v>
      </c>
      <c r="T3284" s="1">
        <v>6157.6</v>
      </c>
      <c r="U3284" s="1">
        <v>0.0</v>
      </c>
      <c r="V3284" s="1">
        <v>0.0</v>
      </c>
      <c r="W3284" s="1" t="s">
        <v>26</v>
      </c>
    </row>
    <row r="3285" ht="15.75" customHeight="1">
      <c r="A3285" s="1" t="s">
        <v>3322</v>
      </c>
      <c r="B3285" s="1" t="s">
        <v>24</v>
      </c>
      <c r="C3285" s="1">
        <v>0.0</v>
      </c>
      <c r="D3285" s="1" t="s">
        <v>25</v>
      </c>
      <c r="E3285" s="1" t="s">
        <v>25</v>
      </c>
      <c r="F3285" s="1">
        <v>69.0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1">
        <v>20.35</v>
      </c>
      <c r="T3285" s="1">
        <v>1442.65</v>
      </c>
      <c r="U3285" s="1">
        <v>0.0</v>
      </c>
      <c r="V3285" s="1">
        <v>0.0</v>
      </c>
      <c r="W3285" s="1" t="s">
        <v>26</v>
      </c>
    </row>
    <row r="3286" ht="15.75" customHeight="1">
      <c r="A3286" s="1" t="s">
        <v>3323</v>
      </c>
      <c r="B3286" s="1" t="s">
        <v>32</v>
      </c>
      <c r="C3286" s="1">
        <v>0.0</v>
      </c>
      <c r="D3286" s="1" t="s">
        <v>26</v>
      </c>
      <c r="E3286" s="1" t="s">
        <v>26</v>
      </c>
      <c r="F3286" s="1">
        <v>40.0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1">
        <v>84.9</v>
      </c>
      <c r="T3286" s="1">
        <v>3369.05</v>
      </c>
      <c r="U3286" s="1">
        <v>0.0</v>
      </c>
      <c r="V3286" s="1">
        <v>0.0</v>
      </c>
      <c r="W3286" s="1" t="s">
        <v>26</v>
      </c>
    </row>
    <row r="3287" ht="15.75" customHeight="1">
      <c r="A3287" s="1" t="s">
        <v>3324</v>
      </c>
      <c r="B3287" s="1" t="s">
        <v>32</v>
      </c>
      <c r="C3287" s="1">
        <v>0.0</v>
      </c>
      <c r="D3287" s="1" t="s">
        <v>25</v>
      </c>
      <c r="E3287" s="1" t="s">
        <v>26</v>
      </c>
      <c r="F3287" s="1">
        <v>67.0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1">
        <v>69.2</v>
      </c>
      <c r="T3287" s="1">
        <v>4671.65</v>
      </c>
      <c r="U3287" s="1">
        <v>0.0</v>
      </c>
      <c r="V3287" s="1">
        <v>0.0</v>
      </c>
      <c r="W3287" s="1" t="s">
        <v>26</v>
      </c>
    </row>
    <row r="3288" ht="15.75" customHeight="1">
      <c r="A3288" s="1" t="s">
        <v>3325</v>
      </c>
      <c r="B3288" s="1" t="s">
        <v>32</v>
      </c>
      <c r="C3288" s="1">
        <v>1.0</v>
      </c>
      <c r="D3288" s="1" t="s">
        <v>26</v>
      </c>
      <c r="E3288" s="1" t="s">
        <v>26</v>
      </c>
      <c r="F3288" s="1">
        <v>35.0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1">
        <v>95.45</v>
      </c>
      <c r="T3288" s="1">
        <v>3474.05</v>
      </c>
      <c r="U3288" s="1">
        <v>0.0</v>
      </c>
      <c r="V3288" s="1">
        <v>5.0</v>
      </c>
      <c r="W3288" s="1" t="s">
        <v>25</v>
      </c>
    </row>
    <row r="3289" ht="15.75" customHeight="1">
      <c r="A3289" s="1" t="s">
        <v>3326</v>
      </c>
      <c r="B3289" s="1" t="s">
        <v>32</v>
      </c>
      <c r="C3289" s="1">
        <v>0.0</v>
      </c>
      <c r="D3289" s="1" t="s">
        <v>25</v>
      </c>
      <c r="E3289" s="1" t="s">
        <v>25</v>
      </c>
      <c r="F3289" s="1">
        <v>19.0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1">
        <v>100.95</v>
      </c>
      <c r="T3289" s="1">
        <v>1875.55</v>
      </c>
      <c r="U3289" s="1">
        <v>0.0</v>
      </c>
      <c r="V3289" s="1">
        <v>1.0</v>
      </c>
      <c r="W3289" s="1" t="s">
        <v>25</v>
      </c>
    </row>
    <row r="3290" ht="15.75" customHeight="1">
      <c r="A3290" s="1" t="s">
        <v>3327</v>
      </c>
      <c r="B3290" s="1" t="s">
        <v>24</v>
      </c>
      <c r="C3290" s="1">
        <v>0.0</v>
      </c>
      <c r="D3290" s="1" t="s">
        <v>25</v>
      </c>
      <c r="E3290" s="1" t="s">
        <v>25</v>
      </c>
      <c r="F3290" s="1">
        <v>13.0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1">
        <v>20.85</v>
      </c>
      <c r="T3290" s="1">
        <v>272.35</v>
      </c>
      <c r="U3290" s="1">
        <v>0.0</v>
      </c>
      <c r="V3290" s="1">
        <v>0.0</v>
      </c>
      <c r="W3290" s="1" t="s">
        <v>26</v>
      </c>
    </row>
    <row r="3291" ht="15.75" customHeight="1">
      <c r="A3291" s="1" t="s">
        <v>3328</v>
      </c>
      <c r="B3291" s="1" t="s">
        <v>24</v>
      </c>
      <c r="C3291" s="1">
        <v>0.0</v>
      </c>
      <c r="D3291" s="1" t="s">
        <v>26</v>
      </c>
      <c r="E3291" s="1" t="s">
        <v>25</v>
      </c>
      <c r="F3291" s="1">
        <v>41.0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1">
        <v>88.5</v>
      </c>
      <c r="T3291" s="1">
        <v>3645.05</v>
      </c>
      <c r="U3291" s="1">
        <v>0.0</v>
      </c>
      <c r="V3291" s="1">
        <v>0.0</v>
      </c>
      <c r="W3291" s="1" t="s">
        <v>26</v>
      </c>
    </row>
    <row r="3292" ht="15.75" customHeight="1">
      <c r="A3292" s="1" t="s">
        <v>3329</v>
      </c>
      <c r="B3292" s="1" t="s">
        <v>24</v>
      </c>
      <c r="C3292" s="1">
        <v>0.0</v>
      </c>
      <c r="D3292" s="1" t="s">
        <v>26</v>
      </c>
      <c r="E3292" s="1" t="s">
        <v>26</v>
      </c>
      <c r="F3292" s="1">
        <v>4.0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1">
        <v>35.0</v>
      </c>
      <c r="T3292" s="1">
        <v>135.75</v>
      </c>
      <c r="U3292" s="1">
        <v>0.0</v>
      </c>
      <c r="V3292" s="1">
        <v>0.0</v>
      </c>
      <c r="W3292" s="1" t="s">
        <v>26</v>
      </c>
    </row>
    <row r="3293" ht="15.75" customHeight="1">
      <c r="A3293" s="1" t="s">
        <v>3330</v>
      </c>
      <c r="B3293" s="1" t="s">
        <v>24</v>
      </c>
      <c r="C3293" s="1">
        <v>0.0</v>
      </c>
      <c r="D3293" s="1" t="s">
        <v>25</v>
      </c>
      <c r="E3293" s="1" t="s">
        <v>25</v>
      </c>
      <c r="F3293" s="1">
        <v>24.0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1">
        <v>55.15</v>
      </c>
      <c r="T3293" s="1">
        <v>1319.85</v>
      </c>
      <c r="U3293" s="1">
        <v>2.0</v>
      </c>
      <c r="V3293" s="1">
        <v>0.0</v>
      </c>
      <c r="W3293" s="1" t="s">
        <v>26</v>
      </c>
    </row>
    <row r="3294" ht="15.75" customHeight="1">
      <c r="A3294" s="1" t="s">
        <v>3331</v>
      </c>
      <c r="B3294" s="1" t="s">
        <v>24</v>
      </c>
      <c r="C3294" s="1">
        <v>0.0</v>
      </c>
      <c r="D3294" s="1" t="s">
        <v>26</v>
      </c>
      <c r="E3294" s="1" t="s">
        <v>26</v>
      </c>
      <c r="F3294" s="1">
        <v>5.0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1">
        <v>50.95</v>
      </c>
      <c r="T3294" s="1">
        <v>229.4</v>
      </c>
      <c r="U3294" s="1">
        <v>0.0</v>
      </c>
      <c r="V3294" s="1">
        <v>0.0</v>
      </c>
      <c r="W3294" s="1" t="s">
        <v>26</v>
      </c>
    </row>
    <row r="3295" ht="15.75" customHeight="1">
      <c r="A3295" s="1" t="s">
        <v>3332</v>
      </c>
      <c r="B3295" s="1" t="s">
        <v>24</v>
      </c>
      <c r="C3295" s="1">
        <v>0.0</v>
      </c>
      <c r="D3295" s="1" t="s">
        <v>26</v>
      </c>
      <c r="E3295" s="1" t="s">
        <v>26</v>
      </c>
      <c r="F3295" s="1">
        <v>5.0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1">
        <v>64.0</v>
      </c>
      <c r="T3295" s="1">
        <v>370.25</v>
      </c>
      <c r="U3295" s="1">
        <v>0.0</v>
      </c>
      <c r="V3295" s="1">
        <v>0.0</v>
      </c>
      <c r="W3295" s="1" t="s">
        <v>26</v>
      </c>
    </row>
    <row r="3296" ht="15.75" customHeight="1">
      <c r="A3296" s="1" t="s">
        <v>3333</v>
      </c>
      <c r="B3296" s="1" t="s">
        <v>24</v>
      </c>
      <c r="C3296" s="1">
        <v>0.0</v>
      </c>
      <c r="D3296" s="1" t="s">
        <v>25</v>
      </c>
      <c r="E3296" s="1" t="s">
        <v>25</v>
      </c>
      <c r="F3296" s="1">
        <v>1.0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1">
        <v>69.1</v>
      </c>
      <c r="T3296" s="1">
        <v>69.1</v>
      </c>
      <c r="U3296" s="1">
        <v>0.0</v>
      </c>
      <c r="V3296" s="1">
        <v>0.0</v>
      </c>
      <c r="W3296" s="1" t="s">
        <v>25</v>
      </c>
    </row>
    <row r="3297" ht="15.75" customHeight="1">
      <c r="A3297" s="1" t="s">
        <v>3334</v>
      </c>
      <c r="B3297" s="1" t="s">
        <v>24</v>
      </c>
      <c r="C3297" s="1">
        <v>0.0</v>
      </c>
      <c r="D3297" s="1" t="s">
        <v>25</v>
      </c>
      <c r="E3297" s="1" t="s">
        <v>25</v>
      </c>
      <c r="F3297" s="1">
        <v>72.0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1">
        <v>80.2</v>
      </c>
      <c r="T3297" s="1">
        <v>5714.2</v>
      </c>
      <c r="U3297" s="1">
        <v>0.0</v>
      </c>
      <c r="V3297" s="1">
        <v>0.0</v>
      </c>
      <c r="W3297" s="1" t="s">
        <v>26</v>
      </c>
    </row>
    <row r="3298" ht="15.75" customHeight="1">
      <c r="A3298" s="1" t="s">
        <v>3335</v>
      </c>
      <c r="B3298" s="1" t="s">
        <v>24</v>
      </c>
      <c r="C3298" s="1">
        <v>0.0</v>
      </c>
      <c r="D3298" s="1" t="s">
        <v>26</v>
      </c>
      <c r="E3298" s="1" t="s">
        <v>26</v>
      </c>
      <c r="F3298" s="1">
        <v>24.0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1">
        <v>49.3</v>
      </c>
      <c r="T3298" s="1">
        <v>1233.25</v>
      </c>
      <c r="U3298" s="1">
        <v>0.0</v>
      </c>
      <c r="V3298" s="1">
        <v>0.0</v>
      </c>
      <c r="W3298" s="1" t="s">
        <v>26</v>
      </c>
    </row>
    <row r="3299" ht="15.75" customHeight="1">
      <c r="A3299" s="1" t="s">
        <v>3336</v>
      </c>
      <c r="B3299" s="1" t="s">
        <v>24</v>
      </c>
      <c r="C3299" s="1">
        <v>0.0</v>
      </c>
      <c r="D3299" s="1" t="s">
        <v>25</v>
      </c>
      <c r="E3299" s="1" t="s">
        <v>26</v>
      </c>
      <c r="F3299" s="1">
        <v>42.0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1">
        <v>84.35</v>
      </c>
      <c r="T3299" s="1">
        <v>3571.6</v>
      </c>
      <c r="U3299" s="1">
        <v>2.0</v>
      </c>
      <c r="V3299" s="1">
        <v>0.0</v>
      </c>
      <c r="W3299" s="1" t="s">
        <v>26</v>
      </c>
    </row>
    <row r="3300" ht="15.75" customHeight="1">
      <c r="A3300" s="1" t="s">
        <v>3337</v>
      </c>
      <c r="B3300" s="1" t="s">
        <v>24</v>
      </c>
      <c r="C3300" s="1">
        <v>0.0</v>
      </c>
      <c r="D3300" s="1" t="s">
        <v>26</v>
      </c>
      <c r="E3300" s="1" t="s">
        <v>26</v>
      </c>
      <c r="F3300" s="1">
        <v>4.0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1">
        <v>20.05</v>
      </c>
      <c r="T3300" s="1">
        <v>83.3</v>
      </c>
      <c r="U3300" s="1">
        <v>1.0</v>
      </c>
      <c r="V3300" s="1">
        <v>0.0</v>
      </c>
      <c r="W3300" s="1" t="s">
        <v>26</v>
      </c>
    </row>
    <row r="3301" ht="15.75" customHeight="1">
      <c r="A3301" s="1" t="s">
        <v>3338</v>
      </c>
      <c r="B3301" s="1" t="s">
        <v>32</v>
      </c>
      <c r="C3301" s="1">
        <v>0.0</v>
      </c>
      <c r="D3301" s="1" t="s">
        <v>26</v>
      </c>
      <c r="E3301" s="1" t="s">
        <v>26</v>
      </c>
      <c r="F3301" s="1">
        <v>68.0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1">
        <v>117.2</v>
      </c>
      <c r="T3301" s="1">
        <v>8035.95</v>
      </c>
      <c r="U3301" s="1">
        <v>4.0</v>
      </c>
      <c r="V3301" s="1">
        <v>0.0</v>
      </c>
      <c r="W3301" s="1" t="s">
        <v>26</v>
      </c>
    </row>
    <row r="3302" ht="15.75" customHeight="1">
      <c r="A3302" s="1" t="s">
        <v>3339</v>
      </c>
      <c r="B3302" s="1" t="s">
        <v>24</v>
      </c>
      <c r="C3302" s="1">
        <v>0.0</v>
      </c>
      <c r="D3302" s="1" t="s">
        <v>25</v>
      </c>
      <c r="E3302" s="1" t="s">
        <v>25</v>
      </c>
      <c r="F3302" s="1">
        <v>33.0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1">
        <v>20.1</v>
      </c>
      <c r="T3302" s="1">
        <v>579.4</v>
      </c>
      <c r="U3302" s="1">
        <v>0.0</v>
      </c>
      <c r="V3302" s="1">
        <v>0.0</v>
      </c>
      <c r="W3302" s="1" t="s">
        <v>26</v>
      </c>
    </row>
    <row r="3303" ht="15.75" customHeight="1">
      <c r="A3303" s="1" t="s">
        <v>3340</v>
      </c>
      <c r="B3303" s="1" t="s">
        <v>24</v>
      </c>
      <c r="C3303" s="1">
        <v>1.0</v>
      </c>
      <c r="D3303" s="1" t="s">
        <v>26</v>
      </c>
      <c r="E3303" s="1" t="s">
        <v>26</v>
      </c>
      <c r="F3303" s="1">
        <v>1.0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1">
        <v>69.6</v>
      </c>
      <c r="T3303" s="1">
        <v>69.6</v>
      </c>
      <c r="U3303" s="1">
        <v>0.0</v>
      </c>
      <c r="V3303" s="1">
        <v>0.0</v>
      </c>
      <c r="W3303" s="1" t="s">
        <v>25</v>
      </c>
    </row>
    <row r="3304" ht="15.75" customHeight="1">
      <c r="A3304" s="1" t="s">
        <v>3341</v>
      </c>
      <c r="B3304" s="1" t="s">
        <v>32</v>
      </c>
      <c r="C3304" s="1">
        <v>0.0</v>
      </c>
      <c r="D3304" s="1" t="s">
        <v>26</v>
      </c>
      <c r="E3304" s="1" t="s">
        <v>26</v>
      </c>
      <c r="F3304" s="1">
        <v>31.0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1">
        <v>103.45</v>
      </c>
      <c r="T3304" s="1">
        <v>3066.45</v>
      </c>
      <c r="U3304" s="1">
        <v>1.0</v>
      </c>
      <c r="V3304" s="1">
        <v>2.0</v>
      </c>
      <c r="W3304" s="1" t="s">
        <v>25</v>
      </c>
    </row>
    <row r="3305" ht="15.75" customHeight="1">
      <c r="A3305" s="1" t="s">
        <v>3342</v>
      </c>
      <c r="B3305" s="1" t="s">
        <v>24</v>
      </c>
      <c r="C3305" s="1">
        <v>0.0</v>
      </c>
      <c r="D3305" s="1" t="s">
        <v>26</v>
      </c>
      <c r="E3305" s="1" t="s">
        <v>26</v>
      </c>
      <c r="F3305" s="1">
        <v>4.0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1">
        <v>77.95</v>
      </c>
      <c r="T3305" s="1">
        <v>305.55</v>
      </c>
      <c r="U3305" s="1">
        <v>0.0</v>
      </c>
      <c r="V3305" s="1">
        <v>0.0</v>
      </c>
      <c r="W3305" s="1" t="s">
        <v>25</v>
      </c>
    </row>
    <row r="3306" ht="15.75" customHeight="1">
      <c r="A3306" s="1" t="s">
        <v>3343</v>
      </c>
      <c r="B3306" s="1" t="s">
        <v>32</v>
      </c>
      <c r="C3306" s="1">
        <v>1.0</v>
      </c>
      <c r="D3306" s="1" t="s">
        <v>25</v>
      </c>
      <c r="E3306" s="1" t="s">
        <v>26</v>
      </c>
      <c r="F3306" s="1">
        <v>69.0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1">
        <v>109.95</v>
      </c>
      <c r="T3306" s="1">
        <v>7634.25</v>
      </c>
      <c r="U3306" s="1">
        <v>0.0</v>
      </c>
      <c r="V3306" s="1">
        <v>0.0</v>
      </c>
      <c r="W3306" s="1" t="s">
        <v>26</v>
      </c>
    </row>
    <row r="3307" ht="15.75" customHeight="1">
      <c r="A3307" s="1" t="s">
        <v>3344</v>
      </c>
      <c r="B3307" s="1" t="s">
        <v>32</v>
      </c>
      <c r="C3307" s="1">
        <v>1.0</v>
      </c>
      <c r="D3307" s="1" t="s">
        <v>26</v>
      </c>
      <c r="E3307" s="1" t="s">
        <v>26</v>
      </c>
      <c r="F3307" s="1">
        <v>38.0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1">
        <v>94.75</v>
      </c>
      <c r="T3307" s="1">
        <v>3653.0</v>
      </c>
      <c r="U3307" s="1">
        <v>4.0</v>
      </c>
      <c r="V3307" s="1">
        <v>0.0</v>
      </c>
      <c r="W3307" s="1" t="s">
        <v>26</v>
      </c>
    </row>
    <row r="3308" ht="15.75" customHeight="1">
      <c r="A3308" s="1" t="s">
        <v>3345</v>
      </c>
      <c r="B3308" s="1" t="s">
        <v>24</v>
      </c>
      <c r="C3308" s="1">
        <v>0.0</v>
      </c>
      <c r="D3308" s="1" t="s">
        <v>25</v>
      </c>
      <c r="E3308" s="1" t="s">
        <v>25</v>
      </c>
      <c r="F3308" s="1">
        <v>3.0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1">
        <v>80.0</v>
      </c>
      <c r="T3308" s="1">
        <v>241.3</v>
      </c>
      <c r="U3308" s="1">
        <v>0.0</v>
      </c>
      <c r="V3308" s="1">
        <v>0.0</v>
      </c>
      <c r="W3308" s="1" t="s">
        <v>26</v>
      </c>
    </row>
    <row r="3309" ht="15.75" customHeight="1">
      <c r="A3309" s="1" t="s">
        <v>3346</v>
      </c>
      <c r="B3309" s="1" t="s">
        <v>24</v>
      </c>
      <c r="C3309" s="1">
        <v>0.0</v>
      </c>
      <c r="D3309" s="1" t="s">
        <v>25</v>
      </c>
      <c r="E3309" s="1" t="s">
        <v>25</v>
      </c>
      <c r="F3309" s="1">
        <v>48.0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1">
        <v>79.65</v>
      </c>
      <c r="T3309" s="1">
        <v>3870.3</v>
      </c>
      <c r="U3309" s="1">
        <v>0.0</v>
      </c>
      <c r="V3309" s="1">
        <v>0.0</v>
      </c>
      <c r="W3309" s="1" t="s">
        <v>26</v>
      </c>
    </row>
    <row r="3310" ht="15.75" customHeight="1">
      <c r="A3310" s="1" t="s">
        <v>3347</v>
      </c>
      <c r="B3310" s="1" t="s">
        <v>24</v>
      </c>
      <c r="C3310" s="1">
        <v>0.0</v>
      </c>
      <c r="D3310" s="1" t="s">
        <v>25</v>
      </c>
      <c r="E3310" s="1" t="s">
        <v>26</v>
      </c>
      <c r="F3310" s="1">
        <v>15.0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1">
        <v>25.2</v>
      </c>
      <c r="T3310" s="1">
        <v>387.9</v>
      </c>
      <c r="U3310" s="1">
        <v>0.0</v>
      </c>
      <c r="V3310" s="1">
        <v>0.0</v>
      </c>
      <c r="W3310" s="1" t="s">
        <v>26</v>
      </c>
    </row>
    <row r="3311" ht="15.75" customHeight="1">
      <c r="A3311" s="1" t="s">
        <v>3348</v>
      </c>
      <c r="B3311" s="1" t="s">
        <v>24</v>
      </c>
      <c r="C3311" s="1">
        <v>0.0</v>
      </c>
      <c r="D3311" s="1" t="s">
        <v>26</v>
      </c>
      <c r="E3311" s="1" t="s">
        <v>26</v>
      </c>
      <c r="F3311" s="1">
        <v>25.0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1">
        <v>19.9</v>
      </c>
      <c r="T3311" s="1">
        <v>527.5</v>
      </c>
      <c r="U3311" s="1">
        <v>0.0</v>
      </c>
      <c r="V3311" s="1">
        <v>0.0</v>
      </c>
      <c r="W3311" s="1" t="s">
        <v>26</v>
      </c>
    </row>
    <row r="3312" ht="15.75" customHeight="1">
      <c r="A3312" s="1" t="s">
        <v>3349</v>
      </c>
      <c r="B3312" s="1" t="s">
        <v>24</v>
      </c>
      <c r="C3312" s="1">
        <v>1.0</v>
      </c>
      <c r="D3312" s="1" t="s">
        <v>26</v>
      </c>
      <c r="E3312" s="1" t="s">
        <v>26</v>
      </c>
      <c r="F3312" s="1">
        <v>1.0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1">
        <v>78.45</v>
      </c>
      <c r="T3312" s="1">
        <v>78.45</v>
      </c>
      <c r="U3312" s="1">
        <v>0.0</v>
      </c>
      <c r="V3312" s="1">
        <v>0.0</v>
      </c>
      <c r="W3312" s="1" t="s">
        <v>25</v>
      </c>
    </row>
    <row r="3313" ht="15.75" customHeight="1">
      <c r="A3313" s="1" t="s">
        <v>3350</v>
      </c>
      <c r="B3313" s="1" t="s">
        <v>24</v>
      </c>
      <c r="C3313" s="1">
        <v>0.0</v>
      </c>
      <c r="D3313" s="1" t="s">
        <v>26</v>
      </c>
      <c r="E3313" s="1" t="s">
        <v>26</v>
      </c>
      <c r="F3313" s="1">
        <v>48.0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1">
        <v>44.8</v>
      </c>
      <c r="T3313" s="1">
        <v>2104.55</v>
      </c>
      <c r="U3313" s="1">
        <v>3.0</v>
      </c>
      <c r="V3313" s="1">
        <v>0.0</v>
      </c>
      <c r="W3313" s="1" t="s">
        <v>26</v>
      </c>
    </row>
    <row r="3314" ht="15.75" customHeight="1">
      <c r="A3314" s="1" t="s">
        <v>3351</v>
      </c>
      <c r="B3314" s="1" t="s">
        <v>32</v>
      </c>
      <c r="C3314" s="1">
        <v>0.0</v>
      </c>
      <c r="D3314" s="1" t="s">
        <v>26</v>
      </c>
      <c r="E3314" s="1" t="s">
        <v>26</v>
      </c>
      <c r="F3314" s="1">
        <v>1.0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1">
        <v>20.3</v>
      </c>
      <c r="T3314" s="1">
        <v>20.3</v>
      </c>
      <c r="U3314" s="1">
        <v>0.0</v>
      </c>
      <c r="V3314" s="1">
        <v>0.0</v>
      </c>
      <c r="W3314" s="1" t="s">
        <v>26</v>
      </c>
    </row>
    <row r="3315" ht="15.75" customHeight="1">
      <c r="A3315" s="1" t="s">
        <v>3352</v>
      </c>
      <c r="B3315" s="1" t="s">
        <v>32</v>
      </c>
      <c r="C3315" s="1">
        <v>0.0</v>
      </c>
      <c r="D3315" s="1" t="s">
        <v>26</v>
      </c>
      <c r="E3315" s="1" t="s">
        <v>26</v>
      </c>
      <c r="F3315" s="1">
        <v>1.0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1">
        <v>19.2</v>
      </c>
      <c r="T3315" s="1">
        <v>19.2</v>
      </c>
      <c r="U3315" s="1">
        <v>3.0</v>
      </c>
      <c r="V3315" s="1">
        <v>0.0</v>
      </c>
      <c r="W3315" s="1" t="s">
        <v>26</v>
      </c>
    </row>
    <row r="3316" ht="15.75" customHeight="1">
      <c r="A3316" s="1" t="s">
        <v>3353</v>
      </c>
      <c r="B3316" s="1" t="s">
        <v>24</v>
      </c>
      <c r="C3316" s="1">
        <v>0.0</v>
      </c>
      <c r="D3316" s="1" t="s">
        <v>26</v>
      </c>
      <c r="E3316" s="1" t="s">
        <v>26</v>
      </c>
      <c r="F3316" s="1">
        <v>37.0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1">
        <v>80.05</v>
      </c>
      <c r="T3316" s="1">
        <v>3019.1</v>
      </c>
      <c r="U3316" s="1">
        <v>0.0</v>
      </c>
      <c r="V3316" s="1">
        <v>0.0</v>
      </c>
      <c r="W3316" s="1" t="s">
        <v>26</v>
      </c>
    </row>
    <row r="3317" ht="15.75" customHeight="1">
      <c r="A3317" s="1" t="s">
        <v>3354</v>
      </c>
      <c r="B3317" s="1" t="s">
        <v>32</v>
      </c>
      <c r="C3317" s="1">
        <v>1.0</v>
      </c>
      <c r="D3317" s="1" t="s">
        <v>25</v>
      </c>
      <c r="E3317" s="1" t="s">
        <v>26</v>
      </c>
      <c r="F3317" s="1">
        <v>66.0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1">
        <v>107.35</v>
      </c>
      <c r="T3317" s="1">
        <v>7051.95</v>
      </c>
      <c r="U3317" s="1">
        <v>3.0</v>
      </c>
      <c r="V3317" s="1">
        <v>0.0</v>
      </c>
      <c r="W3317" s="1" t="s">
        <v>26</v>
      </c>
    </row>
    <row r="3318" ht="15.75" customHeight="1">
      <c r="A3318" s="1" t="s">
        <v>3355</v>
      </c>
      <c r="B3318" s="1" t="s">
        <v>24</v>
      </c>
      <c r="C3318" s="1">
        <v>0.0</v>
      </c>
      <c r="D3318" s="1" t="s">
        <v>25</v>
      </c>
      <c r="E3318" s="1" t="s">
        <v>26</v>
      </c>
      <c r="F3318" s="1">
        <v>26.0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1">
        <v>47.85</v>
      </c>
      <c r="T3318" s="1">
        <v>1190.5</v>
      </c>
      <c r="U3318" s="1">
        <v>5.0</v>
      </c>
      <c r="V3318" s="1">
        <v>0.0</v>
      </c>
      <c r="W3318" s="1" t="s">
        <v>26</v>
      </c>
    </row>
    <row r="3319" ht="15.75" customHeight="1">
      <c r="A3319" s="1" t="s">
        <v>3356</v>
      </c>
      <c r="B3319" s="1" t="s">
        <v>32</v>
      </c>
      <c r="C3319" s="1">
        <v>0.0</v>
      </c>
      <c r="D3319" s="1" t="s">
        <v>25</v>
      </c>
      <c r="E3319" s="1" t="s">
        <v>26</v>
      </c>
      <c r="F3319" s="1">
        <v>63.0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1">
        <v>70.8</v>
      </c>
      <c r="T3319" s="1">
        <v>4448.8</v>
      </c>
      <c r="U3319" s="1">
        <v>0.0</v>
      </c>
      <c r="V3319" s="1">
        <v>0.0</v>
      </c>
      <c r="W3319" s="1" t="s">
        <v>26</v>
      </c>
    </row>
    <row r="3320" ht="15.75" customHeight="1">
      <c r="A3320" s="1" t="s">
        <v>3357</v>
      </c>
      <c r="B3320" s="1" t="s">
        <v>32</v>
      </c>
      <c r="C3320" s="1">
        <v>0.0</v>
      </c>
      <c r="D3320" s="1" t="s">
        <v>26</v>
      </c>
      <c r="E3320" s="1" t="s">
        <v>26</v>
      </c>
      <c r="F3320" s="1">
        <v>10.0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1">
        <v>29.5</v>
      </c>
      <c r="T3320" s="1">
        <v>255.25</v>
      </c>
      <c r="U3320" s="1">
        <v>0.0</v>
      </c>
      <c r="V3320" s="1">
        <v>0.0</v>
      </c>
      <c r="W3320" s="1" t="s">
        <v>25</v>
      </c>
    </row>
    <row r="3321" ht="15.75" customHeight="1">
      <c r="A3321" s="1" t="s">
        <v>3358</v>
      </c>
      <c r="B3321" s="1" t="s">
        <v>24</v>
      </c>
      <c r="C3321" s="1">
        <v>0.0</v>
      </c>
      <c r="D3321" s="1" t="s">
        <v>26</v>
      </c>
      <c r="E3321" s="1" t="s">
        <v>26</v>
      </c>
      <c r="F3321" s="1">
        <v>2.0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1">
        <v>70.75</v>
      </c>
      <c r="T3321" s="1">
        <v>146.9</v>
      </c>
      <c r="U3321" s="1">
        <v>0.0</v>
      </c>
      <c r="V3321" s="1">
        <v>0.0</v>
      </c>
      <c r="W3321" s="1" t="s">
        <v>25</v>
      </c>
    </row>
    <row r="3322" ht="15.75" customHeight="1">
      <c r="A3322" s="1" t="s">
        <v>3359</v>
      </c>
      <c r="B3322" s="1" t="s">
        <v>32</v>
      </c>
      <c r="C3322" s="1">
        <v>1.0</v>
      </c>
      <c r="D3322" s="1" t="s">
        <v>25</v>
      </c>
      <c r="E3322" s="1" t="s">
        <v>26</v>
      </c>
      <c r="F3322" s="1">
        <v>18.0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1">
        <v>59.1</v>
      </c>
      <c r="T3322" s="1">
        <v>1011.05</v>
      </c>
      <c r="U3322" s="1">
        <v>0.0</v>
      </c>
      <c r="V3322" s="1">
        <v>0.0</v>
      </c>
      <c r="W3322" s="1" t="s">
        <v>26</v>
      </c>
    </row>
    <row r="3323" ht="15.75" customHeight="1">
      <c r="A3323" s="1" t="s">
        <v>3360</v>
      </c>
      <c r="B3323" s="1" t="s">
        <v>24</v>
      </c>
      <c r="C3323" s="1">
        <v>0.0</v>
      </c>
      <c r="D3323" s="1" t="s">
        <v>25</v>
      </c>
      <c r="E3323" s="1" t="s">
        <v>26</v>
      </c>
      <c r="F3323" s="1">
        <v>64.0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1">
        <v>25.55</v>
      </c>
      <c r="T3323" s="1">
        <v>1714.95</v>
      </c>
      <c r="U3323" s="1">
        <v>0.0</v>
      </c>
      <c r="V3323" s="1">
        <v>0.0</v>
      </c>
      <c r="W3323" s="1" t="s">
        <v>26</v>
      </c>
    </row>
    <row r="3324" ht="15.75" customHeight="1">
      <c r="A3324" s="1" t="s">
        <v>3361</v>
      </c>
      <c r="B3324" s="1" t="s">
        <v>24</v>
      </c>
      <c r="C3324" s="1">
        <v>1.0</v>
      </c>
      <c r="D3324" s="1" t="s">
        <v>26</v>
      </c>
      <c r="E3324" s="1" t="s">
        <v>26</v>
      </c>
      <c r="F3324" s="1">
        <v>9.0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1">
        <v>84.45</v>
      </c>
      <c r="T3324" s="1">
        <v>762.5</v>
      </c>
      <c r="U3324" s="1">
        <v>0.0</v>
      </c>
      <c r="V3324" s="1">
        <v>0.0</v>
      </c>
      <c r="W3324" s="1" t="s">
        <v>25</v>
      </c>
    </row>
    <row r="3325" ht="15.75" customHeight="1">
      <c r="A3325" s="1" t="s">
        <v>3362</v>
      </c>
      <c r="B3325" s="1" t="s">
        <v>24</v>
      </c>
      <c r="C3325" s="1">
        <v>0.0</v>
      </c>
      <c r="D3325" s="1" t="s">
        <v>26</v>
      </c>
      <c r="E3325" s="1" t="s">
        <v>25</v>
      </c>
      <c r="F3325" s="1">
        <v>28.0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1">
        <v>20.25</v>
      </c>
      <c r="T3325" s="1">
        <v>535.35</v>
      </c>
      <c r="U3325" s="1">
        <v>0.0</v>
      </c>
      <c r="V3325" s="1">
        <v>0.0</v>
      </c>
      <c r="W3325" s="1" t="s">
        <v>26</v>
      </c>
    </row>
    <row r="3326" ht="15.75" customHeight="1">
      <c r="A3326" s="1" t="s">
        <v>3363</v>
      </c>
      <c r="B3326" s="1" t="s">
        <v>24</v>
      </c>
      <c r="C3326" s="1">
        <v>0.0</v>
      </c>
      <c r="D3326" s="1" t="s">
        <v>26</v>
      </c>
      <c r="E3326" s="1" t="s">
        <v>26</v>
      </c>
      <c r="F3326" s="1">
        <v>1.0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1">
        <v>75.55</v>
      </c>
      <c r="T3326" s="1">
        <v>75.55</v>
      </c>
      <c r="U3326" s="1">
        <v>2.0</v>
      </c>
      <c r="V3326" s="1">
        <v>0.0</v>
      </c>
      <c r="W3326" s="1" t="s">
        <v>26</v>
      </c>
    </row>
    <row r="3327" ht="15.75" customHeight="1">
      <c r="A3327" s="1" t="s">
        <v>3364</v>
      </c>
      <c r="B3327" s="1" t="s">
        <v>32</v>
      </c>
      <c r="C3327" s="1">
        <v>0.0</v>
      </c>
      <c r="D3327" s="1" t="s">
        <v>26</v>
      </c>
      <c r="E3327" s="1" t="s">
        <v>26</v>
      </c>
      <c r="F3327" s="1">
        <v>4.0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1">
        <v>85.65</v>
      </c>
      <c r="T3327" s="1">
        <v>338.9</v>
      </c>
      <c r="U3327" s="1">
        <v>4.0</v>
      </c>
      <c r="V3327" s="1">
        <v>0.0</v>
      </c>
      <c r="W3327" s="1" t="s">
        <v>25</v>
      </c>
    </row>
    <row r="3328" ht="15.75" customHeight="1">
      <c r="A3328" s="1" t="s">
        <v>3365</v>
      </c>
      <c r="B3328" s="1" t="s">
        <v>32</v>
      </c>
      <c r="C3328" s="1">
        <v>1.0</v>
      </c>
      <c r="D3328" s="1" t="s">
        <v>26</v>
      </c>
      <c r="E3328" s="1" t="s">
        <v>26</v>
      </c>
      <c r="F3328" s="1">
        <v>38.0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1">
        <v>70.15</v>
      </c>
      <c r="T3328" s="1">
        <v>2497.35</v>
      </c>
      <c r="U3328" s="1">
        <v>0.0</v>
      </c>
      <c r="V3328" s="1">
        <v>2.0</v>
      </c>
      <c r="W3328" s="1" t="s">
        <v>25</v>
      </c>
    </row>
    <row r="3329" ht="15.75" customHeight="1">
      <c r="A3329" s="1" t="s">
        <v>3366</v>
      </c>
      <c r="B3329" s="1" t="s">
        <v>32</v>
      </c>
      <c r="C3329" s="1">
        <v>0.0</v>
      </c>
      <c r="D3329" s="1" t="s">
        <v>25</v>
      </c>
      <c r="E3329" s="1" t="s">
        <v>26</v>
      </c>
      <c r="F3329" s="1">
        <v>66.0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1">
        <v>95.3</v>
      </c>
      <c r="T3329" s="1">
        <v>6273.4</v>
      </c>
      <c r="U3329" s="1">
        <v>0.0</v>
      </c>
      <c r="V3329" s="1">
        <v>0.0</v>
      </c>
      <c r="W3329" s="1" t="s">
        <v>26</v>
      </c>
    </row>
    <row r="3330" ht="15.75" customHeight="1">
      <c r="A3330" s="1" t="s">
        <v>3367</v>
      </c>
      <c r="B3330" s="1" t="s">
        <v>24</v>
      </c>
      <c r="C3330" s="1">
        <v>0.0</v>
      </c>
      <c r="D3330" s="1" t="s">
        <v>26</v>
      </c>
      <c r="E3330" s="1" t="s">
        <v>26</v>
      </c>
      <c r="F3330" s="1">
        <v>1.0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1">
        <v>70.25</v>
      </c>
      <c r="T3330" s="1">
        <v>70.25</v>
      </c>
      <c r="U3330" s="1">
        <v>0.0</v>
      </c>
      <c r="V3330" s="1">
        <v>0.0</v>
      </c>
      <c r="W3330" s="1" t="s">
        <v>26</v>
      </c>
    </row>
    <row r="3331" ht="15.75" customHeight="1">
      <c r="A3331" s="1" t="s">
        <v>3368</v>
      </c>
      <c r="B3331" s="1" t="s">
        <v>24</v>
      </c>
      <c r="C3331" s="1">
        <v>0.0</v>
      </c>
      <c r="D3331" s="1" t="s">
        <v>25</v>
      </c>
      <c r="E3331" s="1" t="s">
        <v>26</v>
      </c>
      <c r="F3331" s="1">
        <v>18.0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1">
        <v>50.3</v>
      </c>
      <c r="T3331" s="1">
        <v>908.75</v>
      </c>
      <c r="U3331" s="1">
        <v>0.0</v>
      </c>
      <c r="V3331" s="1">
        <v>0.0</v>
      </c>
      <c r="W3331" s="1" t="s">
        <v>26</v>
      </c>
    </row>
    <row r="3332" ht="15.75" customHeight="1">
      <c r="A3332" s="1" t="s">
        <v>3369</v>
      </c>
      <c r="B3332" s="1" t="s">
        <v>32</v>
      </c>
      <c r="C3332" s="1">
        <v>1.0</v>
      </c>
      <c r="D3332" s="1" t="s">
        <v>26</v>
      </c>
      <c r="E3332" s="1" t="s">
        <v>26</v>
      </c>
      <c r="F3332" s="1">
        <v>51.0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1">
        <v>97.8</v>
      </c>
      <c r="T3332" s="1">
        <v>4913.3</v>
      </c>
      <c r="U3332" s="1">
        <v>0.0</v>
      </c>
      <c r="V3332" s="1">
        <v>4.0</v>
      </c>
      <c r="W3332" s="1" t="s">
        <v>25</v>
      </c>
    </row>
    <row r="3333" ht="15.75" customHeight="1">
      <c r="A3333" s="1" t="s">
        <v>3370</v>
      </c>
      <c r="B3333" s="1" t="s">
        <v>32</v>
      </c>
      <c r="C3333" s="1">
        <v>0.0</v>
      </c>
      <c r="D3333" s="1" t="s">
        <v>25</v>
      </c>
      <c r="E3333" s="1" t="s">
        <v>25</v>
      </c>
      <c r="F3333" s="1">
        <v>0.0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1">
        <v>19.85</v>
      </c>
      <c r="T3333" s="1" t="s">
        <v>527</v>
      </c>
      <c r="U3333" s="1">
        <v>0.0</v>
      </c>
      <c r="V3333" s="1">
        <v>0.0</v>
      </c>
      <c r="W3333" s="1" t="s">
        <v>26</v>
      </c>
    </row>
    <row r="3334" ht="15.75" customHeight="1">
      <c r="A3334" s="1" t="s">
        <v>3371</v>
      </c>
      <c r="B3334" s="1" t="s">
        <v>32</v>
      </c>
      <c r="C3334" s="1">
        <v>0.0</v>
      </c>
      <c r="D3334" s="1" t="s">
        <v>26</v>
      </c>
      <c r="E3334" s="1" t="s">
        <v>26</v>
      </c>
      <c r="F3334" s="1">
        <v>1.0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1">
        <v>46.3</v>
      </c>
      <c r="T3334" s="1">
        <v>46.3</v>
      </c>
      <c r="U3334" s="1">
        <v>0.0</v>
      </c>
      <c r="V3334" s="1">
        <v>0.0</v>
      </c>
      <c r="W3334" s="1" t="s">
        <v>25</v>
      </c>
    </row>
    <row r="3335" ht="15.75" customHeight="1">
      <c r="A3335" s="1" t="s">
        <v>3372</v>
      </c>
      <c r="B3335" s="1" t="s">
        <v>32</v>
      </c>
      <c r="C3335" s="1">
        <v>0.0</v>
      </c>
      <c r="D3335" s="1" t="s">
        <v>26</v>
      </c>
      <c r="E3335" s="1" t="s">
        <v>25</v>
      </c>
      <c r="F3335" s="1">
        <v>12.0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1">
        <v>19.35</v>
      </c>
      <c r="T3335" s="1">
        <v>212.3</v>
      </c>
      <c r="U3335" s="1">
        <v>0.0</v>
      </c>
      <c r="V3335" s="1">
        <v>0.0</v>
      </c>
      <c r="W3335" s="1" t="s">
        <v>26</v>
      </c>
    </row>
    <row r="3336" ht="15.75" customHeight="1">
      <c r="A3336" s="1" t="s">
        <v>3373</v>
      </c>
      <c r="B3336" s="1" t="s">
        <v>24</v>
      </c>
      <c r="C3336" s="1">
        <v>0.0</v>
      </c>
      <c r="D3336" s="1" t="s">
        <v>26</v>
      </c>
      <c r="E3336" s="1" t="s">
        <v>26</v>
      </c>
      <c r="F3336" s="1">
        <v>41.0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1">
        <v>106.3</v>
      </c>
      <c r="T3336" s="1">
        <v>4443.45</v>
      </c>
      <c r="U3336" s="1">
        <v>0.0</v>
      </c>
      <c r="V3336" s="1">
        <v>2.0</v>
      </c>
      <c r="W3336" s="1" t="s">
        <v>25</v>
      </c>
    </row>
    <row r="3337" ht="15.75" customHeight="1">
      <c r="A3337" s="1" t="s">
        <v>3374</v>
      </c>
      <c r="B3337" s="1" t="s">
        <v>32</v>
      </c>
      <c r="C3337" s="1">
        <v>0.0</v>
      </c>
      <c r="D3337" s="1" t="s">
        <v>26</v>
      </c>
      <c r="E3337" s="1" t="s">
        <v>26</v>
      </c>
      <c r="F3337" s="1">
        <v>12.0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1">
        <v>25.0</v>
      </c>
      <c r="T3337" s="1">
        <v>316.2</v>
      </c>
      <c r="U3337" s="1">
        <v>4.0</v>
      </c>
      <c r="V3337" s="1">
        <v>0.0</v>
      </c>
      <c r="W3337" s="1" t="s">
        <v>26</v>
      </c>
    </row>
    <row r="3338" ht="15.75" customHeight="1">
      <c r="A3338" s="1" t="s">
        <v>3375</v>
      </c>
      <c r="B3338" s="1" t="s">
        <v>24</v>
      </c>
      <c r="C3338" s="1">
        <v>0.0</v>
      </c>
      <c r="D3338" s="1" t="s">
        <v>25</v>
      </c>
      <c r="E3338" s="1" t="s">
        <v>25</v>
      </c>
      <c r="F3338" s="1">
        <v>55.0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1">
        <v>20.3</v>
      </c>
      <c r="T3338" s="1">
        <v>1079.05</v>
      </c>
      <c r="U3338" s="1">
        <v>0.0</v>
      </c>
      <c r="V3338" s="1">
        <v>0.0</v>
      </c>
      <c r="W3338" s="1" t="s">
        <v>26</v>
      </c>
    </row>
    <row r="3339" ht="15.75" customHeight="1">
      <c r="A3339" s="1" t="s">
        <v>3376</v>
      </c>
      <c r="B3339" s="1" t="s">
        <v>24</v>
      </c>
      <c r="C3339" s="1">
        <v>0.0</v>
      </c>
      <c r="D3339" s="1" t="s">
        <v>26</v>
      </c>
      <c r="E3339" s="1" t="s">
        <v>26</v>
      </c>
      <c r="F3339" s="1">
        <v>7.0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1">
        <v>75.35</v>
      </c>
      <c r="T3339" s="1">
        <v>564.65</v>
      </c>
      <c r="U3339" s="1">
        <v>0.0</v>
      </c>
      <c r="V3339" s="1">
        <v>0.0</v>
      </c>
      <c r="W3339" s="1" t="s">
        <v>26</v>
      </c>
    </row>
    <row r="3340" ht="15.75" customHeight="1">
      <c r="A3340" s="1" t="s">
        <v>3377</v>
      </c>
      <c r="B3340" s="1" t="s">
        <v>24</v>
      </c>
      <c r="C3340" s="1">
        <v>0.0</v>
      </c>
      <c r="D3340" s="1" t="s">
        <v>26</v>
      </c>
      <c r="E3340" s="1" t="s">
        <v>26</v>
      </c>
      <c r="F3340" s="1">
        <v>12.0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1">
        <v>89.4</v>
      </c>
      <c r="T3340" s="1">
        <v>1095.65</v>
      </c>
      <c r="U3340" s="1">
        <v>0.0</v>
      </c>
      <c r="V3340" s="1">
        <v>2.0</v>
      </c>
      <c r="W3340" s="1" t="s">
        <v>25</v>
      </c>
    </row>
    <row r="3341" ht="15.75" customHeight="1">
      <c r="A3341" s="1" t="s">
        <v>3378</v>
      </c>
      <c r="B3341" s="1" t="s">
        <v>24</v>
      </c>
      <c r="C3341" s="1">
        <v>0.0</v>
      </c>
      <c r="D3341" s="1" t="s">
        <v>25</v>
      </c>
      <c r="E3341" s="1" t="s">
        <v>25</v>
      </c>
      <c r="F3341" s="1">
        <v>68.0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1">
        <v>88.0</v>
      </c>
      <c r="T3341" s="1">
        <v>6161.9</v>
      </c>
      <c r="U3341" s="1">
        <v>0.0</v>
      </c>
      <c r="V3341" s="1">
        <v>0.0</v>
      </c>
      <c r="W3341" s="1" t="s">
        <v>26</v>
      </c>
    </row>
    <row r="3342" ht="15.75" customHeight="1">
      <c r="A3342" s="1" t="s">
        <v>3379</v>
      </c>
      <c r="B3342" s="1" t="s">
        <v>24</v>
      </c>
      <c r="C3342" s="1">
        <v>1.0</v>
      </c>
      <c r="D3342" s="1" t="s">
        <v>26</v>
      </c>
      <c r="E3342" s="1" t="s">
        <v>26</v>
      </c>
      <c r="F3342" s="1">
        <v>5.0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1">
        <v>83.15</v>
      </c>
      <c r="T3342" s="1">
        <v>446.05</v>
      </c>
      <c r="U3342" s="1">
        <v>0.0</v>
      </c>
      <c r="V3342" s="1">
        <v>0.0</v>
      </c>
      <c r="W3342" s="1" t="s">
        <v>25</v>
      </c>
    </row>
    <row r="3343" ht="15.75" customHeight="1">
      <c r="A3343" s="1" t="s">
        <v>3380</v>
      </c>
      <c r="B3343" s="1" t="s">
        <v>24</v>
      </c>
      <c r="C3343" s="1">
        <v>1.0</v>
      </c>
      <c r="D3343" s="1" t="s">
        <v>26</v>
      </c>
      <c r="E3343" s="1" t="s">
        <v>26</v>
      </c>
      <c r="F3343" s="1">
        <v>49.0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1">
        <v>43.8</v>
      </c>
      <c r="T3343" s="1">
        <v>2106.05</v>
      </c>
      <c r="U3343" s="1">
        <v>0.0</v>
      </c>
      <c r="V3343" s="1">
        <v>0.0</v>
      </c>
      <c r="W3343" s="1" t="s">
        <v>26</v>
      </c>
    </row>
    <row r="3344" ht="15.75" customHeight="1">
      <c r="A3344" s="1" t="s">
        <v>3381</v>
      </c>
      <c r="B3344" s="1" t="s">
        <v>32</v>
      </c>
      <c r="C3344" s="1">
        <v>0.0</v>
      </c>
      <c r="D3344" s="1" t="s">
        <v>26</v>
      </c>
      <c r="E3344" s="1" t="s">
        <v>26</v>
      </c>
      <c r="F3344" s="1">
        <v>40.0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1">
        <v>62.05</v>
      </c>
      <c r="T3344" s="1">
        <v>2511.55</v>
      </c>
      <c r="U3344" s="1">
        <v>2.0</v>
      </c>
      <c r="V3344" s="1">
        <v>0.0</v>
      </c>
      <c r="W3344" s="1" t="s">
        <v>26</v>
      </c>
    </row>
    <row r="3345" ht="15.75" customHeight="1">
      <c r="A3345" s="1" t="s">
        <v>3382</v>
      </c>
      <c r="B3345" s="1" t="s">
        <v>24</v>
      </c>
      <c r="C3345" s="1">
        <v>0.0</v>
      </c>
      <c r="D3345" s="1" t="s">
        <v>26</v>
      </c>
      <c r="E3345" s="1" t="s">
        <v>26</v>
      </c>
      <c r="F3345" s="1">
        <v>16.0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1">
        <v>20.1</v>
      </c>
      <c r="T3345" s="1">
        <v>318.6</v>
      </c>
      <c r="U3345" s="1">
        <v>0.0</v>
      </c>
      <c r="V3345" s="1">
        <v>0.0</v>
      </c>
      <c r="W3345" s="1" t="s">
        <v>26</v>
      </c>
    </row>
    <row r="3346" ht="15.75" customHeight="1">
      <c r="A3346" s="1" t="s">
        <v>3383</v>
      </c>
      <c r="B3346" s="1" t="s">
        <v>32</v>
      </c>
      <c r="C3346" s="1">
        <v>0.0</v>
      </c>
      <c r="D3346" s="1" t="s">
        <v>26</v>
      </c>
      <c r="E3346" s="1" t="s">
        <v>26</v>
      </c>
      <c r="F3346" s="1">
        <v>10.0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1">
        <v>74.15</v>
      </c>
      <c r="T3346" s="1">
        <v>811.8</v>
      </c>
      <c r="U3346" s="1">
        <v>0.0</v>
      </c>
      <c r="V3346" s="1">
        <v>0.0</v>
      </c>
      <c r="W3346" s="1" t="s">
        <v>25</v>
      </c>
    </row>
    <row r="3347" ht="15.75" customHeight="1">
      <c r="A3347" s="1" t="s">
        <v>3384</v>
      </c>
      <c r="B3347" s="1" t="s">
        <v>24</v>
      </c>
      <c r="C3347" s="1">
        <v>0.0</v>
      </c>
      <c r="D3347" s="1" t="s">
        <v>25</v>
      </c>
      <c r="E3347" s="1" t="s">
        <v>26</v>
      </c>
      <c r="F3347" s="1">
        <v>72.0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1">
        <v>101.35</v>
      </c>
      <c r="T3347" s="1">
        <v>7323.15</v>
      </c>
      <c r="U3347" s="1">
        <v>1.0</v>
      </c>
      <c r="V3347" s="1">
        <v>0.0</v>
      </c>
      <c r="W3347" s="1" t="s">
        <v>26</v>
      </c>
    </row>
    <row r="3348" ht="15.75" customHeight="1">
      <c r="A3348" s="1" t="s">
        <v>3385</v>
      </c>
      <c r="B3348" s="1" t="s">
        <v>24</v>
      </c>
      <c r="C3348" s="1">
        <v>1.0</v>
      </c>
      <c r="D3348" s="1" t="s">
        <v>26</v>
      </c>
      <c r="E3348" s="1" t="s">
        <v>26</v>
      </c>
      <c r="F3348" s="1">
        <v>2.0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1">
        <v>84.05</v>
      </c>
      <c r="T3348" s="1">
        <v>186.05</v>
      </c>
      <c r="U3348" s="1">
        <v>0.0</v>
      </c>
      <c r="V3348" s="1">
        <v>0.0</v>
      </c>
      <c r="W3348" s="1" t="s">
        <v>26</v>
      </c>
    </row>
    <row r="3349" ht="15.75" customHeight="1">
      <c r="A3349" s="1" t="s">
        <v>3386</v>
      </c>
      <c r="B3349" s="1" t="s">
        <v>32</v>
      </c>
      <c r="C3349" s="1">
        <v>0.0</v>
      </c>
      <c r="D3349" s="1" t="s">
        <v>25</v>
      </c>
      <c r="E3349" s="1" t="s">
        <v>25</v>
      </c>
      <c r="F3349" s="1">
        <v>23.0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1">
        <v>20.9</v>
      </c>
      <c r="T3349" s="1">
        <v>454.0</v>
      </c>
      <c r="U3349" s="1">
        <v>0.0</v>
      </c>
      <c r="V3349" s="1">
        <v>0.0</v>
      </c>
      <c r="W3349" s="1" t="s">
        <v>26</v>
      </c>
    </row>
    <row r="3350" ht="15.75" customHeight="1">
      <c r="A3350" s="1" t="s">
        <v>3387</v>
      </c>
      <c r="B3350" s="1" t="s">
        <v>24</v>
      </c>
      <c r="C3350" s="1">
        <v>1.0</v>
      </c>
      <c r="D3350" s="1" t="s">
        <v>26</v>
      </c>
      <c r="E3350" s="1" t="s">
        <v>26</v>
      </c>
      <c r="F3350" s="1">
        <v>71.0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1">
        <v>105.9</v>
      </c>
      <c r="T3350" s="1">
        <v>7521.95</v>
      </c>
      <c r="U3350" s="1">
        <v>0.0</v>
      </c>
      <c r="V3350" s="1">
        <v>0.0</v>
      </c>
      <c r="W3350" s="1" t="s">
        <v>26</v>
      </c>
    </row>
    <row r="3351" ht="15.75" customHeight="1">
      <c r="A3351" s="1" t="s">
        <v>3388</v>
      </c>
      <c r="B3351" s="1" t="s">
        <v>24</v>
      </c>
      <c r="C3351" s="1">
        <v>0.0</v>
      </c>
      <c r="D3351" s="1" t="s">
        <v>25</v>
      </c>
      <c r="E3351" s="1" t="s">
        <v>26</v>
      </c>
      <c r="F3351" s="1">
        <v>11.0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1">
        <v>99.5</v>
      </c>
      <c r="T3351" s="1">
        <v>1056.95</v>
      </c>
      <c r="U3351" s="1">
        <v>0.0</v>
      </c>
      <c r="V3351" s="1">
        <v>1.0</v>
      </c>
      <c r="W3351" s="1" t="s">
        <v>25</v>
      </c>
    </row>
    <row r="3352" ht="15.75" customHeight="1">
      <c r="A3352" s="1" t="s">
        <v>3389</v>
      </c>
      <c r="B3352" s="1" t="s">
        <v>32</v>
      </c>
      <c r="C3352" s="1">
        <v>0.0</v>
      </c>
      <c r="D3352" s="1" t="s">
        <v>26</v>
      </c>
      <c r="E3352" s="1" t="s">
        <v>26</v>
      </c>
      <c r="F3352" s="1">
        <v>1.0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1">
        <v>44.15</v>
      </c>
      <c r="T3352" s="1">
        <v>44.15</v>
      </c>
      <c r="U3352" s="1">
        <v>0.0</v>
      </c>
      <c r="V3352" s="1">
        <v>0.0</v>
      </c>
      <c r="W3352" s="1" t="s">
        <v>25</v>
      </c>
    </row>
    <row r="3353" ht="15.75" customHeight="1">
      <c r="A3353" s="1" t="s">
        <v>3390</v>
      </c>
      <c r="B3353" s="1" t="s">
        <v>24</v>
      </c>
      <c r="C3353" s="1">
        <v>0.0</v>
      </c>
      <c r="D3353" s="1" t="s">
        <v>26</v>
      </c>
      <c r="E3353" s="1" t="s">
        <v>26</v>
      </c>
      <c r="F3353" s="1">
        <v>16.0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1">
        <v>53.9</v>
      </c>
      <c r="T3353" s="1">
        <v>834.15</v>
      </c>
      <c r="U3353" s="1">
        <v>0.0</v>
      </c>
      <c r="V3353" s="1">
        <v>0.0</v>
      </c>
      <c r="W3353" s="1" t="s">
        <v>25</v>
      </c>
    </row>
    <row r="3354" ht="15.75" customHeight="1">
      <c r="A3354" s="1" t="s">
        <v>3391</v>
      </c>
      <c r="B3354" s="1" t="s">
        <v>24</v>
      </c>
      <c r="C3354" s="1">
        <v>0.0</v>
      </c>
      <c r="D3354" s="1" t="s">
        <v>26</v>
      </c>
      <c r="E3354" s="1" t="s">
        <v>26</v>
      </c>
      <c r="F3354" s="1">
        <v>1.0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1">
        <v>85.45</v>
      </c>
      <c r="T3354" s="1">
        <v>85.45</v>
      </c>
      <c r="U3354" s="1">
        <v>0.0</v>
      </c>
      <c r="V3354" s="1">
        <v>0.0</v>
      </c>
      <c r="W3354" s="1" t="s">
        <v>25</v>
      </c>
    </row>
    <row r="3355" ht="15.75" customHeight="1">
      <c r="A3355" s="1" t="s">
        <v>3392</v>
      </c>
      <c r="B3355" s="1" t="s">
        <v>32</v>
      </c>
      <c r="C3355" s="1">
        <v>0.0</v>
      </c>
      <c r="D3355" s="1" t="s">
        <v>25</v>
      </c>
      <c r="E3355" s="1" t="s">
        <v>26</v>
      </c>
      <c r="F3355" s="1">
        <v>12.0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1">
        <v>85.05</v>
      </c>
      <c r="T3355" s="1">
        <v>999.8</v>
      </c>
      <c r="U3355" s="1">
        <v>0.0</v>
      </c>
      <c r="V3355" s="1">
        <v>0.0</v>
      </c>
      <c r="W3355" s="1" t="s">
        <v>26</v>
      </c>
    </row>
    <row r="3356" ht="15.75" customHeight="1">
      <c r="A3356" s="1" t="s">
        <v>3393</v>
      </c>
      <c r="B3356" s="1" t="s">
        <v>24</v>
      </c>
      <c r="C3356" s="1">
        <v>0.0</v>
      </c>
      <c r="D3356" s="1" t="s">
        <v>26</v>
      </c>
      <c r="E3356" s="1" t="s">
        <v>26</v>
      </c>
      <c r="F3356" s="1">
        <v>54.0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1">
        <v>44.1</v>
      </c>
      <c r="T3356" s="1">
        <v>2369.7</v>
      </c>
      <c r="U3356" s="1">
        <v>0.0</v>
      </c>
      <c r="V3356" s="1">
        <v>0.0</v>
      </c>
      <c r="W3356" s="1" t="s">
        <v>26</v>
      </c>
    </row>
    <row r="3357" ht="15.75" customHeight="1">
      <c r="A3357" s="1" t="s">
        <v>3394</v>
      </c>
      <c r="B3357" s="1" t="s">
        <v>24</v>
      </c>
      <c r="C3357" s="1">
        <v>0.0</v>
      </c>
      <c r="D3357" s="1" t="s">
        <v>25</v>
      </c>
      <c r="E3357" s="1" t="s">
        <v>26</v>
      </c>
      <c r="F3357" s="1">
        <v>68.0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1">
        <v>90.2</v>
      </c>
      <c r="T3357" s="1">
        <v>6297.65</v>
      </c>
      <c r="U3357" s="1">
        <v>5.0</v>
      </c>
      <c r="V3357" s="1">
        <v>5.0</v>
      </c>
      <c r="W3357" s="1" t="s">
        <v>26</v>
      </c>
    </row>
    <row r="3358" ht="15.75" customHeight="1">
      <c r="A3358" s="1" t="s">
        <v>3395</v>
      </c>
      <c r="B3358" s="1" t="s">
        <v>24</v>
      </c>
      <c r="C3358" s="1">
        <v>0.0</v>
      </c>
      <c r="D3358" s="1" t="s">
        <v>25</v>
      </c>
      <c r="E3358" s="1" t="s">
        <v>25</v>
      </c>
      <c r="F3358" s="1">
        <v>4.0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1">
        <v>50.85</v>
      </c>
      <c r="T3358" s="1">
        <v>239.55</v>
      </c>
      <c r="U3358" s="1">
        <v>0.0</v>
      </c>
      <c r="V3358" s="1">
        <v>0.0</v>
      </c>
      <c r="W3358" s="1" t="s">
        <v>25</v>
      </c>
    </row>
    <row r="3359" ht="15.75" customHeight="1">
      <c r="A3359" s="1" t="s">
        <v>3396</v>
      </c>
      <c r="B3359" s="1" t="s">
        <v>24</v>
      </c>
      <c r="C3359" s="1">
        <v>0.0</v>
      </c>
      <c r="D3359" s="1" t="s">
        <v>26</v>
      </c>
      <c r="E3359" s="1" t="s">
        <v>25</v>
      </c>
      <c r="F3359" s="1">
        <v>1.0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1">
        <v>59.2</v>
      </c>
      <c r="T3359" s="1">
        <v>59.2</v>
      </c>
      <c r="U3359" s="1">
        <v>0.0</v>
      </c>
      <c r="V3359" s="1">
        <v>0.0</v>
      </c>
      <c r="W3359" s="1" t="s">
        <v>25</v>
      </c>
    </row>
    <row r="3360" ht="15.75" customHeight="1">
      <c r="A3360" s="1" t="s">
        <v>3397</v>
      </c>
      <c r="B3360" s="1" t="s">
        <v>32</v>
      </c>
      <c r="C3360" s="1">
        <v>0.0</v>
      </c>
      <c r="D3360" s="1" t="s">
        <v>26</v>
      </c>
      <c r="E3360" s="1" t="s">
        <v>26</v>
      </c>
      <c r="F3360" s="1">
        <v>27.0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1">
        <v>53.45</v>
      </c>
      <c r="T3360" s="1">
        <v>1461.45</v>
      </c>
      <c r="U3360" s="1">
        <v>1.0</v>
      </c>
      <c r="V3360" s="1">
        <v>0.0</v>
      </c>
      <c r="W3360" s="1" t="s">
        <v>26</v>
      </c>
    </row>
    <row r="3361" ht="15.75" customHeight="1">
      <c r="A3361" s="1" t="s">
        <v>3398</v>
      </c>
      <c r="B3361" s="1" t="s">
        <v>32</v>
      </c>
      <c r="C3361" s="1">
        <v>0.0</v>
      </c>
      <c r="D3361" s="1" t="s">
        <v>26</v>
      </c>
      <c r="E3361" s="1" t="s">
        <v>26</v>
      </c>
      <c r="F3361" s="1">
        <v>21.0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1">
        <v>19.95</v>
      </c>
      <c r="T3361" s="1">
        <v>416.4</v>
      </c>
      <c r="U3361" s="1">
        <v>0.0</v>
      </c>
      <c r="V3361" s="1">
        <v>0.0</v>
      </c>
      <c r="W3361" s="1" t="s">
        <v>26</v>
      </c>
    </row>
    <row r="3362" ht="15.75" customHeight="1">
      <c r="A3362" s="1" t="s">
        <v>3399</v>
      </c>
      <c r="B3362" s="1" t="s">
        <v>32</v>
      </c>
      <c r="C3362" s="1">
        <v>0.0</v>
      </c>
      <c r="D3362" s="1" t="s">
        <v>26</v>
      </c>
      <c r="E3362" s="1" t="s">
        <v>26</v>
      </c>
      <c r="F3362" s="1">
        <v>13.0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1">
        <v>83.2</v>
      </c>
      <c r="T3362" s="1">
        <v>1060.6</v>
      </c>
      <c r="U3362" s="1">
        <v>0.0</v>
      </c>
      <c r="V3362" s="1">
        <v>1.0</v>
      </c>
      <c r="W3362" s="1" t="s">
        <v>25</v>
      </c>
    </row>
    <row r="3363" ht="15.75" customHeight="1">
      <c r="A3363" s="1" t="s">
        <v>3400</v>
      </c>
      <c r="B3363" s="1" t="s">
        <v>24</v>
      </c>
      <c r="C3363" s="1">
        <v>1.0</v>
      </c>
      <c r="D3363" s="1" t="s">
        <v>26</v>
      </c>
      <c r="E3363" s="1" t="s">
        <v>26</v>
      </c>
      <c r="F3363" s="1">
        <v>64.0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1">
        <v>74.65</v>
      </c>
      <c r="T3363" s="1">
        <v>4869.35</v>
      </c>
      <c r="U3363" s="1">
        <v>0.0</v>
      </c>
      <c r="V3363" s="1">
        <v>0.0</v>
      </c>
      <c r="W3363" s="1" t="s">
        <v>26</v>
      </c>
    </row>
    <row r="3364" ht="15.75" customHeight="1">
      <c r="A3364" s="1" t="s">
        <v>3401</v>
      </c>
      <c r="B3364" s="1" t="s">
        <v>24</v>
      </c>
      <c r="C3364" s="1">
        <v>0.0</v>
      </c>
      <c r="D3364" s="1" t="s">
        <v>26</v>
      </c>
      <c r="E3364" s="1" t="s">
        <v>26</v>
      </c>
      <c r="F3364" s="1">
        <v>1.0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1">
        <v>54.9</v>
      </c>
      <c r="T3364" s="1">
        <v>54.9</v>
      </c>
      <c r="U3364" s="1">
        <v>0.0</v>
      </c>
      <c r="V3364" s="1">
        <v>1.0</v>
      </c>
      <c r="W3364" s="1" t="s">
        <v>25</v>
      </c>
    </row>
    <row r="3365" ht="15.75" customHeight="1">
      <c r="A3365" s="1" t="s">
        <v>3402</v>
      </c>
      <c r="B3365" s="1" t="s">
        <v>32</v>
      </c>
      <c r="C3365" s="1">
        <v>0.0</v>
      </c>
      <c r="D3365" s="1" t="s">
        <v>25</v>
      </c>
      <c r="E3365" s="1" t="s">
        <v>26</v>
      </c>
      <c r="F3365" s="1">
        <v>57.0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1">
        <v>57.5</v>
      </c>
      <c r="T3365" s="1">
        <v>3265.95</v>
      </c>
      <c r="U3365" s="1">
        <v>4.0</v>
      </c>
      <c r="V3365" s="1">
        <v>0.0</v>
      </c>
      <c r="W3365" s="1" t="s">
        <v>26</v>
      </c>
    </row>
    <row r="3366" ht="15.75" customHeight="1">
      <c r="A3366" s="1" t="s">
        <v>3403</v>
      </c>
      <c r="B3366" s="1" t="s">
        <v>24</v>
      </c>
      <c r="C3366" s="1">
        <v>0.0</v>
      </c>
      <c r="D3366" s="1" t="s">
        <v>25</v>
      </c>
      <c r="E3366" s="1" t="s">
        <v>26</v>
      </c>
      <c r="F3366" s="1">
        <v>21.0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1">
        <v>103.9</v>
      </c>
      <c r="T3366" s="1">
        <v>2254.2</v>
      </c>
      <c r="U3366" s="1">
        <v>0.0</v>
      </c>
      <c r="V3366" s="1">
        <v>2.0</v>
      </c>
      <c r="W3366" s="1" t="s">
        <v>25</v>
      </c>
    </row>
    <row r="3367" ht="15.75" customHeight="1">
      <c r="A3367" s="1" t="s">
        <v>3404</v>
      </c>
      <c r="B3367" s="1" t="s">
        <v>32</v>
      </c>
      <c r="C3367" s="1">
        <v>0.0</v>
      </c>
      <c r="D3367" s="1" t="s">
        <v>26</v>
      </c>
      <c r="E3367" s="1" t="s">
        <v>26</v>
      </c>
      <c r="F3367" s="1">
        <v>19.0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1">
        <v>19.65</v>
      </c>
      <c r="T3367" s="1">
        <v>358.15</v>
      </c>
      <c r="U3367" s="1">
        <v>1.0</v>
      </c>
      <c r="V3367" s="1">
        <v>0.0</v>
      </c>
      <c r="W3367" s="1" t="s">
        <v>26</v>
      </c>
    </row>
    <row r="3368" ht="15.75" customHeight="1">
      <c r="A3368" s="1" t="s">
        <v>3405</v>
      </c>
      <c r="B3368" s="1" t="s">
        <v>32</v>
      </c>
      <c r="C3368" s="1">
        <v>0.0</v>
      </c>
      <c r="D3368" s="1" t="s">
        <v>25</v>
      </c>
      <c r="E3368" s="1" t="s">
        <v>26</v>
      </c>
      <c r="F3368" s="1">
        <v>31.0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1">
        <v>93.8</v>
      </c>
      <c r="T3368" s="1">
        <v>2939.8</v>
      </c>
      <c r="U3368" s="1">
        <v>0.0</v>
      </c>
      <c r="V3368" s="1">
        <v>0.0</v>
      </c>
      <c r="W3368" s="1" t="s">
        <v>26</v>
      </c>
    </row>
    <row r="3369" ht="15.75" customHeight="1">
      <c r="A3369" s="1" t="s">
        <v>3406</v>
      </c>
      <c r="B3369" s="1" t="s">
        <v>32</v>
      </c>
      <c r="C3369" s="1">
        <v>0.0</v>
      </c>
      <c r="D3369" s="1" t="s">
        <v>26</v>
      </c>
      <c r="E3369" s="1" t="s">
        <v>26</v>
      </c>
      <c r="F3369" s="1">
        <v>52.0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1">
        <v>89.25</v>
      </c>
      <c r="T3369" s="1">
        <v>4652.4</v>
      </c>
      <c r="U3369" s="1">
        <v>4.0</v>
      </c>
      <c r="V3369" s="1">
        <v>0.0</v>
      </c>
      <c r="W3369" s="1" t="s">
        <v>26</v>
      </c>
    </row>
    <row r="3370" ht="15.75" customHeight="1">
      <c r="A3370" s="1" t="s">
        <v>3407</v>
      </c>
      <c r="B3370" s="1" t="s">
        <v>24</v>
      </c>
      <c r="C3370" s="1">
        <v>0.0</v>
      </c>
      <c r="D3370" s="1" t="s">
        <v>26</v>
      </c>
      <c r="E3370" s="1" t="s">
        <v>26</v>
      </c>
      <c r="F3370" s="1">
        <v>46.0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1">
        <v>94.15</v>
      </c>
      <c r="T3370" s="1">
        <v>4408.45</v>
      </c>
      <c r="U3370" s="1">
        <v>0.0</v>
      </c>
      <c r="V3370" s="1">
        <v>0.0</v>
      </c>
      <c r="W3370" s="1" t="s">
        <v>26</v>
      </c>
    </row>
    <row r="3371" ht="15.75" customHeight="1">
      <c r="A3371" s="1" t="s">
        <v>3408</v>
      </c>
      <c r="B3371" s="1" t="s">
        <v>24</v>
      </c>
      <c r="C3371" s="1">
        <v>1.0</v>
      </c>
      <c r="D3371" s="1" t="s">
        <v>26</v>
      </c>
      <c r="E3371" s="1" t="s">
        <v>26</v>
      </c>
      <c r="F3371" s="1">
        <v>11.0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1">
        <v>55.6</v>
      </c>
      <c r="T3371" s="1">
        <v>580.8</v>
      </c>
      <c r="U3371" s="1">
        <v>1.0</v>
      </c>
      <c r="V3371" s="1">
        <v>0.0</v>
      </c>
      <c r="W3371" s="1" t="s">
        <v>26</v>
      </c>
    </row>
    <row r="3372" ht="15.75" customHeight="1">
      <c r="A3372" s="1" t="s">
        <v>3409</v>
      </c>
      <c r="B3372" s="1" t="s">
        <v>24</v>
      </c>
      <c r="C3372" s="1">
        <v>0.0</v>
      </c>
      <c r="D3372" s="1" t="s">
        <v>25</v>
      </c>
      <c r="E3372" s="1" t="s">
        <v>25</v>
      </c>
      <c r="F3372" s="1">
        <v>53.0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1">
        <v>48.7</v>
      </c>
      <c r="T3372" s="1">
        <v>2495.2</v>
      </c>
      <c r="U3372" s="1">
        <v>0.0</v>
      </c>
      <c r="V3372" s="1">
        <v>0.0</v>
      </c>
      <c r="W3372" s="1" t="s">
        <v>26</v>
      </c>
    </row>
    <row r="3373" ht="15.75" customHeight="1">
      <c r="A3373" s="1" t="s">
        <v>3410</v>
      </c>
      <c r="B3373" s="1" t="s">
        <v>24</v>
      </c>
      <c r="C3373" s="1">
        <v>0.0</v>
      </c>
      <c r="D3373" s="1" t="s">
        <v>25</v>
      </c>
      <c r="E3373" s="1" t="s">
        <v>25</v>
      </c>
      <c r="F3373" s="1">
        <v>11.0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1">
        <v>19.25</v>
      </c>
      <c r="T3373" s="1">
        <v>180.3</v>
      </c>
      <c r="U3373" s="1">
        <v>0.0</v>
      </c>
      <c r="V3373" s="1">
        <v>0.0</v>
      </c>
      <c r="W3373" s="1" t="s">
        <v>25</v>
      </c>
    </row>
    <row r="3374" ht="15.75" customHeight="1">
      <c r="A3374" s="1" t="s">
        <v>3411</v>
      </c>
      <c r="B3374" s="1" t="s">
        <v>32</v>
      </c>
      <c r="C3374" s="1">
        <v>1.0</v>
      </c>
      <c r="D3374" s="1" t="s">
        <v>26</v>
      </c>
      <c r="E3374" s="1" t="s">
        <v>26</v>
      </c>
      <c r="F3374" s="1">
        <v>57.0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1">
        <v>104.9</v>
      </c>
      <c r="T3374" s="1">
        <v>5913.95</v>
      </c>
      <c r="U3374" s="1">
        <v>0.0</v>
      </c>
      <c r="V3374" s="1">
        <v>0.0</v>
      </c>
      <c r="W3374" s="1" t="s">
        <v>26</v>
      </c>
    </row>
    <row r="3375" ht="15.75" customHeight="1">
      <c r="A3375" s="1" t="s">
        <v>3412</v>
      </c>
      <c r="B3375" s="1" t="s">
        <v>24</v>
      </c>
      <c r="C3375" s="1">
        <v>1.0</v>
      </c>
      <c r="D3375" s="1" t="s">
        <v>26</v>
      </c>
      <c r="E3375" s="1" t="s">
        <v>26</v>
      </c>
      <c r="F3375" s="1">
        <v>2.0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1">
        <v>75.45</v>
      </c>
      <c r="T3375" s="1">
        <v>158.4</v>
      </c>
      <c r="U3375" s="1">
        <v>0.0</v>
      </c>
      <c r="V3375" s="1">
        <v>0.0</v>
      </c>
      <c r="W3375" s="1" t="s">
        <v>25</v>
      </c>
    </row>
    <row r="3376" ht="15.75" customHeight="1">
      <c r="A3376" s="1" t="s">
        <v>3413</v>
      </c>
      <c r="B3376" s="1" t="s">
        <v>24</v>
      </c>
      <c r="C3376" s="1">
        <v>1.0</v>
      </c>
      <c r="D3376" s="1" t="s">
        <v>26</v>
      </c>
      <c r="E3376" s="1" t="s">
        <v>26</v>
      </c>
      <c r="F3376" s="1">
        <v>2.0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1">
        <v>54.85</v>
      </c>
      <c r="T3376" s="1">
        <v>104.2</v>
      </c>
      <c r="U3376" s="1">
        <v>0.0</v>
      </c>
      <c r="V3376" s="1">
        <v>0.0</v>
      </c>
      <c r="W3376" s="1" t="s">
        <v>25</v>
      </c>
    </row>
    <row r="3377" ht="15.75" customHeight="1">
      <c r="A3377" s="1" t="s">
        <v>3414</v>
      </c>
      <c r="B3377" s="1" t="s">
        <v>24</v>
      </c>
      <c r="C3377" s="1">
        <v>0.0</v>
      </c>
      <c r="D3377" s="1" t="s">
        <v>25</v>
      </c>
      <c r="E3377" s="1" t="s">
        <v>25</v>
      </c>
      <c r="F3377" s="1">
        <v>71.0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1">
        <v>19.9</v>
      </c>
      <c r="T3377" s="1">
        <v>1389.35</v>
      </c>
      <c r="U3377" s="1">
        <v>0.0</v>
      </c>
      <c r="V3377" s="1">
        <v>0.0</v>
      </c>
      <c r="W3377" s="1" t="s">
        <v>26</v>
      </c>
    </row>
    <row r="3378" ht="15.75" customHeight="1">
      <c r="A3378" s="1" t="s">
        <v>3415</v>
      </c>
      <c r="B3378" s="1" t="s">
        <v>24</v>
      </c>
      <c r="C3378" s="1">
        <v>0.0</v>
      </c>
      <c r="D3378" s="1" t="s">
        <v>25</v>
      </c>
      <c r="E3378" s="1" t="s">
        <v>25</v>
      </c>
      <c r="F3378" s="1">
        <v>1.0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1">
        <v>19.4</v>
      </c>
      <c r="T3378" s="1">
        <v>19.4</v>
      </c>
      <c r="U3378" s="1">
        <v>4.0</v>
      </c>
      <c r="V3378" s="1">
        <v>0.0</v>
      </c>
      <c r="W3378" s="1" t="s">
        <v>26</v>
      </c>
    </row>
    <row r="3379" ht="15.75" customHeight="1">
      <c r="A3379" s="1" t="s">
        <v>3416</v>
      </c>
      <c r="B3379" s="1" t="s">
        <v>32</v>
      </c>
      <c r="C3379" s="1">
        <v>0.0</v>
      </c>
      <c r="D3379" s="1" t="s">
        <v>25</v>
      </c>
      <c r="E3379" s="1" t="s">
        <v>26</v>
      </c>
      <c r="F3379" s="1">
        <v>68.0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1">
        <v>25.05</v>
      </c>
      <c r="T3379" s="1">
        <v>1629.2</v>
      </c>
      <c r="U3379" s="1">
        <v>0.0</v>
      </c>
      <c r="V3379" s="1">
        <v>0.0</v>
      </c>
      <c r="W3379" s="1" t="s">
        <v>26</v>
      </c>
    </row>
    <row r="3380" ht="15.75" customHeight="1">
      <c r="A3380" s="1" t="s">
        <v>3417</v>
      </c>
      <c r="B3380" s="1" t="s">
        <v>32</v>
      </c>
      <c r="C3380" s="1">
        <v>0.0</v>
      </c>
      <c r="D3380" s="1" t="s">
        <v>25</v>
      </c>
      <c r="E3380" s="1" t="s">
        <v>26</v>
      </c>
      <c r="F3380" s="1">
        <v>72.0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1">
        <v>84.45</v>
      </c>
      <c r="T3380" s="1">
        <v>6033.1</v>
      </c>
      <c r="U3380" s="1">
        <v>0.0</v>
      </c>
      <c r="V3380" s="1">
        <v>0.0</v>
      </c>
      <c r="W3380" s="1" t="s">
        <v>26</v>
      </c>
    </row>
    <row r="3381" ht="15.75" customHeight="1">
      <c r="A3381" s="1" t="s">
        <v>3418</v>
      </c>
      <c r="B3381" s="1" t="s">
        <v>24</v>
      </c>
      <c r="C3381" s="1">
        <v>0.0</v>
      </c>
      <c r="D3381" s="1" t="s">
        <v>26</v>
      </c>
      <c r="E3381" s="1" t="s">
        <v>26</v>
      </c>
      <c r="F3381" s="1">
        <v>2.0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1">
        <v>19.3</v>
      </c>
      <c r="T3381" s="1">
        <v>44.4</v>
      </c>
      <c r="U3381" s="1">
        <v>0.0</v>
      </c>
      <c r="V3381" s="1">
        <v>0.0</v>
      </c>
      <c r="W3381" s="1" t="s">
        <v>26</v>
      </c>
    </row>
    <row r="3382" ht="15.75" customHeight="1">
      <c r="A3382" s="1" t="s">
        <v>3419</v>
      </c>
      <c r="B3382" s="1" t="s">
        <v>32</v>
      </c>
      <c r="C3382" s="1">
        <v>1.0</v>
      </c>
      <c r="D3382" s="1" t="s">
        <v>25</v>
      </c>
      <c r="E3382" s="1" t="s">
        <v>26</v>
      </c>
      <c r="F3382" s="1">
        <v>1.0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1">
        <v>95.1</v>
      </c>
      <c r="T3382" s="1">
        <v>95.1</v>
      </c>
      <c r="U3382" s="1">
        <v>0.0</v>
      </c>
      <c r="V3382" s="1">
        <v>0.0</v>
      </c>
      <c r="W3382" s="1" t="s">
        <v>25</v>
      </c>
    </row>
    <row r="3383" ht="15.75" customHeight="1">
      <c r="A3383" s="1" t="s">
        <v>3420</v>
      </c>
      <c r="B3383" s="1" t="s">
        <v>24</v>
      </c>
      <c r="C3383" s="1">
        <v>0.0</v>
      </c>
      <c r="D3383" s="1" t="s">
        <v>26</v>
      </c>
      <c r="E3383" s="1" t="s">
        <v>26</v>
      </c>
      <c r="F3383" s="1">
        <v>41.0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1">
        <v>79.85</v>
      </c>
      <c r="T3383" s="1">
        <v>3320.75</v>
      </c>
      <c r="U3383" s="1">
        <v>3.0</v>
      </c>
      <c r="V3383" s="1">
        <v>0.0</v>
      </c>
      <c r="W3383" s="1" t="s">
        <v>26</v>
      </c>
    </row>
    <row r="3384" ht="15.75" customHeight="1">
      <c r="A3384" s="1" t="s">
        <v>3421</v>
      </c>
      <c r="B3384" s="1" t="s">
        <v>32</v>
      </c>
      <c r="C3384" s="1">
        <v>0.0</v>
      </c>
      <c r="D3384" s="1" t="s">
        <v>25</v>
      </c>
      <c r="E3384" s="1" t="s">
        <v>25</v>
      </c>
      <c r="F3384" s="1">
        <v>72.0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1">
        <v>25.55</v>
      </c>
      <c r="T3384" s="1">
        <v>1867.7</v>
      </c>
      <c r="U3384" s="1">
        <v>0.0</v>
      </c>
      <c r="V3384" s="1">
        <v>0.0</v>
      </c>
      <c r="W3384" s="1" t="s">
        <v>26</v>
      </c>
    </row>
    <row r="3385" ht="15.75" customHeight="1">
      <c r="A3385" s="1" t="s">
        <v>3422</v>
      </c>
      <c r="B3385" s="1" t="s">
        <v>32</v>
      </c>
      <c r="C3385" s="1">
        <v>0.0</v>
      </c>
      <c r="D3385" s="1" t="s">
        <v>25</v>
      </c>
      <c r="E3385" s="1" t="s">
        <v>26</v>
      </c>
      <c r="F3385" s="1">
        <v>6.0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1">
        <v>75.5</v>
      </c>
      <c r="T3385" s="1">
        <v>438.0</v>
      </c>
      <c r="U3385" s="1">
        <v>1.0</v>
      </c>
      <c r="V3385" s="1">
        <v>0.0</v>
      </c>
      <c r="W3385" s="1" t="s">
        <v>25</v>
      </c>
    </row>
    <row r="3386" ht="15.75" customHeight="1">
      <c r="A3386" s="1" t="s">
        <v>3423</v>
      </c>
      <c r="B3386" s="1" t="s">
        <v>24</v>
      </c>
      <c r="C3386" s="1">
        <v>0.0</v>
      </c>
      <c r="D3386" s="1" t="s">
        <v>25</v>
      </c>
      <c r="E3386" s="1" t="s">
        <v>25</v>
      </c>
      <c r="F3386" s="1">
        <v>4.0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1">
        <v>73.75</v>
      </c>
      <c r="T3386" s="1">
        <v>325.45</v>
      </c>
      <c r="U3386" s="1">
        <v>2.0</v>
      </c>
      <c r="V3386" s="1">
        <v>0.0</v>
      </c>
      <c r="W3386" s="1" t="s">
        <v>25</v>
      </c>
    </row>
    <row r="3387" ht="15.75" customHeight="1">
      <c r="A3387" s="1" t="s">
        <v>3424</v>
      </c>
      <c r="B3387" s="1" t="s">
        <v>32</v>
      </c>
      <c r="C3387" s="1">
        <v>0.0</v>
      </c>
      <c r="D3387" s="1" t="s">
        <v>26</v>
      </c>
      <c r="E3387" s="1" t="s">
        <v>26</v>
      </c>
      <c r="F3387" s="1">
        <v>12.0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1">
        <v>96.05</v>
      </c>
      <c r="T3387" s="1">
        <v>1148.1</v>
      </c>
      <c r="U3387" s="1">
        <v>0.0</v>
      </c>
      <c r="V3387" s="1">
        <v>1.0</v>
      </c>
      <c r="W3387" s="1" t="s">
        <v>25</v>
      </c>
    </row>
    <row r="3388" ht="15.75" customHeight="1">
      <c r="A3388" s="1" t="s">
        <v>3425</v>
      </c>
      <c r="B3388" s="1" t="s">
        <v>24</v>
      </c>
      <c r="C3388" s="1">
        <v>0.0</v>
      </c>
      <c r="D3388" s="1" t="s">
        <v>25</v>
      </c>
      <c r="E3388" s="1" t="s">
        <v>26</v>
      </c>
      <c r="F3388" s="1">
        <v>58.0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1">
        <v>68.4</v>
      </c>
      <c r="T3388" s="1">
        <v>3972.25</v>
      </c>
      <c r="U3388" s="1">
        <v>4.0</v>
      </c>
      <c r="V3388" s="1">
        <v>0.0</v>
      </c>
      <c r="W3388" s="1" t="s">
        <v>26</v>
      </c>
    </row>
    <row r="3389" ht="15.75" customHeight="1">
      <c r="A3389" s="1" t="s">
        <v>3426</v>
      </c>
      <c r="B3389" s="1" t="s">
        <v>24</v>
      </c>
      <c r="C3389" s="1">
        <v>0.0</v>
      </c>
      <c r="D3389" s="1" t="s">
        <v>26</v>
      </c>
      <c r="E3389" s="1" t="s">
        <v>26</v>
      </c>
      <c r="F3389" s="1">
        <v>7.0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1">
        <v>20.65</v>
      </c>
      <c r="T3389" s="1">
        <v>155.9</v>
      </c>
      <c r="U3389" s="1">
        <v>0.0</v>
      </c>
      <c r="V3389" s="1">
        <v>0.0</v>
      </c>
      <c r="W3389" s="1" t="s">
        <v>26</v>
      </c>
    </row>
    <row r="3390" ht="15.75" customHeight="1">
      <c r="A3390" s="1" t="s">
        <v>3427</v>
      </c>
      <c r="B3390" s="1" t="s">
        <v>24</v>
      </c>
      <c r="C3390" s="1">
        <v>0.0</v>
      </c>
      <c r="D3390" s="1" t="s">
        <v>25</v>
      </c>
      <c r="E3390" s="1" t="s">
        <v>26</v>
      </c>
      <c r="F3390" s="1">
        <v>65.0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1">
        <v>55.15</v>
      </c>
      <c r="T3390" s="1">
        <v>3673.15</v>
      </c>
      <c r="U3390" s="1">
        <v>0.0</v>
      </c>
      <c r="V3390" s="1">
        <v>4.0</v>
      </c>
      <c r="W3390" s="1" t="s">
        <v>26</v>
      </c>
    </row>
    <row r="3391" ht="15.75" customHeight="1">
      <c r="A3391" s="1" t="s">
        <v>3428</v>
      </c>
      <c r="B3391" s="1" t="s">
        <v>32</v>
      </c>
      <c r="C3391" s="1">
        <v>0.0</v>
      </c>
      <c r="D3391" s="1" t="s">
        <v>26</v>
      </c>
      <c r="E3391" s="1" t="s">
        <v>26</v>
      </c>
      <c r="F3391" s="1">
        <v>1.0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1">
        <v>70.6</v>
      </c>
      <c r="T3391" s="1">
        <v>70.6</v>
      </c>
      <c r="U3391" s="1">
        <v>0.0</v>
      </c>
      <c r="V3391" s="1">
        <v>0.0</v>
      </c>
      <c r="W3391" s="1" t="s">
        <v>26</v>
      </c>
    </row>
    <row r="3392" ht="15.75" customHeight="1">
      <c r="A3392" s="1" t="s">
        <v>3429</v>
      </c>
      <c r="B3392" s="1" t="s">
        <v>32</v>
      </c>
      <c r="C3392" s="1">
        <v>0.0</v>
      </c>
      <c r="D3392" s="1" t="s">
        <v>25</v>
      </c>
      <c r="E3392" s="1" t="s">
        <v>26</v>
      </c>
      <c r="F3392" s="1">
        <v>56.0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1">
        <v>19.95</v>
      </c>
      <c r="T3392" s="1">
        <v>1126.75</v>
      </c>
      <c r="U3392" s="1">
        <v>0.0</v>
      </c>
      <c r="V3392" s="1">
        <v>0.0</v>
      </c>
      <c r="W3392" s="1" t="s">
        <v>26</v>
      </c>
    </row>
    <row r="3393" ht="15.75" customHeight="1">
      <c r="A3393" s="1" t="s">
        <v>3430</v>
      </c>
      <c r="B3393" s="1" t="s">
        <v>32</v>
      </c>
      <c r="C3393" s="1">
        <v>0.0</v>
      </c>
      <c r="D3393" s="1" t="s">
        <v>26</v>
      </c>
      <c r="E3393" s="1" t="s">
        <v>26</v>
      </c>
      <c r="F3393" s="1">
        <v>4.0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1">
        <v>19.0</v>
      </c>
      <c r="T3393" s="1">
        <v>73.45</v>
      </c>
      <c r="U3393" s="1">
        <v>0.0</v>
      </c>
      <c r="V3393" s="1">
        <v>0.0</v>
      </c>
      <c r="W3393" s="1" t="s">
        <v>26</v>
      </c>
    </row>
    <row r="3394" ht="15.75" customHeight="1">
      <c r="A3394" s="1" t="s">
        <v>3431</v>
      </c>
      <c r="B3394" s="1" t="s">
        <v>24</v>
      </c>
      <c r="C3394" s="1">
        <v>0.0</v>
      </c>
      <c r="D3394" s="1" t="s">
        <v>25</v>
      </c>
      <c r="E3394" s="1" t="s">
        <v>25</v>
      </c>
      <c r="F3394" s="1">
        <v>58.0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1">
        <v>44.1</v>
      </c>
      <c r="T3394" s="1">
        <v>2413.05</v>
      </c>
      <c r="U3394" s="1">
        <v>0.0</v>
      </c>
      <c r="V3394" s="1">
        <v>0.0</v>
      </c>
      <c r="W3394" s="1" t="s">
        <v>26</v>
      </c>
    </row>
    <row r="3395" ht="15.75" customHeight="1">
      <c r="A3395" s="1" t="s">
        <v>3432</v>
      </c>
      <c r="B3395" s="1" t="s">
        <v>32</v>
      </c>
      <c r="C3395" s="1">
        <v>0.0</v>
      </c>
      <c r="D3395" s="1" t="s">
        <v>25</v>
      </c>
      <c r="E3395" s="1" t="s">
        <v>26</v>
      </c>
      <c r="F3395" s="1">
        <v>62.0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1">
        <v>107.6</v>
      </c>
      <c r="T3395" s="1">
        <v>6912.7</v>
      </c>
      <c r="U3395" s="1">
        <v>0.0</v>
      </c>
      <c r="V3395" s="1">
        <v>0.0</v>
      </c>
      <c r="W3395" s="1" t="s">
        <v>26</v>
      </c>
    </row>
    <row r="3396" ht="15.75" customHeight="1">
      <c r="A3396" s="1" t="s">
        <v>3433</v>
      </c>
      <c r="B3396" s="1" t="s">
        <v>32</v>
      </c>
      <c r="C3396" s="1">
        <v>0.0</v>
      </c>
      <c r="D3396" s="1" t="s">
        <v>26</v>
      </c>
      <c r="E3396" s="1" t="s">
        <v>26</v>
      </c>
      <c r="F3396" s="1">
        <v>26.0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1">
        <v>61.55</v>
      </c>
      <c r="T3396" s="1">
        <v>1581.95</v>
      </c>
      <c r="U3396" s="1">
        <v>0.0</v>
      </c>
      <c r="V3396" s="1">
        <v>0.0</v>
      </c>
      <c r="W3396" s="1" t="s">
        <v>26</v>
      </c>
    </row>
    <row r="3397" ht="15.75" customHeight="1">
      <c r="A3397" s="1" t="s">
        <v>3434</v>
      </c>
      <c r="B3397" s="1" t="s">
        <v>32</v>
      </c>
      <c r="C3397" s="1">
        <v>0.0</v>
      </c>
      <c r="D3397" s="1" t="s">
        <v>26</v>
      </c>
      <c r="E3397" s="1" t="s">
        <v>26</v>
      </c>
      <c r="F3397" s="1">
        <v>62.0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1">
        <v>90.7</v>
      </c>
      <c r="T3397" s="1">
        <v>5586.45</v>
      </c>
      <c r="U3397" s="1">
        <v>3.0</v>
      </c>
      <c r="V3397" s="1">
        <v>0.0</v>
      </c>
      <c r="W3397" s="1" t="s">
        <v>26</v>
      </c>
    </row>
    <row r="3398" ht="15.75" customHeight="1">
      <c r="A3398" s="1" t="s">
        <v>3435</v>
      </c>
      <c r="B3398" s="1" t="s">
        <v>24</v>
      </c>
      <c r="C3398" s="1">
        <v>0.0</v>
      </c>
      <c r="D3398" s="1" t="s">
        <v>25</v>
      </c>
      <c r="E3398" s="1" t="s">
        <v>25</v>
      </c>
      <c r="F3398" s="1">
        <v>58.0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1">
        <v>99.25</v>
      </c>
      <c r="T3398" s="1">
        <v>5846.65</v>
      </c>
      <c r="U3398" s="1">
        <v>0.0</v>
      </c>
      <c r="V3398" s="1">
        <v>0.0</v>
      </c>
      <c r="W3398" s="1" t="s">
        <v>26</v>
      </c>
    </row>
    <row r="3399" ht="15.75" customHeight="1">
      <c r="A3399" s="1" t="s">
        <v>3436</v>
      </c>
      <c r="B3399" s="1" t="s">
        <v>24</v>
      </c>
      <c r="C3399" s="1">
        <v>0.0</v>
      </c>
      <c r="D3399" s="1" t="s">
        <v>25</v>
      </c>
      <c r="E3399" s="1" t="s">
        <v>26</v>
      </c>
      <c r="F3399" s="1">
        <v>68.0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1">
        <v>91.7</v>
      </c>
      <c r="T3399" s="1">
        <v>6424.7</v>
      </c>
      <c r="U3399" s="1">
        <v>0.0</v>
      </c>
      <c r="V3399" s="1">
        <v>0.0</v>
      </c>
      <c r="W3399" s="1" t="s">
        <v>26</v>
      </c>
    </row>
    <row r="3400" ht="15.75" customHeight="1">
      <c r="A3400" s="1" t="s">
        <v>3437</v>
      </c>
      <c r="B3400" s="1" t="s">
        <v>24</v>
      </c>
      <c r="C3400" s="1">
        <v>0.0</v>
      </c>
      <c r="D3400" s="1" t="s">
        <v>25</v>
      </c>
      <c r="E3400" s="1" t="s">
        <v>25</v>
      </c>
      <c r="F3400" s="1">
        <v>61.0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1">
        <v>100.7</v>
      </c>
      <c r="T3400" s="1">
        <v>6018.65</v>
      </c>
      <c r="U3400" s="1">
        <v>0.0</v>
      </c>
      <c r="V3400" s="1">
        <v>0.0</v>
      </c>
      <c r="W3400" s="1" t="s">
        <v>26</v>
      </c>
    </row>
    <row r="3401" ht="15.75" customHeight="1">
      <c r="A3401" s="1" t="s">
        <v>3438</v>
      </c>
      <c r="B3401" s="1" t="s">
        <v>24</v>
      </c>
      <c r="C3401" s="1">
        <v>0.0</v>
      </c>
      <c r="D3401" s="1" t="s">
        <v>26</v>
      </c>
      <c r="E3401" s="1" t="s">
        <v>26</v>
      </c>
      <c r="F3401" s="1">
        <v>42.0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1">
        <v>78.45</v>
      </c>
      <c r="T3401" s="1">
        <v>3373.4</v>
      </c>
      <c r="U3401" s="1">
        <v>0.0</v>
      </c>
      <c r="V3401" s="1">
        <v>0.0</v>
      </c>
      <c r="W3401" s="1" t="s">
        <v>26</v>
      </c>
    </row>
    <row r="3402" ht="15.75" customHeight="1">
      <c r="A3402" s="1" t="s">
        <v>3439</v>
      </c>
      <c r="B3402" s="1" t="s">
        <v>32</v>
      </c>
      <c r="C3402" s="1">
        <v>0.0</v>
      </c>
      <c r="D3402" s="1" t="s">
        <v>26</v>
      </c>
      <c r="E3402" s="1" t="s">
        <v>26</v>
      </c>
      <c r="F3402" s="1">
        <v>18.0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1">
        <v>84.3</v>
      </c>
      <c r="T3402" s="1">
        <v>1537.9</v>
      </c>
      <c r="U3402" s="1">
        <v>0.0</v>
      </c>
      <c r="V3402" s="1">
        <v>0.0</v>
      </c>
      <c r="W3402" s="1" t="s">
        <v>26</v>
      </c>
    </row>
    <row r="3403" ht="15.75" customHeight="1">
      <c r="A3403" s="1" t="s">
        <v>3440</v>
      </c>
      <c r="B3403" s="1" t="s">
        <v>24</v>
      </c>
      <c r="C3403" s="1">
        <v>0.0</v>
      </c>
      <c r="D3403" s="1" t="s">
        <v>26</v>
      </c>
      <c r="E3403" s="1" t="s">
        <v>26</v>
      </c>
      <c r="F3403" s="1">
        <v>56.0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1">
        <v>19.55</v>
      </c>
      <c r="T3403" s="1">
        <v>1080.55</v>
      </c>
      <c r="U3403" s="1">
        <v>0.0</v>
      </c>
      <c r="V3403" s="1">
        <v>0.0</v>
      </c>
      <c r="W3403" s="1" t="s">
        <v>26</v>
      </c>
    </row>
    <row r="3404" ht="15.75" customHeight="1">
      <c r="A3404" s="1" t="s">
        <v>3441</v>
      </c>
      <c r="B3404" s="1" t="s">
        <v>24</v>
      </c>
      <c r="C3404" s="1">
        <v>0.0</v>
      </c>
      <c r="D3404" s="1" t="s">
        <v>26</v>
      </c>
      <c r="E3404" s="1" t="s">
        <v>26</v>
      </c>
      <c r="F3404" s="1">
        <v>4.0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1">
        <v>88.95</v>
      </c>
      <c r="T3404" s="1">
        <v>355.2</v>
      </c>
      <c r="U3404" s="1">
        <v>0.0</v>
      </c>
      <c r="V3404" s="1">
        <v>0.0</v>
      </c>
      <c r="W3404" s="1" t="s">
        <v>25</v>
      </c>
    </row>
    <row r="3405" ht="15.75" customHeight="1">
      <c r="A3405" s="1" t="s">
        <v>3442</v>
      </c>
      <c r="B3405" s="1" t="s">
        <v>24</v>
      </c>
      <c r="C3405" s="1">
        <v>0.0</v>
      </c>
      <c r="D3405" s="1" t="s">
        <v>26</v>
      </c>
      <c r="E3405" s="1" t="s">
        <v>26</v>
      </c>
      <c r="F3405" s="1">
        <v>4.0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1">
        <v>20.45</v>
      </c>
      <c r="T3405" s="1">
        <v>82.85</v>
      </c>
      <c r="U3405" s="1">
        <v>0.0</v>
      </c>
      <c r="V3405" s="1">
        <v>0.0</v>
      </c>
      <c r="W3405" s="1" t="s">
        <v>26</v>
      </c>
    </row>
    <row r="3406" ht="15.75" customHeight="1">
      <c r="A3406" s="1" t="s">
        <v>3443</v>
      </c>
      <c r="B3406" s="1" t="s">
        <v>24</v>
      </c>
      <c r="C3406" s="1">
        <v>0.0</v>
      </c>
      <c r="D3406" s="1" t="s">
        <v>26</v>
      </c>
      <c r="E3406" s="1" t="s">
        <v>25</v>
      </c>
      <c r="F3406" s="1">
        <v>35.0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1">
        <v>55.6</v>
      </c>
      <c r="T3406" s="1">
        <v>2016.45</v>
      </c>
      <c r="U3406" s="1">
        <v>0.0</v>
      </c>
      <c r="V3406" s="1">
        <v>0.0</v>
      </c>
      <c r="W3406" s="1" t="s">
        <v>26</v>
      </c>
    </row>
    <row r="3407" ht="15.75" customHeight="1">
      <c r="A3407" s="1" t="s">
        <v>3444</v>
      </c>
      <c r="B3407" s="1" t="s">
        <v>24</v>
      </c>
      <c r="C3407" s="1">
        <v>0.0</v>
      </c>
      <c r="D3407" s="1" t="s">
        <v>25</v>
      </c>
      <c r="E3407" s="1" t="s">
        <v>25</v>
      </c>
      <c r="F3407" s="1">
        <v>64.0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1">
        <v>86.8</v>
      </c>
      <c r="T3407" s="1">
        <v>5327.25</v>
      </c>
      <c r="U3407" s="1">
        <v>0.0</v>
      </c>
      <c r="V3407" s="1">
        <v>0.0</v>
      </c>
      <c r="W3407" s="1" t="s">
        <v>26</v>
      </c>
    </row>
    <row r="3408" ht="15.75" customHeight="1">
      <c r="A3408" s="1" t="s">
        <v>3445</v>
      </c>
      <c r="B3408" s="1" t="s">
        <v>24</v>
      </c>
      <c r="C3408" s="1">
        <v>0.0</v>
      </c>
      <c r="D3408" s="1" t="s">
        <v>26</v>
      </c>
      <c r="E3408" s="1" t="s">
        <v>26</v>
      </c>
      <c r="F3408" s="1">
        <v>31.0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1">
        <v>20.95</v>
      </c>
      <c r="T3408" s="1">
        <v>683.25</v>
      </c>
      <c r="U3408" s="1">
        <v>0.0</v>
      </c>
      <c r="V3408" s="1">
        <v>0.0</v>
      </c>
      <c r="W3408" s="1" t="s">
        <v>26</v>
      </c>
    </row>
    <row r="3409" ht="15.75" customHeight="1">
      <c r="A3409" s="1" t="s">
        <v>3446</v>
      </c>
      <c r="B3409" s="1" t="s">
        <v>24</v>
      </c>
      <c r="C3409" s="1">
        <v>1.0</v>
      </c>
      <c r="D3409" s="1" t="s">
        <v>25</v>
      </c>
      <c r="E3409" s="1" t="s">
        <v>26</v>
      </c>
      <c r="F3409" s="1">
        <v>67.0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1">
        <v>20.05</v>
      </c>
      <c r="T3409" s="1">
        <v>1263.05</v>
      </c>
      <c r="U3409" s="1">
        <v>3.0</v>
      </c>
      <c r="V3409" s="1">
        <v>0.0</v>
      </c>
      <c r="W3409" s="1" t="s">
        <v>26</v>
      </c>
    </row>
    <row r="3410" ht="15.75" customHeight="1">
      <c r="A3410" s="1" t="s">
        <v>3447</v>
      </c>
      <c r="B3410" s="1" t="s">
        <v>24</v>
      </c>
      <c r="C3410" s="1">
        <v>0.0</v>
      </c>
      <c r="D3410" s="1" t="s">
        <v>26</v>
      </c>
      <c r="E3410" s="1" t="s">
        <v>26</v>
      </c>
      <c r="F3410" s="1">
        <v>4.0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1">
        <v>50.7</v>
      </c>
      <c r="T3410" s="1">
        <v>151.3</v>
      </c>
      <c r="U3410" s="1">
        <v>0.0</v>
      </c>
      <c r="V3410" s="1">
        <v>0.0</v>
      </c>
      <c r="W3410" s="1" t="s">
        <v>25</v>
      </c>
    </row>
    <row r="3411" ht="15.75" customHeight="1">
      <c r="A3411" s="1" t="s">
        <v>3448</v>
      </c>
      <c r="B3411" s="1" t="s">
        <v>24</v>
      </c>
      <c r="C3411" s="1">
        <v>1.0</v>
      </c>
      <c r="D3411" s="1" t="s">
        <v>25</v>
      </c>
      <c r="E3411" s="1" t="s">
        <v>26</v>
      </c>
      <c r="F3411" s="1">
        <v>70.0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1">
        <v>113.65</v>
      </c>
      <c r="T3411" s="1">
        <v>7714.65</v>
      </c>
      <c r="U3411" s="1">
        <v>1.0</v>
      </c>
      <c r="V3411" s="1">
        <v>3.0</v>
      </c>
      <c r="W3411" s="1" t="s">
        <v>26</v>
      </c>
    </row>
    <row r="3412" ht="15.75" customHeight="1">
      <c r="A3412" s="1" t="s">
        <v>3449</v>
      </c>
      <c r="B3412" s="1" t="s">
        <v>32</v>
      </c>
      <c r="C3412" s="1">
        <v>0.0</v>
      </c>
      <c r="D3412" s="1" t="s">
        <v>26</v>
      </c>
      <c r="E3412" s="1" t="s">
        <v>26</v>
      </c>
      <c r="F3412" s="1">
        <v>3.0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1">
        <v>53.4</v>
      </c>
      <c r="T3412" s="1">
        <v>188.7</v>
      </c>
      <c r="U3412" s="1">
        <v>0.0</v>
      </c>
      <c r="V3412" s="1">
        <v>0.0</v>
      </c>
      <c r="W3412" s="1" t="s">
        <v>25</v>
      </c>
    </row>
    <row r="3413" ht="15.75" customHeight="1">
      <c r="A3413" s="1" t="s">
        <v>3450</v>
      </c>
      <c r="B3413" s="1" t="s">
        <v>32</v>
      </c>
      <c r="C3413" s="1">
        <v>1.0</v>
      </c>
      <c r="D3413" s="1" t="s">
        <v>25</v>
      </c>
      <c r="E3413" s="1" t="s">
        <v>26</v>
      </c>
      <c r="F3413" s="1">
        <v>53.0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1">
        <v>101.9</v>
      </c>
      <c r="T3413" s="1">
        <v>5549.4</v>
      </c>
      <c r="U3413" s="1">
        <v>0.0</v>
      </c>
      <c r="V3413" s="1">
        <v>3.0</v>
      </c>
      <c r="W3413" s="1" t="s">
        <v>25</v>
      </c>
    </row>
    <row r="3414" ht="15.75" customHeight="1">
      <c r="A3414" s="1" t="s">
        <v>3451</v>
      </c>
      <c r="B3414" s="1" t="s">
        <v>32</v>
      </c>
      <c r="C3414" s="1">
        <v>0.0</v>
      </c>
      <c r="D3414" s="1" t="s">
        <v>25</v>
      </c>
      <c r="E3414" s="1" t="s">
        <v>25</v>
      </c>
      <c r="F3414" s="1">
        <v>2.0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1">
        <v>59.5</v>
      </c>
      <c r="T3414" s="1">
        <v>130.5</v>
      </c>
      <c r="U3414" s="1">
        <v>0.0</v>
      </c>
      <c r="V3414" s="1">
        <v>0.0</v>
      </c>
      <c r="W3414" s="1" t="s">
        <v>26</v>
      </c>
    </row>
    <row r="3415" ht="15.75" customHeight="1">
      <c r="A3415" s="1" t="s">
        <v>3452</v>
      </c>
      <c r="B3415" s="1" t="s">
        <v>24</v>
      </c>
      <c r="C3415" s="1">
        <v>0.0</v>
      </c>
      <c r="D3415" s="1" t="s">
        <v>25</v>
      </c>
      <c r="E3415" s="1" t="s">
        <v>25</v>
      </c>
      <c r="F3415" s="1">
        <v>29.0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1">
        <v>87.8</v>
      </c>
      <c r="T3415" s="1">
        <v>2621.75</v>
      </c>
      <c r="U3415" s="1">
        <v>0.0</v>
      </c>
      <c r="V3415" s="1">
        <v>0.0</v>
      </c>
      <c r="W3415" s="1" t="s">
        <v>26</v>
      </c>
    </row>
    <row r="3416" ht="15.75" customHeight="1">
      <c r="A3416" s="1" t="s">
        <v>3453</v>
      </c>
      <c r="B3416" s="1" t="s">
        <v>24</v>
      </c>
      <c r="C3416" s="1">
        <v>0.0</v>
      </c>
      <c r="D3416" s="1" t="s">
        <v>26</v>
      </c>
      <c r="E3416" s="1" t="s">
        <v>26</v>
      </c>
      <c r="F3416" s="1">
        <v>47.0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1">
        <v>41.9</v>
      </c>
      <c r="T3416" s="1">
        <v>1875.25</v>
      </c>
      <c r="U3416" s="1">
        <v>0.0</v>
      </c>
      <c r="V3416" s="1">
        <v>0.0</v>
      </c>
      <c r="W3416" s="1" t="s">
        <v>26</v>
      </c>
    </row>
    <row r="3417" ht="15.75" customHeight="1">
      <c r="A3417" s="1" t="s">
        <v>3454</v>
      </c>
      <c r="B3417" s="1" t="s">
        <v>24</v>
      </c>
      <c r="C3417" s="1">
        <v>0.0</v>
      </c>
      <c r="D3417" s="1" t="s">
        <v>25</v>
      </c>
      <c r="E3417" s="1" t="s">
        <v>25</v>
      </c>
      <c r="F3417" s="1">
        <v>68.0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1">
        <v>83.0</v>
      </c>
      <c r="T3417" s="1">
        <v>5685.8</v>
      </c>
      <c r="U3417" s="1">
        <v>0.0</v>
      </c>
      <c r="V3417" s="1">
        <v>0.0</v>
      </c>
      <c r="W3417" s="1" t="s">
        <v>25</v>
      </c>
    </row>
    <row r="3418" ht="15.75" customHeight="1">
      <c r="A3418" s="1" t="s">
        <v>3455</v>
      </c>
      <c r="B3418" s="1" t="s">
        <v>32</v>
      </c>
      <c r="C3418" s="1">
        <v>0.0</v>
      </c>
      <c r="D3418" s="1" t="s">
        <v>26</v>
      </c>
      <c r="E3418" s="1" t="s">
        <v>25</v>
      </c>
      <c r="F3418" s="1">
        <v>12.0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1">
        <v>69.85</v>
      </c>
      <c r="T3418" s="1">
        <v>837.5</v>
      </c>
      <c r="U3418" s="1">
        <v>0.0</v>
      </c>
      <c r="V3418" s="1">
        <v>0.0</v>
      </c>
      <c r="W3418" s="1" t="s">
        <v>26</v>
      </c>
    </row>
    <row r="3419" ht="15.75" customHeight="1">
      <c r="A3419" s="1" t="s">
        <v>3456</v>
      </c>
      <c r="B3419" s="1" t="s">
        <v>24</v>
      </c>
      <c r="C3419" s="1">
        <v>0.0</v>
      </c>
      <c r="D3419" s="1" t="s">
        <v>25</v>
      </c>
      <c r="E3419" s="1" t="s">
        <v>25</v>
      </c>
      <c r="F3419" s="1">
        <v>8.0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1">
        <v>56.3</v>
      </c>
      <c r="T3419" s="1">
        <v>401.5</v>
      </c>
      <c r="U3419" s="1">
        <v>0.0</v>
      </c>
      <c r="V3419" s="1">
        <v>0.0</v>
      </c>
      <c r="W3419" s="1" t="s">
        <v>26</v>
      </c>
    </row>
    <row r="3420" ht="15.75" customHeight="1">
      <c r="A3420" s="1" t="s">
        <v>3457</v>
      </c>
      <c r="B3420" s="1" t="s">
        <v>32</v>
      </c>
      <c r="C3420" s="1">
        <v>0.0</v>
      </c>
      <c r="D3420" s="1" t="s">
        <v>25</v>
      </c>
      <c r="E3420" s="1" t="s">
        <v>26</v>
      </c>
      <c r="F3420" s="1">
        <v>54.0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1">
        <v>109.55</v>
      </c>
      <c r="T3420" s="1">
        <v>6118.95</v>
      </c>
      <c r="U3420" s="1">
        <v>3.0</v>
      </c>
      <c r="V3420" s="1">
        <v>0.0</v>
      </c>
      <c r="W3420" s="1" t="s">
        <v>26</v>
      </c>
    </row>
    <row r="3421" ht="15.75" customHeight="1">
      <c r="A3421" s="1" t="s">
        <v>3458</v>
      </c>
      <c r="B3421" s="1" t="s">
        <v>32</v>
      </c>
      <c r="C3421" s="1">
        <v>0.0</v>
      </c>
      <c r="D3421" s="1" t="s">
        <v>25</v>
      </c>
      <c r="E3421" s="1" t="s">
        <v>25</v>
      </c>
      <c r="F3421" s="1">
        <v>69.0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1">
        <v>92.15</v>
      </c>
      <c r="T3421" s="1">
        <v>6480.9</v>
      </c>
      <c r="U3421" s="1">
        <v>5.0</v>
      </c>
      <c r="V3421" s="1">
        <v>0.0</v>
      </c>
      <c r="W3421" s="1" t="s">
        <v>26</v>
      </c>
    </row>
    <row r="3422" ht="15.75" customHeight="1">
      <c r="A3422" s="1" t="s">
        <v>3459</v>
      </c>
      <c r="B3422" s="1" t="s">
        <v>24</v>
      </c>
      <c r="C3422" s="1">
        <v>0.0</v>
      </c>
      <c r="D3422" s="1" t="s">
        <v>26</v>
      </c>
      <c r="E3422" s="1" t="s">
        <v>26</v>
      </c>
      <c r="F3422" s="1">
        <v>26.0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1">
        <v>69.5</v>
      </c>
      <c r="T3422" s="1">
        <v>1800.05</v>
      </c>
      <c r="U3422" s="1">
        <v>0.0</v>
      </c>
      <c r="V3422" s="1">
        <v>0.0</v>
      </c>
      <c r="W3422" s="1" t="s">
        <v>26</v>
      </c>
    </row>
    <row r="3423" ht="15.75" customHeight="1">
      <c r="A3423" s="1" t="s">
        <v>3460</v>
      </c>
      <c r="B3423" s="1" t="s">
        <v>24</v>
      </c>
      <c r="C3423" s="1">
        <v>0.0</v>
      </c>
      <c r="D3423" s="1" t="s">
        <v>25</v>
      </c>
      <c r="E3423" s="1" t="s">
        <v>26</v>
      </c>
      <c r="F3423" s="1">
        <v>72.0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1">
        <v>97.0</v>
      </c>
      <c r="T3423" s="1">
        <v>7104.2</v>
      </c>
      <c r="U3423" s="1">
        <v>0.0</v>
      </c>
      <c r="V3423" s="1">
        <v>0.0</v>
      </c>
      <c r="W3423" s="1" t="s">
        <v>26</v>
      </c>
    </row>
    <row r="3424" ht="15.75" customHeight="1">
      <c r="A3424" s="1" t="s">
        <v>3461</v>
      </c>
      <c r="B3424" s="1" t="s">
        <v>24</v>
      </c>
      <c r="C3424" s="1">
        <v>0.0</v>
      </c>
      <c r="D3424" s="1" t="s">
        <v>26</v>
      </c>
      <c r="E3424" s="1" t="s">
        <v>26</v>
      </c>
      <c r="F3424" s="1">
        <v>70.0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1">
        <v>58.35</v>
      </c>
      <c r="T3424" s="1">
        <v>4214.25</v>
      </c>
      <c r="U3424" s="1">
        <v>0.0</v>
      </c>
      <c r="V3424" s="1">
        <v>0.0</v>
      </c>
      <c r="W3424" s="1" t="s">
        <v>26</v>
      </c>
    </row>
    <row r="3425" ht="15.75" customHeight="1">
      <c r="A3425" s="1" t="s">
        <v>3462</v>
      </c>
      <c r="B3425" s="1" t="s">
        <v>32</v>
      </c>
      <c r="C3425" s="1">
        <v>0.0</v>
      </c>
      <c r="D3425" s="1" t="s">
        <v>26</v>
      </c>
      <c r="E3425" s="1" t="s">
        <v>25</v>
      </c>
      <c r="F3425" s="1">
        <v>1.0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1">
        <v>50.6</v>
      </c>
      <c r="T3425" s="1">
        <v>50.6</v>
      </c>
      <c r="U3425" s="1">
        <v>0.0</v>
      </c>
      <c r="V3425" s="1">
        <v>0.0</v>
      </c>
      <c r="W3425" s="1" t="s">
        <v>25</v>
      </c>
    </row>
    <row r="3426" ht="15.75" customHeight="1">
      <c r="A3426" s="1" t="s">
        <v>3463</v>
      </c>
      <c r="B3426" s="1" t="s">
        <v>32</v>
      </c>
      <c r="C3426" s="1">
        <v>0.0</v>
      </c>
      <c r="D3426" s="1" t="s">
        <v>26</v>
      </c>
      <c r="E3426" s="1" t="s">
        <v>26</v>
      </c>
      <c r="F3426" s="1">
        <v>10.0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1">
        <v>89.5</v>
      </c>
      <c r="T3426" s="1">
        <v>863.1</v>
      </c>
      <c r="U3426" s="1">
        <v>0.0</v>
      </c>
      <c r="V3426" s="1">
        <v>0.0</v>
      </c>
      <c r="W3426" s="1" t="s">
        <v>25</v>
      </c>
    </row>
    <row r="3427" ht="15.75" customHeight="1">
      <c r="A3427" s="1" t="s">
        <v>3464</v>
      </c>
      <c r="B3427" s="1" t="s">
        <v>24</v>
      </c>
      <c r="C3427" s="1">
        <v>0.0</v>
      </c>
      <c r="D3427" s="1" t="s">
        <v>25</v>
      </c>
      <c r="E3427" s="1" t="s">
        <v>25</v>
      </c>
      <c r="F3427" s="1">
        <v>28.0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1">
        <v>70.4</v>
      </c>
      <c r="T3427" s="1">
        <v>1992.2</v>
      </c>
      <c r="U3427" s="1">
        <v>0.0</v>
      </c>
      <c r="V3427" s="1">
        <v>0.0</v>
      </c>
      <c r="W3427" s="1" t="s">
        <v>26</v>
      </c>
    </row>
    <row r="3428" ht="15.75" customHeight="1">
      <c r="A3428" s="1" t="s">
        <v>3465</v>
      </c>
      <c r="B3428" s="1" t="s">
        <v>32</v>
      </c>
      <c r="C3428" s="1">
        <v>0.0</v>
      </c>
      <c r="D3428" s="1" t="s">
        <v>26</v>
      </c>
      <c r="E3428" s="1" t="s">
        <v>26</v>
      </c>
      <c r="F3428" s="1">
        <v>1.0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1">
        <v>69.8</v>
      </c>
      <c r="T3428" s="1">
        <v>69.8</v>
      </c>
      <c r="U3428" s="1">
        <v>0.0</v>
      </c>
      <c r="V3428" s="1">
        <v>0.0</v>
      </c>
      <c r="W3428" s="1" t="s">
        <v>25</v>
      </c>
    </row>
    <row r="3429" ht="15.75" customHeight="1">
      <c r="A3429" s="1" t="s">
        <v>3466</v>
      </c>
      <c r="B3429" s="1" t="s">
        <v>24</v>
      </c>
      <c r="C3429" s="1">
        <v>0.0</v>
      </c>
      <c r="D3429" s="1" t="s">
        <v>25</v>
      </c>
      <c r="E3429" s="1" t="s">
        <v>26</v>
      </c>
      <c r="F3429" s="1">
        <v>21.0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1">
        <v>94.3</v>
      </c>
      <c r="T3429" s="1">
        <v>1948.35</v>
      </c>
      <c r="U3429" s="1">
        <v>0.0</v>
      </c>
      <c r="V3429" s="1">
        <v>0.0</v>
      </c>
      <c r="W3429" s="1" t="s">
        <v>26</v>
      </c>
    </row>
    <row r="3430" ht="15.75" customHeight="1">
      <c r="A3430" s="1" t="s">
        <v>3467</v>
      </c>
      <c r="B3430" s="1" t="s">
        <v>32</v>
      </c>
      <c r="C3430" s="1">
        <v>1.0</v>
      </c>
      <c r="D3430" s="1" t="s">
        <v>25</v>
      </c>
      <c r="E3430" s="1" t="s">
        <v>26</v>
      </c>
      <c r="F3430" s="1">
        <v>51.0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1">
        <v>93.8</v>
      </c>
      <c r="T3430" s="1">
        <v>4750.95</v>
      </c>
      <c r="U3430" s="1">
        <v>0.0</v>
      </c>
      <c r="V3430" s="1">
        <v>5.0</v>
      </c>
      <c r="W3430" s="1" t="s">
        <v>25</v>
      </c>
    </row>
    <row r="3431" ht="15.75" customHeight="1">
      <c r="A3431" s="1" t="s">
        <v>3468</v>
      </c>
      <c r="B3431" s="1" t="s">
        <v>24</v>
      </c>
      <c r="C3431" s="1">
        <v>0.0</v>
      </c>
      <c r="D3431" s="1" t="s">
        <v>25</v>
      </c>
      <c r="E3431" s="1" t="s">
        <v>25</v>
      </c>
      <c r="F3431" s="1">
        <v>53.0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1">
        <v>19.55</v>
      </c>
      <c r="T3431" s="1">
        <v>1007.9</v>
      </c>
      <c r="U3431" s="1">
        <v>0.0</v>
      </c>
      <c r="V3431" s="1">
        <v>0.0</v>
      </c>
      <c r="W3431" s="1" t="s">
        <v>26</v>
      </c>
    </row>
    <row r="3432" ht="15.75" customHeight="1">
      <c r="A3432" s="1" t="s">
        <v>3469</v>
      </c>
      <c r="B3432" s="1" t="s">
        <v>32</v>
      </c>
      <c r="C3432" s="1">
        <v>0.0</v>
      </c>
      <c r="D3432" s="1" t="s">
        <v>26</v>
      </c>
      <c r="E3432" s="1" t="s">
        <v>25</v>
      </c>
      <c r="F3432" s="1">
        <v>53.0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1">
        <v>95.95</v>
      </c>
      <c r="T3432" s="1">
        <v>5036.9</v>
      </c>
      <c r="U3432" s="1">
        <v>0.0</v>
      </c>
      <c r="V3432" s="1">
        <v>0.0</v>
      </c>
      <c r="W3432" s="1" t="s">
        <v>26</v>
      </c>
    </row>
    <row r="3433" ht="15.75" customHeight="1">
      <c r="A3433" s="1" t="s">
        <v>3470</v>
      </c>
      <c r="B3433" s="1" t="s">
        <v>32</v>
      </c>
      <c r="C3433" s="1">
        <v>0.0</v>
      </c>
      <c r="D3433" s="1" t="s">
        <v>25</v>
      </c>
      <c r="E3433" s="1" t="s">
        <v>26</v>
      </c>
      <c r="F3433" s="1">
        <v>24.0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1">
        <v>101.05</v>
      </c>
      <c r="T3433" s="1">
        <v>2391.8</v>
      </c>
      <c r="U3433" s="1">
        <v>0.0</v>
      </c>
      <c r="V3433" s="1">
        <v>3.0</v>
      </c>
      <c r="W3433" s="1" t="s">
        <v>25</v>
      </c>
    </row>
    <row r="3434" ht="15.75" customHeight="1">
      <c r="A3434" s="1" t="s">
        <v>3471</v>
      </c>
      <c r="B3434" s="1" t="s">
        <v>24</v>
      </c>
      <c r="C3434" s="1">
        <v>0.0</v>
      </c>
      <c r="D3434" s="1" t="s">
        <v>25</v>
      </c>
      <c r="E3434" s="1" t="s">
        <v>26</v>
      </c>
      <c r="F3434" s="1">
        <v>70.0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1">
        <v>94.8</v>
      </c>
      <c r="T3434" s="1">
        <v>6859.05</v>
      </c>
      <c r="U3434" s="1">
        <v>2.0</v>
      </c>
      <c r="V3434" s="1">
        <v>0.0</v>
      </c>
      <c r="W3434" s="1" t="s">
        <v>26</v>
      </c>
    </row>
    <row r="3435" ht="15.75" customHeight="1">
      <c r="A3435" s="1" t="s">
        <v>3472</v>
      </c>
      <c r="B3435" s="1" t="s">
        <v>32</v>
      </c>
      <c r="C3435" s="1">
        <v>0.0</v>
      </c>
      <c r="D3435" s="1" t="s">
        <v>26</v>
      </c>
      <c r="E3435" s="1" t="s">
        <v>26</v>
      </c>
      <c r="F3435" s="1">
        <v>61.0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1">
        <v>107.75</v>
      </c>
      <c r="T3435" s="1">
        <v>6521.9</v>
      </c>
      <c r="U3435" s="1">
        <v>2.0</v>
      </c>
      <c r="V3435" s="1">
        <v>0.0</v>
      </c>
      <c r="W3435" s="1" t="s">
        <v>26</v>
      </c>
    </row>
    <row r="3436" ht="15.75" customHeight="1">
      <c r="A3436" s="1" t="s">
        <v>3473</v>
      </c>
      <c r="B3436" s="1" t="s">
        <v>24</v>
      </c>
      <c r="C3436" s="1">
        <v>0.0</v>
      </c>
      <c r="D3436" s="1" t="s">
        <v>26</v>
      </c>
      <c r="E3436" s="1" t="s">
        <v>26</v>
      </c>
      <c r="F3436" s="1">
        <v>11.0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1">
        <v>54.6</v>
      </c>
      <c r="T3436" s="1">
        <v>617.85</v>
      </c>
      <c r="U3436" s="1">
        <v>0.0</v>
      </c>
      <c r="V3436" s="1">
        <v>0.0</v>
      </c>
      <c r="W3436" s="1" t="s">
        <v>26</v>
      </c>
    </row>
    <row r="3437" ht="15.75" customHeight="1">
      <c r="A3437" s="1" t="s">
        <v>3474</v>
      </c>
      <c r="B3437" s="1" t="s">
        <v>32</v>
      </c>
      <c r="C3437" s="1">
        <v>0.0</v>
      </c>
      <c r="D3437" s="1" t="s">
        <v>26</v>
      </c>
      <c r="E3437" s="1" t="s">
        <v>26</v>
      </c>
      <c r="F3437" s="1">
        <v>2.0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1">
        <v>71.3</v>
      </c>
      <c r="T3437" s="1">
        <v>157.75</v>
      </c>
      <c r="U3437" s="1">
        <v>0.0</v>
      </c>
      <c r="V3437" s="1">
        <v>0.0</v>
      </c>
      <c r="W3437" s="1" t="s">
        <v>26</v>
      </c>
    </row>
    <row r="3438" ht="15.75" customHeight="1">
      <c r="A3438" s="1" t="s">
        <v>3475</v>
      </c>
      <c r="B3438" s="1" t="s">
        <v>32</v>
      </c>
      <c r="C3438" s="1">
        <v>0.0</v>
      </c>
      <c r="D3438" s="1" t="s">
        <v>26</v>
      </c>
      <c r="E3438" s="1" t="s">
        <v>26</v>
      </c>
      <c r="F3438" s="1">
        <v>25.0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1">
        <v>19.5</v>
      </c>
      <c r="T3438" s="1">
        <v>516.3</v>
      </c>
      <c r="U3438" s="1">
        <v>4.0</v>
      </c>
      <c r="V3438" s="1">
        <v>0.0</v>
      </c>
      <c r="W3438" s="1" t="s">
        <v>26</v>
      </c>
    </row>
    <row r="3439" ht="15.75" customHeight="1">
      <c r="A3439" s="1" t="s">
        <v>3476</v>
      </c>
      <c r="B3439" s="1" t="s">
        <v>24</v>
      </c>
      <c r="C3439" s="1">
        <v>0.0</v>
      </c>
      <c r="D3439" s="1" t="s">
        <v>26</v>
      </c>
      <c r="E3439" s="1" t="s">
        <v>26</v>
      </c>
      <c r="F3439" s="1">
        <v>41.0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1">
        <v>56.3</v>
      </c>
      <c r="T3439" s="1">
        <v>2364.0</v>
      </c>
      <c r="U3439" s="1">
        <v>0.0</v>
      </c>
      <c r="V3439" s="1">
        <v>0.0</v>
      </c>
      <c r="W3439" s="1" t="s">
        <v>26</v>
      </c>
    </row>
    <row r="3440" ht="15.75" customHeight="1">
      <c r="A3440" s="1" t="s">
        <v>3477</v>
      </c>
      <c r="B3440" s="1" t="s">
        <v>32</v>
      </c>
      <c r="C3440" s="1">
        <v>0.0</v>
      </c>
      <c r="D3440" s="1" t="s">
        <v>25</v>
      </c>
      <c r="E3440" s="1" t="s">
        <v>26</v>
      </c>
      <c r="F3440" s="1">
        <v>18.0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1">
        <v>94.7</v>
      </c>
      <c r="T3440" s="1">
        <v>1687.95</v>
      </c>
      <c r="U3440" s="1">
        <v>0.0</v>
      </c>
      <c r="V3440" s="1">
        <v>2.0</v>
      </c>
      <c r="W3440" s="1" t="s">
        <v>25</v>
      </c>
    </row>
    <row r="3441" ht="15.75" customHeight="1">
      <c r="A3441" s="1" t="s">
        <v>3478</v>
      </c>
      <c r="B3441" s="1" t="s">
        <v>32</v>
      </c>
      <c r="C3441" s="1">
        <v>1.0</v>
      </c>
      <c r="D3441" s="1" t="s">
        <v>25</v>
      </c>
      <c r="E3441" s="1" t="s">
        <v>26</v>
      </c>
      <c r="F3441" s="1">
        <v>72.0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1">
        <v>104.15</v>
      </c>
      <c r="T3441" s="1">
        <v>7689.95</v>
      </c>
      <c r="U3441" s="1">
        <v>5.0</v>
      </c>
      <c r="V3441" s="1">
        <v>7.0</v>
      </c>
      <c r="W3441" s="1" t="s">
        <v>25</v>
      </c>
    </row>
    <row r="3442" ht="15.75" customHeight="1">
      <c r="A3442" s="1" t="s">
        <v>3479</v>
      </c>
      <c r="B3442" s="1" t="s">
        <v>24</v>
      </c>
      <c r="C3442" s="1">
        <v>0.0</v>
      </c>
      <c r="D3442" s="1" t="s">
        <v>25</v>
      </c>
      <c r="E3442" s="1" t="s">
        <v>25</v>
      </c>
      <c r="F3442" s="1">
        <v>71.0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1">
        <v>90.55</v>
      </c>
      <c r="T3442" s="1">
        <v>6239.05</v>
      </c>
      <c r="U3442" s="1">
        <v>0.0</v>
      </c>
      <c r="V3442" s="1">
        <v>0.0</v>
      </c>
      <c r="W3442" s="1" t="s">
        <v>26</v>
      </c>
    </row>
    <row r="3443" ht="15.75" customHeight="1">
      <c r="A3443" s="1" t="s">
        <v>3480</v>
      </c>
      <c r="B3443" s="1" t="s">
        <v>24</v>
      </c>
      <c r="C3443" s="1">
        <v>0.0</v>
      </c>
      <c r="D3443" s="1" t="s">
        <v>25</v>
      </c>
      <c r="E3443" s="1" t="s">
        <v>25</v>
      </c>
      <c r="F3443" s="1">
        <v>34.0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1">
        <v>60.8</v>
      </c>
      <c r="T3443" s="1">
        <v>2042.05</v>
      </c>
      <c r="U3443" s="1">
        <v>0.0</v>
      </c>
      <c r="V3443" s="1">
        <v>0.0</v>
      </c>
      <c r="W3443" s="1" t="s">
        <v>26</v>
      </c>
    </row>
    <row r="3444" ht="15.75" customHeight="1">
      <c r="A3444" s="1" t="s">
        <v>3481</v>
      </c>
      <c r="B3444" s="1" t="s">
        <v>32</v>
      </c>
      <c r="C3444" s="1">
        <v>0.0</v>
      </c>
      <c r="D3444" s="1" t="s">
        <v>26</v>
      </c>
      <c r="E3444" s="1" t="s">
        <v>26</v>
      </c>
      <c r="F3444" s="1">
        <v>29.0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1">
        <v>98.8</v>
      </c>
      <c r="T3444" s="1">
        <v>2807.1</v>
      </c>
      <c r="U3444" s="1">
        <v>0.0</v>
      </c>
      <c r="V3444" s="1">
        <v>0.0</v>
      </c>
      <c r="W3444" s="1" t="s">
        <v>26</v>
      </c>
    </row>
    <row r="3445" ht="15.75" customHeight="1">
      <c r="A3445" s="1" t="s">
        <v>3482</v>
      </c>
      <c r="B3445" s="1" t="s">
        <v>32</v>
      </c>
      <c r="C3445" s="1">
        <v>1.0</v>
      </c>
      <c r="D3445" s="1" t="s">
        <v>25</v>
      </c>
      <c r="E3445" s="1" t="s">
        <v>26</v>
      </c>
      <c r="F3445" s="1">
        <v>40.0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1">
        <v>98.15</v>
      </c>
      <c r="T3445" s="1">
        <v>4116.8</v>
      </c>
      <c r="U3445" s="1">
        <v>0.0</v>
      </c>
      <c r="V3445" s="1">
        <v>0.0</v>
      </c>
      <c r="W3445" s="1" t="s">
        <v>26</v>
      </c>
    </row>
    <row r="3446" ht="15.75" customHeight="1">
      <c r="A3446" s="1" t="s">
        <v>3483</v>
      </c>
      <c r="B3446" s="1" t="s">
        <v>32</v>
      </c>
      <c r="C3446" s="1">
        <v>0.0</v>
      </c>
      <c r="D3446" s="1" t="s">
        <v>25</v>
      </c>
      <c r="E3446" s="1" t="s">
        <v>26</v>
      </c>
      <c r="F3446" s="1">
        <v>36.0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1">
        <v>35.35</v>
      </c>
      <c r="T3446" s="1">
        <v>1317.95</v>
      </c>
      <c r="U3446" s="1">
        <v>0.0</v>
      </c>
      <c r="V3446" s="1">
        <v>0.0</v>
      </c>
      <c r="W3446" s="1" t="s">
        <v>26</v>
      </c>
    </row>
    <row r="3447" ht="15.75" customHeight="1">
      <c r="A3447" s="1" t="s">
        <v>3484</v>
      </c>
      <c r="B3447" s="1" t="s">
        <v>24</v>
      </c>
      <c r="C3447" s="1">
        <v>0.0</v>
      </c>
      <c r="D3447" s="1" t="s">
        <v>25</v>
      </c>
      <c r="E3447" s="1" t="s">
        <v>26</v>
      </c>
      <c r="F3447" s="1">
        <v>46.0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1">
        <v>103.15</v>
      </c>
      <c r="T3447" s="1">
        <v>4594.65</v>
      </c>
      <c r="U3447" s="1">
        <v>3.0</v>
      </c>
      <c r="V3447" s="1">
        <v>0.0</v>
      </c>
      <c r="W3447" s="1" t="s">
        <v>26</v>
      </c>
    </row>
    <row r="3448" ht="15.75" customHeight="1">
      <c r="A3448" s="1" t="s">
        <v>3485</v>
      </c>
      <c r="B3448" s="1" t="s">
        <v>24</v>
      </c>
      <c r="C3448" s="1">
        <v>0.0</v>
      </c>
      <c r="D3448" s="1" t="s">
        <v>26</v>
      </c>
      <c r="E3448" s="1" t="s">
        <v>26</v>
      </c>
      <c r="F3448" s="1">
        <v>58.0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1">
        <v>107.75</v>
      </c>
      <c r="T3448" s="1">
        <v>6332.75</v>
      </c>
      <c r="U3448" s="1">
        <v>0.0</v>
      </c>
      <c r="V3448" s="1">
        <v>0.0</v>
      </c>
      <c r="W3448" s="1" t="s">
        <v>26</v>
      </c>
    </row>
    <row r="3449" ht="15.75" customHeight="1">
      <c r="A3449" s="1" t="s">
        <v>3486</v>
      </c>
      <c r="B3449" s="1" t="s">
        <v>32</v>
      </c>
      <c r="C3449" s="1">
        <v>0.0</v>
      </c>
      <c r="D3449" s="1" t="s">
        <v>26</v>
      </c>
      <c r="E3449" s="1" t="s">
        <v>26</v>
      </c>
      <c r="F3449" s="1">
        <v>39.0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1">
        <v>81.4</v>
      </c>
      <c r="T3449" s="1">
        <v>3213.75</v>
      </c>
      <c r="U3449" s="1">
        <v>0.0</v>
      </c>
      <c r="V3449" s="1">
        <v>0.0</v>
      </c>
      <c r="W3449" s="1" t="s">
        <v>26</v>
      </c>
    </row>
    <row r="3450" ht="15.75" customHeight="1">
      <c r="A3450" s="1" t="s">
        <v>3487</v>
      </c>
      <c r="B3450" s="1" t="s">
        <v>32</v>
      </c>
      <c r="C3450" s="1">
        <v>0.0</v>
      </c>
      <c r="D3450" s="1" t="s">
        <v>25</v>
      </c>
      <c r="E3450" s="1" t="s">
        <v>25</v>
      </c>
      <c r="F3450" s="1">
        <v>4.0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1">
        <v>61.45</v>
      </c>
      <c r="T3450" s="1">
        <v>229.55</v>
      </c>
      <c r="U3450" s="1">
        <v>0.0</v>
      </c>
      <c r="V3450" s="1">
        <v>0.0</v>
      </c>
      <c r="W3450" s="1" t="s">
        <v>25</v>
      </c>
    </row>
    <row r="3451" ht="15.75" customHeight="1">
      <c r="A3451" s="1" t="s">
        <v>3488</v>
      </c>
      <c r="B3451" s="1" t="s">
        <v>24</v>
      </c>
      <c r="C3451" s="1">
        <v>0.0</v>
      </c>
      <c r="D3451" s="1" t="s">
        <v>25</v>
      </c>
      <c r="E3451" s="1" t="s">
        <v>25</v>
      </c>
      <c r="F3451" s="1">
        <v>52.0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1">
        <v>95.7</v>
      </c>
      <c r="T3451" s="1">
        <v>4976.15</v>
      </c>
      <c r="U3451" s="1">
        <v>0.0</v>
      </c>
      <c r="V3451" s="1">
        <v>0.0</v>
      </c>
      <c r="W3451" s="1" t="s">
        <v>26</v>
      </c>
    </row>
    <row r="3452" ht="15.75" customHeight="1">
      <c r="A3452" s="1" t="s">
        <v>3489</v>
      </c>
      <c r="B3452" s="1" t="s">
        <v>32</v>
      </c>
      <c r="C3452" s="1">
        <v>1.0</v>
      </c>
      <c r="D3452" s="1" t="s">
        <v>25</v>
      </c>
      <c r="E3452" s="1" t="s">
        <v>26</v>
      </c>
      <c r="F3452" s="1">
        <v>70.0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1">
        <v>104.8</v>
      </c>
      <c r="T3452" s="1">
        <v>7308.95</v>
      </c>
      <c r="U3452" s="1">
        <v>0.0</v>
      </c>
      <c r="V3452" s="1">
        <v>0.0</v>
      </c>
      <c r="W3452" s="1" t="s">
        <v>26</v>
      </c>
    </row>
    <row r="3453" ht="15.75" customHeight="1">
      <c r="A3453" s="1" t="s">
        <v>3490</v>
      </c>
      <c r="B3453" s="1" t="s">
        <v>32</v>
      </c>
      <c r="C3453" s="1">
        <v>1.0</v>
      </c>
      <c r="D3453" s="1" t="s">
        <v>25</v>
      </c>
      <c r="E3453" s="1" t="s">
        <v>26</v>
      </c>
      <c r="F3453" s="1">
        <v>65.0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1">
        <v>70.95</v>
      </c>
      <c r="T3453" s="1">
        <v>4555.2</v>
      </c>
      <c r="U3453" s="1">
        <v>0.0</v>
      </c>
      <c r="V3453" s="1">
        <v>0.0</v>
      </c>
      <c r="W3453" s="1" t="s">
        <v>26</v>
      </c>
    </row>
    <row r="3454" ht="15.75" customHeight="1">
      <c r="A3454" s="1" t="s">
        <v>3491</v>
      </c>
      <c r="B3454" s="1" t="s">
        <v>32</v>
      </c>
      <c r="C3454" s="1">
        <v>0.0</v>
      </c>
      <c r="D3454" s="1" t="s">
        <v>26</v>
      </c>
      <c r="E3454" s="1" t="s">
        <v>26</v>
      </c>
      <c r="F3454" s="1">
        <v>1.0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1">
        <v>44.95</v>
      </c>
      <c r="T3454" s="1">
        <v>44.95</v>
      </c>
      <c r="U3454" s="1">
        <v>0.0</v>
      </c>
      <c r="V3454" s="1">
        <v>0.0</v>
      </c>
      <c r="W3454" s="1" t="s">
        <v>26</v>
      </c>
    </row>
    <row r="3455" ht="15.75" customHeight="1">
      <c r="A3455" s="1" t="s">
        <v>3492</v>
      </c>
      <c r="B3455" s="1" t="s">
        <v>24</v>
      </c>
      <c r="C3455" s="1">
        <v>0.0</v>
      </c>
      <c r="D3455" s="1" t="s">
        <v>25</v>
      </c>
      <c r="E3455" s="1" t="s">
        <v>26</v>
      </c>
      <c r="F3455" s="1">
        <v>70.0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1">
        <v>97.65</v>
      </c>
      <c r="T3455" s="1">
        <v>6982.5</v>
      </c>
      <c r="U3455" s="1">
        <v>0.0</v>
      </c>
      <c r="V3455" s="1">
        <v>0.0</v>
      </c>
      <c r="W3455" s="1" t="s">
        <v>26</v>
      </c>
    </row>
    <row r="3456" ht="15.75" customHeight="1">
      <c r="A3456" s="1" t="s">
        <v>3493</v>
      </c>
      <c r="B3456" s="1" t="s">
        <v>24</v>
      </c>
      <c r="C3456" s="1">
        <v>1.0</v>
      </c>
      <c r="D3456" s="1" t="s">
        <v>25</v>
      </c>
      <c r="E3456" s="1" t="s">
        <v>25</v>
      </c>
      <c r="F3456" s="1">
        <v>29.0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1">
        <v>35.65</v>
      </c>
      <c r="T3456" s="1">
        <v>1025.15</v>
      </c>
      <c r="U3456" s="1">
        <v>0.0</v>
      </c>
      <c r="V3456" s="1">
        <v>0.0</v>
      </c>
      <c r="W3456" s="1" t="s">
        <v>26</v>
      </c>
    </row>
    <row r="3457" ht="15.75" customHeight="1">
      <c r="A3457" s="1" t="s">
        <v>3494</v>
      </c>
      <c r="B3457" s="1" t="s">
        <v>32</v>
      </c>
      <c r="C3457" s="1">
        <v>0.0</v>
      </c>
      <c r="D3457" s="1" t="s">
        <v>26</v>
      </c>
      <c r="E3457" s="1" t="s">
        <v>26</v>
      </c>
      <c r="F3457" s="1">
        <v>1.0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1">
        <v>90.55</v>
      </c>
      <c r="T3457" s="1">
        <v>90.55</v>
      </c>
      <c r="U3457" s="1">
        <v>0.0</v>
      </c>
      <c r="V3457" s="1">
        <v>0.0</v>
      </c>
      <c r="W3457" s="1" t="s">
        <v>25</v>
      </c>
    </row>
    <row r="3458" ht="15.75" customHeight="1">
      <c r="A3458" s="1" t="s">
        <v>3495</v>
      </c>
      <c r="B3458" s="1" t="s">
        <v>24</v>
      </c>
      <c r="C3458" s="1">
        <v>0.0</v>
      </c>
      <c r="D3458" s="1" t="s">
        <v>26</v>
      </c>
      <c r="E3458" s="1" t="s">
        <v>26</v>
      </c>
      <c r="F3458" s="1">
        <v>67.0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1">
        <v>85.25</v>
      </c>
      <c r="T3458" s="1">
        <v>5714.2</v>
      </c>
      <c r="U3458" s="1">
        <v>0.0</v>
      </c>
      <c r="V3458" s="1">
        <v>0.0</v>
      </c>
      <c r="W3458" s="1" t="s">
        <v>26</v>
      </c>
    </row>
    <row r="3459" ht="15.75" customHeight="1">
      <c r="A3459" s="1" t="s">
        <v>3496</v>
      </c>
      <c r="B3459" s="1" t="s">
        <v>24</v>
      </c>
      <c r="C3459" s="1">
        <v>0.0</v>
      </c>
      <c r="D3459" s="1" t="s">
        <v>26</v>
      </c>
      <c r="E3459" s="1" t="s">
        <v>26</v>
      </c>
      <c r="F3459" s="1">
        <v>1.0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1">
        <v>19.5</v>
      </c>
      <c r="T3459" s="1">
        <v>19.5</v>
      </c>
      <c r="U3459" s="1">
        <v>2.0</v>
      </c>
      <c r="V3459" s="1">
        <v>0.0</v>
      </c>
      <c r="W3459" s="1" t="s">
        <v>26</v>
      </c>
    </row>
    <row r="3460" ht="15.75" customHeight="1">
      <c r="A3460" s="1" t="s">
        <v>3497</v>
      </c>
      <c r="B3460" s="1" t="s">
        <v>24</v>
      </c>
      <c r="C3460" s="1">
        <v>0.0</v>
      </c>
      <c r="D3460" s="1" t="s">
        <v>26</v>
      </c>
      <c r="E3460" s="1" t="s">
        <v>26</v>
      </c>
      <c r="F3460" s="1">
        <v>26.0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1">
        <v>88.8</v>
      </c>
      <c r="T3460" s="1">
        <v>2274.35</v>
      </c>
      <c r="U3460" s="1">
        <v>0.0</v>
      </c>
      <c r="V3460" s="1">
        <v>4.0</v>
      </c>
      <c r="W3460" s="1" t="s">
        <v>25</v>
      </c>
    </row>
    <row r="3461" ht="15.75" customHeight="1">
      <c r="A3461" s="1" t="s">
        <v>3498</v>
      </c>
      <c r="B3461" s="1" t="s">
        <v>24</v>
      </c>
      <c r="C3461" s="1">
        <v>0.0</v>
      </c>
      <c r="D3461" s="1" t="s">
        <v>25</v>
      </c>
      <c r="E3461" s="1" t="s">
        <v>25</v>
      </c>
      <c r="F3461" s="1">
        <v>30.0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1">
        <v>25.1</v>
      </c>
      <c r="T3461" s="1">
        <v>789.55</v>
      </c>
      <c r="U3461" s="1">
        <v>0.0</v>
      </c>
      <c r="V3461" s="1">
        <v>0.0</v>
      </c>
      <c r="W3461" s="1" t="s">
        <v>26</v>
      </c>
    </row>
    <row r="3462" ht="15.75" customHeight="1">
      <c r="A3462" s="1" t="s">
        <v>3499</v>
      </c>
      <c r="B3462" s="1" t="s">
        <v>24</v>
      </c>
      <c r="C3462" s="1">
        <v>0.0</v>
      </c>
      <c r="D3462" s="1" t="s">
        <v>25</v>
      </c>
      <c r="E3462" s="1" t="s">
        <v>26</v>
      </c>
      <c r="F3462" s="1">
        <v>48.0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1">
        <v>100.05</v>
      </c>
      <c r="T3462" s="1">
        <v>4834.0</v>
      </c>
      <c r="U3462" s="1">
        <v>0.0</v>
      </c>
      <c r="V3462" s="1">
        <v>0.0</v>
      </c>
      <c r="W3462" s="1" t="s">
        <v>26</v>
      </c>
    </row>
    <row r="3463" ht="15.75" customHeight="1">
      <c r="A3463" s="1" t="s">
        <v>3500</v>
      </c>
      <c r="B3463" s="1" t="s">
        <v>24</v>
      </c>
      <c r="C3463" s="1">
        <v>0.0</v>
      </c>
      <c r="D3463" s="1" t="s">
        <v>25</v>
      </c>
      <c r="E3463" s="1" t="s">
        <v>25</v>
      </c>
      <c r="F3463" s="1">
        <v>55.0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1">
        <v>55.7</v>
      </c>
      <c r="T3463" s="1">
        <v>3131.8</v>
      </c>
      <c r="U3463" s="1">
        <v>0.0</v>
      </c>
      <c r="V3463" s="1">
        <v>0.0</v>
      </c>
      <c r="W3463" s="1" t="s">
        <v>26</v>
      </c>
    </row>
    <row r="3464" ht="15.75" customHeight="1">
      <c r="A3464" s="1" t="s">
        <v>3501</v>
      </c>
      <c r="B3464" s="1" t="s">
        <v>32</v>
      </c>
      <c r="C3464" s="1">
        <v>0.0</v>
      </c>
      <c r="D3464" s="1" t="s">
        <v>26</v>
      </c>
      <c r="E3464" s="1" t="s">
        <v>26</v>
      </c>
      <c r="F3464" s="1">
        <v>7.0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1">
        <v>85.2</v>
      </c>
      <c r="T3464" s="1">
        <v>602.55</v>
      </c>
      <c r="U3464" s="1">
        <v>3.0</v>
      </c>
      <c r="V3464" s="1">
        <v>0.0</v>
      </c>
      <c r="W3464" s="1" t="s">
        <v>25</v>
      </c>
    </row>
    <row r="3465" ht="15.75" customHeight="1">
      <c r="A3465" s="1" t="s">
        <v>3502</v>
      </c>
      <c r="B3465" s="1" t="s">
        <v>32</v>
      </c>
      <c r="C3465" s="1">
        <v>0.0</v>
      </c>
      <c r="D3465" s="1" t="s">
        <v>26</v>
      </c>
      <c r="E3465" s="1" t="s">
        <v>26</v>
      </c>
      <c r="F3465" s="1">
        <v>37.0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1">
        <v>91.15</v>
      </c>
      <c r="T3465" s="1">
        <v>3369.25</v>
      </c>
      <c r="U3465" s="1">
        <v>0.0</v>
      </c>
      <c r="V3465" s="1">
        <v>0.0</v>
      </c>
      <c r="W3465" s="1" t="s">
        <v>26</v>
      </c>
    </row>
    <row r="3466" ht="15.75" customHeight="1">
      <c r="A3466" s="1" t="s">
        <v>3503</v>
      </c>
      <c r="B3466" s="1" t="s">
        <v>24</v>
      </c>
      <c r="C3466" s="1">
        <v>0.0</v>
      </c>
      <c r="D3466" s="1" t="s">
        <v>25</v>
      </c>
      <c r="E3466" s="1" t="s">
        <v>26</v>
      </c>
      <c r="F3466" s="1">
        <v>31.0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1">
        <v>83.85</v>
      </c>
      <c r="T3466" s="1">
        <v>2674.15</v>
      </c>
      <c r="U3466" s="1">
        <v>0.0</v>
      </c>
      <c r="V3466" s="1">
        <v>0.0</v>
      </c>
      <c r="W3466" s="1" t="s">
        <v>26</v>
      </c>
    </row>
    <row r="3467" ht="15.75" customHeight="1">
      <c r="A3467" s="1" t="s">
        <v>3504</v>
      </c>
      <c r="B3467" s="1" t="s">
        <v>32</v>
      </c>
      <c r="C3467" s="1">
        <v>0.0</v>
      </c>
      <c r="D3467" s="1" t="s">
        <v>26</v>
      </c>
      <c r="E3467" s="1" t="s">
        <v>26</v>
      </c>
      <c r="F3467" s="1">
        <v>4.0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1">
        <v>45.9</v>
      </c>
      <c r="T3467" s="1">
        <v>199.75</v>
      </c>
      <c r="U3467" s="1">
        <v>1.0</v>
      </c>
      <c r="V3467" s="1">
        <v>0.0</v>
      </c>
      <c r="W3467" s="1" t="s">
        <v>26</v>
      </c>
    </row>
    <row r="3468" ht="15.75" customHeight="1">
      <c r="A3468" s="1" t="s">
        <v>3505</v>
      </c>
      <c r="B3468" s="1" t="s">
        <v>32</v>
      </c>
      <c r="C3468" s="1">
        <v>0.0</v>
      </c>
      <c r="D3468" s="1" t="s">
        <v>25</v>
      </c>
      <c r="E3468" s="1" t="s">
        <v>25</v>
      </c>
      <c r="F3468" s="1">
        <v>72.0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1">
        <v>25.1</v>
      </c>
      <c r="T3468" s="1">
        <v>1790.8</v>
      </c>
      <c r="U3468" s="1">
        <v>0.0</v>
      </c>
      <c r="V3468" s="1">
        <v>0.0</v>
      </c>
      <c r="W3468" s="1" t="s">
        <v>26</v>
      </c>
    </row>
    <row r="3469" ht="15.75" customHeight="1">
      <c r="A3469" s="1" t="s">
        <v>3506</v>
      </c>
      <c r="B3469" s="1" t="s">
        <v>32</v>
      </c>
      <c r="C3469" s="1">
        <v>1.0</v>
      </c>
      <c r="D3469" s="1" t="s">
        <v>26</v>
      </c>
      <c r="E3469" s="1" t="s">
        <v>26</v>
      </c>
      <c r="F3469" s="1">
        <v>5.0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1">
        <v>91.4</v>
      </c>
      <c r="T3469" s="1">
        <v>449.75</v>
      </c>
      <c r="U3469" s="1">
        <v>0.0</v>
      </c>
      <c r="V3469" s="1">
        <v>0.0</v>
      </c>
      <c r="W3469" s="1" t="s">
        <v>25</v>
      </c>
    </row>
    <row r="3470" ht="15.75" customHeight="1">
      <c r="A3470" s="1" t="s">
        <v>3507</v>
      </c>
      <c r="B3470" s="1" t="s">
        <v>32</v>
      </c>
      <c r="C3470" s="1">
        <v>0.0</v>
      </c>
      <c r="D3470" s="1" t="s">
        <v>25</v>
      </c>
      <c r="E3470" s="1" t="s">
        <v>25</v>
      </c>
      <c r="F3470" s="1">
        <v>1.0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1">
        <v>19.7</v>
      </c>
      <c r="T3470" s="1">
        <v>19.7</v>
      </c>
      <c r="U3470" s="1">
        <v>0.0</v>
      </c>
      <c r="V3470" s="1">
        <v>0.0</v>
      </c>
      <c r="W3470" s="1" t="s">
        <v>26</v>
      </c>
    </row>
    <row r="3471" ht="15.75" customHeight="1">
      <c r="A3471" s="1" t="s">
        <v>3508</v>
      </c>
      <c r="B3471" s="1" t="s">
        <v>24</v>
      </c>
      <c r="C3471" s="1">
        <v>1.0</v>
      </c>
      <c r="D3471" s="1" t="s">
        <v>26</v>
      </c>
      <c r="E3471" s="1" t="s">
        <v>26</v>
      </c>
      <c r="F3471" s="1">
        <v>15.0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1">
        <v>91.5</v>
      </c>
      <c r="T3471" s="1">
        <v>1400.3</v>
      </c>
      <c r="U3471" s="1">
        <v>0.0</v>
      </c>
      <c r="V3471" s="1">
        <v>0.0</v>
      </c>
      <c r="W3471" s="1" t="s">
        <v>26</v>
      </c>
    </row>
    <row r="3472" ht="15.75" customHeight="1">
      <c r="A3472" s="1" t="s">
        <v>3509</v>
      </c>
      <c r="B3472" s="1" t="s">
        <v>32</v>
      </c>
      <c r="C3472" s="1">
        <v>0.0</v>
      </c>
      <c r="D3472" s="1" t="s">
        <v>25</v>
      </c>
      <c r="E3472" s="1" t="s">
        <v>25</v>
      </c>
      <c r="F3472" s="1">
        <v>8.0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1">
        <v>51.3</v>
      </c>
      <c r="T3472" s="1">
        <v>411.6</v>
      </c>
      <c r="U3472" s="1">
        <v>0.0</v>
      </c>
      <c r="V3472" s="1">
        <v>0.0</v>
      </c>
      <c r="W3472" s="1" t="s">
        <v>26</v>
      </c>
    </row>
    <row r="3473" ht="15.75" customHeight="1">
      <c r="A3473" s="1" t="s">
        <v>3510</v>
      </c>
      <c r="B3473" s="1" t="s">
        <v>24</v>
      </c>
      <c r="C3473" s="1">
        <v>0.0</v>
      </c>
      <c r="D3473" s="1" t="s">
        <v>26</v>
      </c>
      <c r="E3473" s="1" t="s">
        <v>26</v>
      </c>
      <c r="F3473" s="1">
        <v>35.0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1">
        <v>21.1</v>
      </c>
      <c r="T3473" s="1">
        <v>741.0</v>
      </c>
      <c r="U3473" s="1">
        <v>0.0</v>
      </c>
      <c r="V3473" s="1">
        <v>0.0</v>
      </c>
      <c r="W3473" s="1" t="s">
        <v>26</v>
      </c>
    </row>
    <row r="3474" ht="15.75" customHeight="1">
      <c r="A3474" s="1" t="s">
        <v>3511</v>
      </c>
      <c r="B3474" s="1" t="s">
        <v>24</v>
      </c>
      <c r="C3474" s="1">
        <v>1.0</v>
      </c>
      <c r="D3474" s="1" t="s">
        <v>26</v>
      </c>
      <c r="E3474" s="1" t="s">
        <v>26</v>
      </c>
      <c r="F3474" s="1">
        <v>56.0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1">
        <v>104.75</v>
      </c>
      <c r="T3474" s="1">
        <v>5841.35</v>
      </c>
      <c r="U3474" s="1">
        <v>0.0</v>
      </c>
      <c r="V3474" s="1">
        <v>0.0</v>
      </c>
      <c r="W3474" s="1" t="s">
        <v>26</v>
      </c>
    </row>
    <row r="3475" ht="15.75" customHeight="1">
      <c r="A3475" s="1" t="s">
        <v>3512</v>
      </c>
      <c r="B3475" s="1" t="s">
        <v>32</v>
      </c>
      <c r="C3475" s="1">
        <v>0.0</v>
      </c>
      <c r="D3475" s="1" t="s">
        <v>25</v>
      </c>
      <c r="E3475" s="1" t="s">
        <v>26</v>
      </c>
      <c r="F3475" s="1">
        <v>42.0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1">
        <v>106.15</v>
      </c>
      <c r="T3475" s="1">
        <v>4512.7</v>
      </c>
      <c r="U3475" s="1">
        <v>0.0</v>
      </c>
      <c r="V3475" s="1">
        <v>4.0</v>
      </c>
      <c r="W3475" s="1" t="s">
        <v>25</v>
      </c>
    </row>
    <row r="3476" ht="15.75" customHeight="1">
      <c r="A3476" s="1" t="s">
        <v>3513</v>
      </c>
      <c r="B3476" s="1" t="s">
        <v>32</v>
      </c>
      <c r="C3476" s="1">
        <v>1.0</v>
      </c>
      <c r="D3476" s="1" t="s">
        <v>25</v>
      </c>
      <c r="E3476" s="1" t="s">
        <v>25</v>
      </c>
      <c r="F3476" s="1">
        <v>65.0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1">
        <v>85.75</v>
      </c>
      <c r="T3476" s="1">
        <v>5688.45</v>
      </c>
      <c r="U3476" s="1">
        <v>0.0</v>
      </c>
      <c r="V3476" s="1">
        <v>0.0</v>
      </c>
      <c r="W3476" s="1" t="s">
        <v>26</v>
      </c>
    </row>
    <row r="3477" ht="15.75" customHeight="1">
      <c r="A3477" s="1" t="s">
        <v>3514</v>
      </c>
      <c r="B3477" s="1" t="s">
        <v>24</v>
      </c>
      <c r="C3477" s="1">
        <v>0.0</v>
      </c>
      <c r="D3477" s="1" t="s">
        <v>25</v>
      </c>
      <c r="E3477" s="1" t="s">
        <v>25</v>
      </c>
      <c r="F3477" s="1">
        <v>2.0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1">
        <v>20.3</v>
      </c>
      <c r="T3477" s="1">
        <v>31.9</v>
      </c>
      <c r="U3477" s="1">
        <v>0.0</v>
      </c>
      <c r="V3477" s="1">
        <v>0.0</v>
      </c>
      <c r="W3477" s="1" t="s">
        <v>26</v>
      </c>
    </row>
    <row r="3478" ht="15.75" customHeight="1">
      <c r="A3478" s="1" t="s">
        <v>3515</v>
      </c>
      <c r="B3478" s="1" t="s">
        <v>32</v>
      </c>
      <c r="C3478" s="1">
        <v>1.0</v>
      </c>
      <c r="D3478" s="1" t="s">
        <v>25</v>
      </c>
      <c r="E3478" s="1" t="s">
        <v>26</v>
      </c>
      <c r="F3478" s="1">
        <v>65.0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1">
        <v>100.75</v>
      </c>
      <c r="T3478" s="1">
        <v>6674.65</v>
      </c>
      <c r="U3478" s="1">
        <v>0.0</v>
      </c>
      <c r="V3478" s="1">
        <v>0.0</v>
      </c>
      <c r="W3478" s="1" t="s">
        <v>26</v>
      </c>
    </row>
    <row r="3479" ht="15.75" customHeight="1">
      <c r="A3479" s="1" t="s">
        <v>3516</v>
      </c>
      <c r="B3479" s="1" t="s">
        <v>24</v>
      </c>
      <c r="C3479" s="1">
        <v>0.0</v>
      </c>
      <c r="D3479" s="1" t="s">
        <v>26</v>
      </c>
      <c r="E3479" s="1" t="s">
        <v>26</v>
      </c>
      <c r="F3479" s="1">
        <v>18.0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1">
        <v>74.15</v>
      </c>
      <c r="T3479" s="1">
        <v>1345.75</v>
      </c>
      <c r="U3479" s="1">
        <v>0.0</v>
      </c>
      <c r="V3479" s="1">
        <v>0.0</v>
      </c>
      <c r="W3479" s="1" t="s">
        <v>26</v>
      </c>
    </row>
    <row r="3480" ht="15.75" customHeight="1">
      <c r="A3480" s="1" t="s">
        <v>3517</v>
      </c>
      <c r="B3480" s="1" t="s">
        <v>24</v>
      </c>
      <c r="C3480" s="1">
        <v>0.0</v>
      </c>
      <c r="D3480" s="1" t="s">
        <v>26</v>
      </c>
      <c r="E3480" s="1" t="s">
        <v>26</v>
      </c>
      <c r="F3480" s="1">
        <v>23.0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1">
        <v>78.55</v>
      </c>
      <c r="T3480" s="1">
        <v>1843.05</v>
      </c>
      <c r="U3480" s="1">
        <v>0.0</v>
      </c>
      <c r="V3480" s="1">
        <v>0.0</v>
      </c>
      <c r="W3480" s="1" t="s">
        <v>26</v>
      </c>
    </row>
    <row r="3481" ht="15.75" customHeight="1">
      <c r="A3481" s="1" t="s">
        <v>3518</v>
      </c>
      <c r="B3481" s="1" t="s">
        <v>24</v>
      </c>
      <c r="C3481" s="1">
        <v>0.0</v>
      </c>
      <c r="D3481" s="1" t="s">
        <v>26</v>
      </c>
      <c r="E3481" s="1" t="s">
        <v>26</v>
      </c>
      <c r="F3481" s="1">
        <v>4.0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1">
        <v>45.3</v>
      </c>
      <c r="T3481" s="1">
        <v>196.95</v>
      </c>
      <c r="U3481" s="1">
        <v>4.0</v>
      </c>
      <c r="V3481" s="1">
        <v>0.0</v>
      </c>
      <c r="W3481" s="1" t="s">
        <v>25</v>
      </c>
    </row>
    <row r="3482" ht="15.75" customHeight="1">
      <c r="A3482" s="1" t="s">
        <v>3519</v>
      </c>
      <c r="B3482" s="1" t="s">
        <v>32</v>
      </c>
      <c r="C3482" s="1">
        <v>0.0</v>
      </c>
      <c r="D3482" s="1" t="s">
        <v>25</v>
      </c>
      <c r="E3482" s="1" t="s">
        <v>26</v>
      </c>
      <c r="F3482" s="1">
        <v>70.0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1">
        <v>19.85</v>
      </c>
      <c r="T3482" s="1">
        <v>1433.8</v>
      </c>
      <c r="U3482" s="1">
        <v>0.0</v>
      </c>
      <c r="V3482" s="1">
        <v>0.0</v>
      </c>
      <c r="W3482" s="1" t="s">
        <v>26</v>
      </c>
    </row>
    <row r="3483" ht="15.75" customHeight="1">
      <c r="A3483" s="1" t="s">
        <v>3520</v>
      </c>
      <c r="B3483" s="1" t="s">
        <v>24</v>
      </c>
      <c r="C3483" s="1">
        <v>0.0</v>
      </c>
      <c r="D3483" s="1" t="s">
        <v>26</v>
      </c>
      <c r="E3483" s="1" t="s">
        <v>26</v>
      </c>
      <c r="F3483" s="1">
        <v>4.0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1">
        <v>50.7</v>
      </c>
      <c r="T3483" s="1">
        <v>214.55</v>
      </c>
      <c r="U3483" s="1">
        <v>0.0</v>
      </c>
      <c r="V3483" s="1">
        <v>0.0</v>
      </c>
      <c r="W3483" s="1" t="s">
        <v>26</v>
      </c>
    </row>
    <row r="3484" ht="15.75" customHeight="1">
      <c r="A3484" s="1" t="s">
        <v>3521</v>
      </c>
      <c r="B3484" s="1" t="s">
        <v>32</v>
      </c>
      <c r="C3484" s="1">
        <v>0.0</v>
      </c>
      <c r="D3484" s="1" t="s">
        <v>26</v>
      </c>
      <c r="E3484" s="1" t="s">
        <v>26</v>
      </c>
      <c r="F3484" s="1">
        <v>19.0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1">
        <v>45.0</v>
      </c>
      <c r="T3484" s="1">
        <v>865.85</v>
      </c>
      <c r="U3484" s="1">
        <v>0.0</v>
      </c>
      <c r="V3484" s="1">
        <v>0.0</v>
      </c>
      <c r="W3484" s="1" t="s">
        <v>26</v>
      </c>
    </row>
    <row r="3485" ht="15.75" customHeight="1">
      <c r="A3485" s="1" t="s">
        <v>3522</v>
      </c>
      <c r="B3485" s="1" t="s">
        <v>24</v>
      </c>
      <c r="C3485" s="1">
        <v>0.0</v>
      </c>
      <c r="D3485" s="1" t="s">
        <v>26</v>
      </c>
      <c r="E3485" s="1" t="s">
        <v>26</v>
      </c>
      <c r="F3485" s="1">
        <v>18.0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1">
        <v>77.8</v>
      </c>
      <c r="T3485" s="1">
        <v>1358.6</v>
      </c>
      <c r="U3485" s="1">
        <v>0.0</v>
      </c>
      <c r="V3485" s="1">
        <v>0.0</v>
      </c>
      <c r="W3485" s="1" t="s">
        <v>26</v>
      </c>
    </row>
    <row r="3486" ht="15.75" customHeight="1">
      <c r="A3486" s="1" t="s">
        <v>3523</v>
      </c>
      <c r="B3486" s="1" t="s">
        <v>24</v>
      </c>
      <c r="C3486" s="1">
        <v>1.0</v>
      </c>
      <c r="D3486" s="1" t="s">
        <v>25</v>
      </c>
      <c r="E3486" s="1" t="s">
        <v>26</v>
      </c>
      <c r="F3486" s="1">
        <v>38.0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1">
        <v>83.45</v>
      </c>
      <c r="T3486" s="1">
        <v>3147.15</v>
      </c>
      <c r="U3486" s="1">
        <v>1.0</v>
      </c>
      <c r="V3486" s="1">
        <v>0.0</v>
      </c>
      <c r="W3486" s="1" t="s">
        <v>26</v>
      </c>
    </row>
    <row r="3487" ht="15.75" customHeight="1">
      <c r="A3487" s="1" t="s">
        <v>3524</v>
      </c>
      <c r="B3487" s="1" t="s">
        <v>32</v>
      </c>
      <c r="C3487" s="1">
        <v>0.0</v>
      </c>
      <c r="D3487" s="1" t="s">
        <v>26</v>
      </c>
      <c r="E3487" s="1" t="s">
        <v>26</v>
      </c>
      <c r="F3487" s="1">
        <v>2.0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1">
        <v>73.25</v>
      </c>
      <c r="T3487" s="1">
        <v>131.05</v>
      </c>
      <c r="U3487" s="1">
        <v>0.0</v>
      </c>
      <c r="V3487" s="1">
        <v>0.0</v>
      </c>
      <c r="W3487" s="1" t="s">
        <v>25</v>
      </c>
    </row>
    <row r="3488" ht="15.75" customHeight="1">
      <c r="A3488" s="1" t="s">
        <v>3525</v>
      </c>
      <c r="B3488" s="1" t="s">
        <v>32</v>
      </c>
      <c r="C3488" s="1">
        <v>0.0</v>
      </c>
      <c r="D3488" s="1" t="s">
        <v>26</v>
      </c>
      <c r="E3488" s="1" t="s">
        <v>26</v>
      </c>
      <c r="F3488" s="1">
        <v>47.0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1">
        <v>94.8</v>
      </c>
      <c r="T3488" s="1">
        <v>4535.85</v>
      </c>
      <c r="U3488" s="1">
        <v>0.0</v>
      </c>
      <c r="V3488" s="1">
        <v>0.0</v>
      </c>
      <c r="W3488" s="1" t="s">
        <v>26</v>
      </c>
    </row>
    <row r="3489" ht="15.75" customHeight="1">
      <c r="A3489" s="1" t="s">
        <v>3526</v>
      </c>
      <c r="B3489" s="1" t="s">
        <v>24</v>
      </c>
      <c r="C3489" s="1">
        <v>0.0</v>
      </c>
      <c r="D3489" s="1" t="s">
        <v>25</v>
      </c>
      <c r="E3489" s="1" t="s">
        <v>25</v>
      </c>
      <c r="F3489" s="1">
        <v>52.0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1">
        <v>20.1</v>
      </c>
      <c r="T3489" s="1">
        <v>1078.75</v>
      </c>
      <c r="U3489" s="1">
        <v>0.0</v>
      </c>
      <c r="V3489" s="1">
        <v>0.0</v>
      </c>
      <c r="W3489" s="1" t="s">
        <v>26</v>
      </c>
    </row>
    <row r="3490" ht="15.75" customHeight="1">
      <c r="A3490" s="1" t="s">
        <v>3527</v>
      </c>
      <c r="B3490" s="1" t="s">
        <v>32</v>
      </c>
      <c r="C3490" s="1">
        <v>0.0</v>
      </c>
      <c r="D3490" s="1" t="s">
        <v>26</v>
      </c>
      <c r="E3490" s="1" t="s">
        <v>26</v>
      </c>
      <c r="F3490" s="1">
        <v>9.0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1">
        <v>59.9</v>
      </c>
      <c r="T3490" s="1">
        <v>542.4</v>
      </c>
      <c r="U3490" s="1">
        <v>3.0</v>
      </c>
      <c r="V3490" s="1">
        <v>0.0</v>
      </c>
      <c r="W3490" s="1" t="s">
        <v>26</v>
      </c>
    </row>
    <row r="3491" ht="15.75" customHeight="1">
      <c r="A3491" s="1" t="s">
        <v>3528</v>
      </c>
      <c r="B3491" s="1" t="s">
        <v>24</v>
      </c>
      <c r="C3491" s="1">
        <v>0.0</v>
      </c>
      <c r="D3491" s="1" t="s">
        <v>25</v>
      </c>
      <c r="E3491" s="1" t="s">
        <v>26</v>
      </c>
      <c r="F3491" s="1">
        <v>26.0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1">
        <v>90.1</v>
      </c>
      <c r="T3491" s="1">
        <v>2312.55</v>
      </c>
      <c r="U3491" s="1">
        <v>0.0</v>
      </c>
      <c r="V3491" s="1">
        <v>0.0</v>
      </c>
      <c r="W3491" s="1" t="s">
        <v>26</v>
      </c>
    </row>
    <row r="3492" ht="15.75" customHeight="1">
      <c r="A3492" s="1" t="s">
        <v>3529</v>
      </c>
      <c r="B3492" s="1" t="s">
        <v>32</v>
      </c>
      <c r="C3492" s="1">
        <v>0.0</v>
      </c>
      <c r="D3492" s="1" t="s">
        <v>25</v>
      </c>
      <c r="E3492" s="1" t="s">
        <v>25</v>
      </c>
      <c r="F3492" s="1">
        <v>8.0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1">
        <v>51.05</v>
      </c>
      <c r="T3492" s="1">
        <v>415.05</v>
      </c>
      <c r="U3492" s="1">
        <v>0.0</v>
      </c>
      <c r="V3492" s="1">
        <v>0.0</v>
      </c>
      <c r="W3492" s="1" t="s">
        <v>25</v>
      </c>
    </row>
    <row r="3493" ht="15.75" customHeight="1">
      <c r="A3493" s="1" t="s">
        <v>3530</v>
      </c>
      <c r="B3493" s="1" t="s">
        <v>32</v>
      </c>
      <c r="C3493" s="1">
        <v>0.0</v>
      </c>
      <c r="D3493" s="1" t="s">
        <v>25</v>
      </c>
      <c r="E3493" s="1" t="s">
        <v>26</v>
      </c>
      <c r="F3493" s="1">
        <v>44.0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1">
        <v>70.95</v>
      </c>
      <c r="T3493" s="1">
        <v>3250.45</v>
      </c>
      <c r="U3493" s="1">
        <v>3.0</v>
      </c>
      <c r="V3493" s="1">
        <v>0.0</v>
      </c>
      <c r="W3493" s="1" t="s">
        <v>26</v>
      </c>
    </row>
    <row r="3494" ht="15.75" customHeight="1">
      <c r="A3494" s="1" t="s">
        <v>3531</v>
      </c>
      <c r="B3494" s="1" t="s">
        <v>24</v>
      </c>
      <c r="C3494" s="1">
        <v>0.0</v>
      </c>
      <c r="D3494" s="1" t="s">
        <v>26</v>
      </c>
      <c r="E3494" s="1" t="s">
        <v>26</v>
      </c>
      <c r="F3494" s="1">
        <v>3.0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1">
        <v>29.2</v>
      </c>
      <c r="T3494" s="1">
        <v>98.5</v>
      </c>
      <c r="U3494" s="1">
        <v>0.0</v>
      </c>
      <c r="V3494" s="1">
        <v>0.0</v>
      </c>
      <c r="W3494" s="1" t="s">
        <v>26</v>
      </c>
    </row>
    <row r="3495" ht="15.75" customHeight="1">
      <c r="A3495" s="1" t="s">
        <v>3532</v>
      </c>
      <c r="B3495" s="1" t="s">
        <v>32</v>
      </c>
      <c r="C3495" s="1">
        <v>0.0</v>
      </c>
      <c r="D3495" s="1" t="s">
        <v>26</v>
      </c>
      <c r="E3495" s="1" t="s">
        <v>26</v>
      </c>
      <c r="F3495" s="1">
        <v>2.0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1">
        <v>46.6</v>
      </c>
      <c r="T3495" s="1">
        <v>87.9</v>
      </c>
      <c r="U3495" s="1">
        <v>0.0</v>
      </c>
      <c r="V3495" s="1">
        <v>0.0</v>
      </c>
      <c r="W3495" s="1" t="s">
        <v>26</v>
      </c>
    </row>
    <row r="3496" ht="15.75" customHeight="1">
      <c r="A3496" s="1" t="s">
        <v>3533</v>
      </c>
      <c r="B3496" s="1" t="s">
        <v>24</v>
      </c>
      <c r="C3496" s="1">
        <v>0.0</v>
      </c>
      <c r="D3496" s="1" t="s">
        <v>25</v>
      </c>
      <c r="E3496" s="1" t="s">
        <v>25</v>
      </c>
      <c r="F3496" s="1">
        <v>9.0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1">
        <v>85.35</v>
      </c>
      <c r="T3496" s="1">
        <v>754.65</v>
      </c>
      <c r="U3496" s="1">
        <v>0.0</v>
      </c>
      <c r="V3496" s="1">
        <v>0.0</v>
      </c>
      <c r="W3496" s="1" t="s">
        <v>25</v>
      </c>
    </row>
    <row r="3497" ht="15.75" customHeight="1">
      <c r="A3497" s="1" t="s">
        <v>3534</v>
      </c>
      <c r="B3497" s="1" t="s">
        <v>32</v>
      </c>
      <c r="C3497" s="1">
        <v>1.0</v>
      </c>
      <c r="D3497" s="1" t="s">
        <v>26</v>
      </c>
      <c r="E3497" s="1" t="s">
        <v>26</v>
      </c>
      <c r="F3497" s="1">
        <v>1.0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1">
        <v>75.35</v>
      </c>
      <c r="T3497" s="1">
        <v>75.35</v>
      </c>
      <c r="U3497" s="1">
        <v>0.0</v>
      </c>
      <c r="V3497" s="1">
        <v>0.0</v>
      </c>
      <c r="W3497" s="1" t="s">
        <v>25</v>
      </c>
    </row>
    <row r="3498" ht="15.75" customHeight="1">
      <c r="A3498" s="1" t="s">
        <v>3535</v>
      </c>
      <c r="B3498" s="1" t="s">
        <v>32</v>
      </c>
      <c r="C3498" s="1">
        <v>0.0</v>
      </c>
      <c r="D3498" s="1" t="s">
        <v>26</v>
      </c>
      <c r="E3498" s="1" t="s">
        <v>26</v>
      </c>
      <c r="F3498" s="1">
        <v>25.0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1">
        <v>74.3</v>
      </c>
      <c r="T3498" s="1">
        <v>1952.25</v>
      </c>
      <c r="U3498" s="1">
        <v>2.0</v>
      </c>
      <c r="V3498" s="1">
        <v>0.0</v>
      </c>
      <c r="W3498" s="1" t="s">
        <v>26</v>
      </c>
    </row>
    <row r="3499" ht="15.75" customHeight="1">
      <c r="A3499" s="1" t="s">
        <v>3536</v>
      </c>
      <c r="B3499" s="1" t="s">
        <v>24</v>
      </c>
      <c r="C3499" s="1">
        <v>1.0</v>
      </c>
      <c r="D3499" s="1" t="s">
        <v>25</v>
      </c>
      <c r="E3499" s="1" t="s">
        <v>26</v>
      </c>
      <c r="F3499" s="1">
        <v>2.0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1">
        <v>69.3</v>
      </c>
      <c r="T3499" s="1">
        <v>153.8</v>
      </c>
      <c r="U3499" s="1">
        <v>1.0</v>
      </c>
      <c r="V3499" s="1">
        <v>0.0</v>
      </c>
      <c r="W3499" s="1" t="s">
        <v>26</v>
      </c>
    </row>
    <row r="3500" ht="15.75" customHeight="1">
      <c r="A3500" s="1" t="s">
        <v>3537</v>
      </c>
      <c r="B3500" s="1" t="s">
        <v>32</v>
      </c>
      <c r="C3500" s="1">
        <v>0.0</v>
      </c>
      <c r="D3500" s="1" t="s">
        <v>26</v>
      </c>
      <c r="E3500" s="1" t="s">
        <v>26</v>
      </c>
      <c r="F3500" s="1">
        <v>43.0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1">
        <v>75.2</v>
      </c>
      <c r="T3500" s="1">
        <v>3198.6</v>
      </c>
      <c r="U3500" s="1">
        <v>0.0</v>
      </c>
      <c r="V3500" s="1">
        <v>0.0</v>
      </c>
      <c r="W3500" s="1" t="s">
        <v>25</v>
      </c>
    </row>
    <row r="3501" ht="15.75" customHeight="1">
      <c r="A3501" s="1" t="s">
        <v>3538</v>
      </c>
      <c r="B3501" s="1" t="s">
        <v>24</v>
      </c>
      <c r="C3501" s="1">
        <v>0.0</v>
      </c>
      <c r="D3501" s="1" t="s">
        <v>26</v>
      </c>
      <c r="E3501" s="1" t="s">
        <v>26</v>
      </c>
      <c r="F3501" s="1">
        <v>1.0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1">
        <v>20.9</v>
      </c>
      <c r="T3501" s="1">
        <v>20.9</v>
      </c>
      <c r="U3501" s="1">
        <v>0.0</v>
      </c>
      <c r="V3501" s="1">
        <v>0.0</v>
      </c>
      <c r="W3501" s="1" t="s">
        <v>25</v>
      </c>
    </row>
    <row r="3502" ht="15.75" customHeight="1">
      <c r="A3502" s="1" t="s">
        <v>3539</v>
      </c>
      <c r="B3502" s="1" t="s">
        <v>24</v>
      </c>
      <c r="C3502" s="1">
        <v>0.0</v>
      </c>
      <c r="D3502" s="1" t="s">
        <v>25</v>
      </c>
      <c r="E3502" s="1" t="s">
        <v>26</v>
      </c>
      <c r="F3502" s="1">
        <v>58.0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1">
        <v>94.3</v>
      </c>
      <c r="T3502" s="1">
        <v>5610.15</v>
      </c>
      <c r="U3502" s="1">
        <v>0.0</v>
      </c>
      <c r="V3502" s="1">
        <v>0.0</v>
      </c>
      <c r="W3502" s="1" t="s">
        <v>26</v>
      </c>
    </row>
    <row r="3503" ht="15.75" customHeight="1">
      <c r="A3503" s="1" t="s">
        <v>3540</v>
      </c>
      <c r="B3503" s="1" t="s">
        <v>24</v>
      </c>
      <c r="C3503" s="1">
        <v>0.0</v>
      </c>
      <c r="D3503" s="1" t="s">
        <v>25</v>
      </c>
      <c r="E3503" s="1" t="s">
        <v>25</v>
      </c>
      <c r="F3503" s="1">
        <v>59.0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1">
        <v>76.45</v>
      </c>
      <c r="T3503" s="1">
        <v>4519.5</v>
      </c>
      <c r="U3503" s="1">
        <v>0.0</v>
      </c>
      <c r="V3503" s="1">
        <v>0.0</v>
      </c>
      <c r="W3503" s="1" t="s">
        <v>26</v>
      </c>
    </row>
    <row r="3504" ht="15.75" customHeight="1">
      <c r="A3504" s="1" t="s">
        <v>3541</v>
      </c>
      <c r="B3504" s="1" t="s">
        <v>32</v>
      </c>
      <c r="C3504" s="1">
        <v>0.0</v>
      </c>
      <c r="D3504" s="1" t="s">
        <v>26</v>
      </c>
      <c r="E3504" s="1" t="s">
        <v>26</v>
      </c>
      <c r="F3504" s="1">
        <v>44.0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1">
        <v>54.0</v>
      </c>
      <c r="T3504" s="1">
        <v>2440.25</v>
      </c>
      <c r="U3504" s="1">
        <v>0.0</v>
      </c>
      <c r="V3504" s="1">
        <v>0.0</v>
      </c>
      <c r="W3504" s="1" t="s">
        <v>26</v>
      </c>
    </row>
    <row r="3505" ht="15.75" customHeight="1">
      <c r="A3505" s="1" t="s">
        <v>3542</v>
      </c>
      <c r="B3505" s="1" t="s">
        <v>32</v>
      </c>
      <c r="C3505" s="1">
        <v>0.0</v>
      </c>
      <c r="D3505" s="1" t="s">
        <v>26</v>
      </c>
      <c r="E3505" s="1" t="s">
        <v>26</v>
      </c>
      <c r="F3505" s="1">
        <v>66.0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1">
        <v>104.25</v>
      </c>
      <c r="T3505" s="1">
        <v>6860.6</v>
      </c>
      <c r="U3505" s="1">
        <v>0.0</v>
      </c>
      <c r="V3505" s="1">
        <v>0.0</v>
      </c>
      <c r="W3505" s="1" t="s">
        <v>26</v>
      </c>
    </row>
    <row r="3506" ht="15.75" customHeight="1">
      <c r="A3506" s="1" t="s">
        <v>3543</v>
      </c>
      <c r="B3506" s="1" t="s">
        <v>32</v>
      </c>
      <c r="C3506" s="1">
        <v>0.0</v>
      </c>
      <c r="D3506" s="1" t="s">
        <v>25</v>
      </c>
      <c r="E3506" s="1" t="s">
        <v>25</v>
      </c>
      <c r="F3506" s="1">
        <v>68.0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1">
        <v>19.95</v>
      </c>
      <c r="T3506" s="1">
        <v>1377.7</v>
      </c>
      <c r="U3506" s="1">
        <v>0.0</v>
      </c>
      <c r="V3506" s="1">
        <v>0.0</v>
      </c>
      <c r="W3506" s="1" t="s">
        <v>26</v>
      </c>
    </row>
    <row r="3507" ht="15.75" customHeight="1">
      <c r="A3507" s="1" t="s">
        <v>3544</v>
      </c>
      <c r="B3507" s="1" t="s">
        <v>32</v>
      </c>
      <c r="C3507" s="1">
        <v>0.0</v>
      </c>
      <c r="D3507" s="1" t="s">
        <v>26</v>
      </c>
      <c r="E3507" s="1" t="s">
        <v>26</v>
      </c>
      <c r="F3507" s="1">
        <v>9.0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1">
        <v>24.95</v>
      </c>
      <c r="T3507" s="1">
        <v>190.25</v>
      </c>
      <c r="U3507" s="1">
        <v>5.0</v>
      </c>
      <c r="V3507" s="1">
        <v>0.0</v>
      </c>
      <c r="W3507" s="1" t="s">
        <v>26</v>
      </c>
    </row>
    <row r="3508" ht="15.75" customHeight="1">
      <c r="A3508" s="1" t="s">
        <v>3545</v>
      </c>
      <c r="B3508" s="1" t="s">
        <v>32</v>
      </c>
      <c r="C3508" s="1">
        <v>0.0</v>
      </c>
      <c r="D3508" s="1" t="s">
        <v>26</v>
      </c>
      <c r="E3508" s="1" t="s">
        <v>26</v>
      </c>
      <c r="F3508" s="1">
        <v>19.0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1">
        <v>84.75</v>
      </c>
      <c r="T3508" s="1">
        <v>1651.95</v>
      </c>
      <c r="U3508" s="1">
        <v>0.0</v>
      </c>
      <c r="V3508" s="1">
        <v>0.0</v>
      </c>
      <c r="W3508" s="1" t="s">
        <v>26</v>
      </c>
    </row>
    <row r="3509" ht="15.75" customHeight="1">
      <c r="A3509" s="1" t="s">
        <v>3546</v>
      </c>
      <c r="B3509" s="1" t="s">
        <v>32</v>
      </c>
      <c r="C3509" s="1">
        <v>0.0</v>
      </c>
      <c r="D3509" s="1" t="s">
        <v>26</v>
      </c>
      <c r="E3509" s="1" t="s">
        <v>26</v>
      </c>
      <c r="F3509" s="1">
        <v>4.0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1">
        <v>19.75</v>
      </c>
      <c r="T3509" s="1">
        <v>78.3</v>
      </c>
      <c r="U3509" s="1">
        <v>1.0</v>
      </c>
      <c r="V3509" s="1">
        <v>0.0</v>
      </c>
      <c r="W3509" s="1" t="s">
        <v>26</v>
      </c>
    </row>
    <row r="3510" ht="15.75" customHeight="1">
      <c r="A3510" s="1" t="s">
        <v>3547</v>
      </c>
      <c r="B3510" s="1" t="s">
        <v>24</v>
      </c>
      <c r="C3510" s="1">
        <v>0.0</v>
      </c>
      <c r="D3510" s="1" t="s">
        <v>26</v>
      </c>
      <c r="E3510" s="1" t="s">
        <v>26</v>
      </c>
      <c r="F3510" s="1">
        <v>70.0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1">
        <v>113.65</v>
      </c>
      <c r="T3510" s="1">
        <v>7939.25</v>
      </c>
      <c r="U3510" s="1">
        <v>0.0</v>
      </c>
      <c r="V3510" s="1">
        <v>0.0</v>
      </c>
      <c r="W3510" s="1" t="s">
        <v>26</v>
      </c>
    </row>
    <row r="3511" ht="15.75" customHeight="1">
      <c r="A3511" s="1" t="s">
        <v>3548</v>
      </c>
      <c r="B3511" s="1" t="s">
        <v>32</v>
      </c>
      <c r="C3511" s="1">
        <v>0.0</v>
      </c>
      <c r="D3511" s="1" t="s">
        <v>26</v>
      </c>
      <c r="E3511" s="1" t="s">
        <v>26</v>
      </c>
      <c r="F3511" s="1">
        <v>1.0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1">
        <v>44.9</v>
      </c>
      <c r="T3511" s="1">
        <v>44.9</v>
      </c>
      <c r="U3511" s="1">
        <v>4.0</v>
      </c>
      <c r="V3511" s="1">
        <v>0.0</v>
      </c>
      <c r="W3511" s="1" t="s">
        <v>26</v>
      </c>
    </row>
    <row r="3512" ht="15.75" customHeight="1">
      <c r="A3512" s="1" t="s">
        <v>3549</v>
      </c>
      <c r="B3512" s="1" t="s">
        <v>24</v>
      </c>
      <c r="C3512" s="1">
        <v>0.0</v>
      </c>
      <c r="D3512" s="1" t="s">
        <v>26</v>
      </c>
      <c r="E3512" s="1" t="s">
        <v>26</v>
      </c>
      <c r="F3512" s="1">
        <v>8.0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1">
        <v>75.25</v>
      </c>
      <c r="T3512" s="1">
        <v>576.7</v>
      </c>
      <c r="U3512" s="1">
        <v>1.0</v>
      </c>
      <c r="V3512" s="1">
        <v>0.0</v>
      </c>
      <c r="W3512" s="1" t="s">
        <v>26</v>
      </c>
    </row>
    <row r="3513" ht="15.75" customHeight="1">
      <c r="A3513" s="1" t="s">
        <v>3550</v>
      </c>
      <c r="B3513" s="1" t="s">
        <v>32</v>
      </c>
      <c r="C3513" s="1">
        <v>0.0</v>
      </c>
      <c r="D3513" s="1" t="s">
        <v>26</v>
      </c>
      <c r="E3513" s="1" t="s">
        <v>26</v>
      </c>
      <c r="F3513" s="1">
        <v>53.0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1">
        <v>24.6</v>
      </c>
      <c r="T3513" s="1">
        <v>1279.0</v>
      </c>
      <c r="U3513" s="1">
        <v>0.0</v>
      </c>
      <c r="V3513" s="1">
        <v>0.0</v>
      </c>
      <c r="W3513" s="1" t="s">
        <v>26</v>
      </c>
    </row>
    <row r="3514" ht="15.75" customHeight="1">
      <c r="A3514" s="1" t="s">
        <v>3551</v>
      </c>
      <c r="B3514" s="1" t="s">
        <v>32</v>
      </c>
      <c r="C3514" s="1">
        <v>1.0</v>
      </c>
      <c r="D3514" s="1" t="s">
        <v>26</v>
      </c>
      <c r="E3514" s="1" t="s">
        <v>26</v>
      </c>
      <c r="F3514" s="1">
        <v>51.0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1">
        <v>25.0</v>
      </c>
      <c r="T3514" s="1">
        <v>1260.7</v>
      </c>
      <c r="U3514" s="1">
        <v>0.0</v>
      </c>
      <c r="V3514" s="1">
        <v>0.0</v>
      </c>
      <c r="W3514" s="1" t="s">
        <v>26</v>
      </c>
    </row>
    <row r="3515" ht="15.75" customHeight="1">
      <c r="A3515" s="1" t="s">
        <v>3552</v>
      </c>
      <c r="B3515" s="1" t="s">
        <v>32</v>
      </c>
      <c r="C3515" s="1">
        <v>0.0</v>
      </c>
      <c r="D3515" s="1" t="s">
        <v>25</v>
      </c>
      <c r="E3515" s="1" t="s">
        <v>25</v>
      </c>
      <c r="F3515" s="1">
        <v>11.0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1">
        <v>20.95</v>
      </c>
      <c r="T3515" s="1">
        <v>267.35</v>
      </c>
      <c r="U3515" s="1">
        <v>0.0</v>
      </c>
      <c r="V3515" s="1">
        <v>0.0</v>
      </c>
      <c r="W3515" s="1" t="s">
        <v>26</v>
      </c>
    </row>
    <row r="3516" ht="15.75" customHeight="1">
      <c r="A3516" s="1" t="s">
        <v>3553</v>
      </c>
      <c r="B3516" s="1" t="s">
        <v>32</v>
      </c>
      <c r="C3516" s="1">
        <v>0.0</v>
      </c>
      <c r="D3516" s="1" t="s">
        <v>25</v>
      </c>
      <c r="E3516" s="1" t="s">
        <v>25</v>
      </c>
      <c r="F3516" s="1">
        <v>60.0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1">
        <v>110.6</v>
      </c>
      <c r="T3516" s="1">
        <v>6586.85</v>
      </c>
      <c r="U3516" s="1">
        <v>0.0</v>
      </c>
      <c r="V3516" s="1">
        <v>0.0</v>
      </c>
      <c r="W3516" s="1" t="s">
        <v>26</v>
      </c>
    </row>
    <row r="3517" ht="15.75" customHeight="1">
      <c r="A3517" s="1" t="s">
        <v>3554</v>
      </c>
      <c r="B3517" s="1" t="s">
        <v>32</v>
      </c>
      <c r="C3517" s="1">
        <v>0.0</v>
      </c>
      <c r="D3517" s="1" t="s">
        <v>26</v>
      </c>
      <c r="E3517" s="1" t="s">
        <v>26</v>
      </c>
      <c r="F3517" s="1">
        <v>17.0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1">
        <v>55.5</v>
      </c>
      <c r="T3517" s="1">
        <v>934.15</v>
      </c>
      <c r="U3517" s="1">
        <v>2.0</v>
      </c>
      <c r="V3517" s="1">
        <v>0.0</v>
      </c>
      <c r="W3517" s="1" t="s">
        <v>26</v>
      </c>
    </row>
    <row r="3518" ht="15.75" customHeight="1">
      <c r="A3518" s="1" t="s">
        <v>3555</v>
      </c>
      <c r="B3518" s="1" t="s">
        <v>32</v>
      </c>
      <c r="C3518" s="1">
        <v>0.0</v>
      </c>
      <c r="D3518" s="1" t="s">
        <v>26</v>
      </c>
      <c r="E3518" s="1" t="s">
        <v>26</v>
      </c>
      <c r="F3518" s="1">
        <v>3.0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1">
        <v>43.3</v>
      </c>
      <c r="T3518" s="1">
        <v>123.65</v>
      </c>
      <c r="U3518" s="1">
        <v>0.0</v>
      </c>
      <c r="V3518" s="1">
        <v>0.0</v>
      </c>
      <c r="W3518" s="1" t="s">
        <v>25</v>
      </c>
    </row>
    <row r="3519" ht="15.75" customHeight="1">
      <c r="A3519" s="1" t="s">
        <v>3556</v>
      </c>
      <c r="B3519" s="1" t="s">
        <v>32</v>
      </c>
      <c r="C3519" s="1">
        <v>0.0</v>
      </c>
      <c r="D3519" s="1" t="s">
        <v>25</v>
      </c>
      <c r="E3519" s="1" t="s">
        <v>26</v>
      </c>
      <c r="F3519" s="1">
        <v>70.0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1">
        <v>109.5</v>
      </c>
      <c r="T3519" s="1">
        <v>7534.65</v>
      </c>
      <c r="U3519" s="1">
        <v>0.0</v>
      </c>
      <c r="V3519" s="1">
        <v>5.0</v>
      </c>
      <c r="W3519" s="1" t="s">
        <v>25</v>
      </c>
    </row>
    <row r="3520" ht="15.75" customHeight="1">
      <c r="A3520" s="1" t="s">
        <v>3557</v>
      </c>
      <c r="B3520" s="1" t="s">
        <v>32</v>
      </c>
      <c r="C3520" s="1">
        <v>0.0</v>
      </c>
      <c r="D3520" s="1" t="s">
        <v>26</v>
      </c>
      <c r="E3520" s="1" t="s">
        <v>26</v>
      </c>
      <c r="F3520" s="1">
        <v>1.0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1">
        <v>19.45</v>
      </c>
      <c r="T3520" s="1">
        <v>19.45</v>
      </c>
      <c r="U3520" s="1">
        <v>2.0</v>
      </c>
      <c r="V3520" s="1">
        <v>0.0</v>
      </c>
      <c r="W3520" s="1" t="s">
        <v>26</v>
      </c>
    </row>
    <row r="3521" ht="15.75" customHeight="1">
      <c r="A3521" s="1" t="s">
        <v>3558</v>
      </c>
      <c r="B3521" s="1" t="s">
        <v>32</v>
      </c>
      <c r="C3521" s="1">
        <v>1.0</v>
      </c>
      <c r="D3521" s="1" t="s">
        <v>26</v>
      </c>
      <c r="E3521" s="1" t="s">
        <v>26</v>
      </c>
      <c r="F3521" s="1">
        <v>43.0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1">
        <v>84.85</v>
      </c>
      <c r="T3521" s="1">
        <v>3645.6</v>
      </c>
      <c r="U3521" s="1">
        <v>0.0</v>
      </c>
      <c r="V3521" s="1">
        <v>0.0</v>
      </c>
      <c r="W3521" s="1" t="s">
        <v>26</v>
      </c>
    </row>
    <row r="3522" ht="15.75" customHeight="1">
      <c r="A3522" s="1" t="s">
        <v>3559</v>
      </c>
      <c r="B3522" s="1" t="s">
        <v>24</v>
      </c>
      <c r="C3522" s="1">
        <v>0.0</v>
      </c>
      <c r="D3522" s="1" t="s">
        <v>25</v>
      </c>
      <c r="E3522" s="1" t="s">
        <v>26</v>
      </c>
      <c r="F3522" s="1">
        <v>16.0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1">
        <v>19.6</v>
      </c>
      <c r="T3522" s="1">
        <v>314.45</v>
      </c>
      <c r="U3522" s="1">
        <v>0.0</v>
      </c>
      <c r="V3522" s="1">
        <v>0.0</v>
      </c>
      <c r="W3522" s="1" t="s">
        <v>26</v>
      </c>
    </row>
    <row r="3523" ht="15.75" customHeight="1">
      <c r="A3523" s="1" t="s">
        <v>3560</v>
      </c>
      <c r="B3523" s="1" t="s">
        <v>24</v>
      </c>
      <c r="C3523" s="1">
        <v>0.0</v>
      </c>
      <c r="D3523" s="1" t="s">
        <v>25</v>
      </c>
      <c r="E3523" s="1" t="s">
        <v>25</v>
      </c>
      <c r="F3523" s="1">
        <v>57.0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1">
        <v>53.45</v>
      </c>
      <c r="T3523" s="1">
        <v>3053.0</v>
      </c>
      <c r="U3523" s="1">
        <v>0.0</v>
      </c>
      <c r="V3523" s="1">
        <v>0.0</v>
      </c>
      <c r="W3523" s="1" t="s">
        <v>26</v>
      </c>
    </row>
    <row r="3524" ht="15.75" customHeight="1">
      <c r="A3524" s="1" t="s">
        <v>3561</v>
      </c>
      <c r="B3524" s="1" t="s">
        <v>32</v>
      </c>
      <c r="C3524" s="1">
        <v>0.0</v>
      </c>
      <c r="D3524" s="1" t="s">
        <v>25</v>
      </c>
      <c r="E3524" s="1" t="s">
        <v>25</v>
      </c>
      <c r="F3524" s="1">
        <v>37.0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1">
        <v>19.8</v>
      </c>
      <c r="T3524" s="1">
        <v>677.05</v>
      </c>
      <c r="U3524" s="1">
        <v>0.0</v>
      </c>
      <c r="V3524" s="1">
        <v>0.0</v>
      </c>
      <c r="W3524" s="1" t="s">
        <v>26</v>
      </c>
    </row>
    <row r="3525" ht="15.75" customHeight="1">
      <c r="A3525" s="1" t="s">
        <v>3562</v>
      </c>
      <c r="B3525" s="1" t="s">
        <v>24</v>
      </c>
      <c r="C3525" s="1">
        <v>0.0</v>
      </c>
      <c r="D3525" s="1" t="s">
        <v>25</v>
      </c>
      <c r="E3525" s="1" t="s">
        <v>26</v>
      </c>
      <c r="F3525" s="1">
        <v>72.0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1">
        <v>112.1</v>
      </c>
      <c r="T3525" s="1">
        <v>7965.95</v>
      </c>
      <c r="U3525" s="1">
        <v>3.0</v>
      </c>
      <c r="V3525" s="1">
        <v>0.0</v>
      </c>
      <c r="W3525" s="1" t="s">
        <v>26</v>
      </c>
    </row>
    <row r="3526" ht="15.75" customHeight="1">
      <c r="A3526" s="1" t="s">
        <v>3563</v>
      </c>
      <c r="B3526" s="1" t="s">
        <v>24</v>
      </c>
      <c r="C3526" s="1">
        <v>1.0</v>
      </c>
      <c r="D3526" s="1" t="s">
        <v>26</v>
      </c>
      <c r="E3526" s="1" t="s">
        <v>26</v>
      </c>
      <c r="F3526" s="1">
        <v>11.0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1">
        <v>84.8</v>
      </c>
      <c r="T3526" s="1">
        <v>906.85</v>
      </c>
      <c r="U3526" s="1">
        <v>0.0</v>
      </c>
      <c r="V3526" s="1">
        <v>0.0</v>
      </c>
      <c r="W3526" s="1" t="s">
        <v>25</v>
      </c>
    </row>
    <row r="3527" ht="15.75" customHeight="1">
      <c r="A3527" s="1" t="s">
        <v>3564</v>
      </c>
      <c r="B3527" s="1" t="s">
        <v>24</v>
      </c>
      <c r="C3527" s="1">
        <v>1.0</v>
      </c>
      <c r="D3527" s="1" t="s">
        <v>25</v>
      </c>
      <c r="E3527" s="1" t="s">
        <v>26</v>
      </c>
      <c r="F3527" s="1">
        <v>50.0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1">
        <v>95.05</v>
      </c>
      <c r="T3527" s="1">
        <v>4888.7</v>
      </c>
      <c r="U3527" s="1">
        <v>4.0</v>
      </c>
      <c r="V3527" s="1">
        <v>4.0</v>
      </c>
      <c r="W3527" s="1" t="s">
        <v>25</v>
      </c>
    </row>
    <row r="3528" ht="15.75" customHeight="1">
      <c r="A3528" s="1" t="s">
        <v>3565</v>
      </c>
      <c r="B3528" s="1" t="s">
        <v>32</v>
      </c>
      <c r="C3528" s="1">
        <v>1.0</v>
      </c>
      <c r="D3528" s="1" t="s">
        <v>26</v>
      </c>
      <c r="E3528" s="1" t="s">
        <v>26</v>
      </c>
      <c r="F3528" s="1">
        <v>5.0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1">
        <v>50.35</v>
      </c>
      <c r="T3528" s="1">
        <v>237.25</v>
      </c>
      <c r="U3528" s="1">
        <v>0.0</v>
      </c>
      <c r="V3528" s="1">
        <v>0.0</v>
      </c>
      <c r="W3528" s="1" t="s">
        <v>25</v>
      </c>
    </row>
    <row r="3529" ht="15.75" customHeight="1">
      <c r="A3529" s="1" t="s">
        <v>3566</v>
      </c>
      <c r="B3529" s="1" t="s">
        <v>32</v>
      </c>
      <c r="C3529" s="1">
        <v>0.0</v>
      </c>
      <c r="D3529" s="1" t="s">
        <v>25</v>
      </c>
      <c r="E3529" s="1" t="s">
        <v>26</v>
      </c>
      <c r="F3529" s="1">
        <v>1.0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1">
        <v>74.6</v>
      </c>
      <c r="T3529" s="1">
        <v>74.6</v>
      </c>
      <c r="U3529" s="1">
        <v>0.0</v>
      </c>
      <c r="V3529" s="1">
        <v>0.0</v>
      </c>
      <c r="W3529" s="1" t="s">
        <v>25</v>
      </c>
    </row>
    <row r="3530" ht="15.75" customHeight="1">
      <c r="A3530" s="1" t="s">
        <v>3567</v>
      </c>
      <c r="B3530" s="1" t="s">
        <v>32</v>
      </c>
      <c r="C3530" s="1">
        <v>0.0</v>
      </c>
      <c r="D3530" s="1" t="s">
        <v>26</v>
      </c>
      <c r="E3530" s="1" t="s">
        <v>26</v>
      </c>
      <c r="F3530" s="1">
        <v>16.0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1">
        <v>19.7</v>
      </c>
      <c r="T3530" s="1">
        <v>342.4</v>
      </c>
      <c r="U3530" s="1">
        <v>0.0</v>
      </c>
      <c r="V3530" s="1">
        <v>0.0</v>
      </c>
      <c r="W3530" s="1" t="s">
        <v>25</v>
      </c>
    </row>
    <row r="3531" ht="15.75" customHeight="1">
      <c r="A3531" s="1" t="s">
        <v>3568</v>
      </c>
      <c r="B3531" s="1" t="s">
        <v>32</v>
      </c>
      <c r="C3531" s="1">
        <v>1.0</v>
      </c>
      <c r="D3531" s="1" t="s">
        <v>25</v>
      </c>
      <c r="E3531" s="1" t="s">
        <v>26</v>
      </c>
      <c r="F3531" s="1">
        <v>2.0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1">
        <v>74.2</v>
      </c>
      <c r="T3531" s="1">
        <v>140.1</v>
      </c>
      <c r="U3531" s="1">
        <v>0.0</v>
      </c>
      <c r="V3531" s="1">
        <v>0.0</v>
      </c>
      <c r="W3531" s="1" t="s">
        <v>26</v>
      </c>
    </row>
    <row r="3532" ht="15.75" customHeight="1">
      <c r="A3532" s="1" t="s">
        <v>3569</v>
      </c>
      <c r="B3532" s="1" t="s">
        <v>24</v>
      </c>
      <c r="C3532" s="1">
        <v>0.0</v>
      </c>
      <c r="D3532" s="1" t="s">
        <v>26</v>
      </c>
      <c r="E3532" s="1" t="s">
        <v>26</v>
      </c>
      <c r="F3532" s="1">
        <v>17.0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1">
        <v>69.0</v>
      </c>
      <c r="T3532" s="1">
        <v>1108.0</v>
      </c>
      <c r="U3532" s="1">
        <v>0.0</v>
      </c>
      <c r="V3532" s="1">
        <v>0.0</v>
      </c>
      <c r="W3532" s="1" t="s">
        <v>26</v>
      </c>
    </row>
    <row r="3533" ht="15.75" customHeight="1">
      <c r="A3533" s="1" t="s">
        <v>3570</v>
      </c>
      <c r="B3533" s="1" t="s">
        <v>24</v>
      </c>
      <c r="C3533" s="1">
        <v>0.0</v>
      </c>
      <c r="D3533" s="1" t="s">
        <v>26</v>
      </c>
      <c r="E3533" s="1" t="s">
        <v>26</v>
      </c>
      <c r="F3533" s="1">
        <v>16.0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1">
        <v>19.35</v>
      </c>
      <c r="T3533" s="1">
        <v>295.55</v>
      </c>
      <c r="U3533" s="1">
        <v>3.0</v>
      </c>
      <c r="V3533" s="1">
        <v>0.0</v>
      </c>
      <c r="W3533" s="1" t="s">
        <v>26</v>
      </c>
    </row>
    <row r="3534" ht="15.75" customHeight="1">
      <c r="A3534" s="1" t="s">
        <v>3571</v>
      </c>
      <c r="B3534" s="1" t="s">
        <v>24</v>
      </c>
      <c r="C3534" s="1">
        <v>0.0</v>
      </c>
      <c r="D3534" s="1" t="s">
        <v>26</v>
      </c>
      <c r="E3534" s="1" t="s">
        <v>26</v>
      </c>
      <c r="F3534" s="1">
        <v>15.0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1">
        <v>59.45</v>
      </c>
      <c r="T3534" s="1">
        <v>892.65</v>
      </c>
      <c r="U3534" s="1">
        <v>0.0</v>
      </c>
      <c r="V3534" s="1">
        <v>1.0</v>
      </c>
      <c r="W3534" s="1" t="s">
        <v>25</v>
      </c>
    </row>
    <row r="3535" ht="15.75" customHeight="1">
      <c r="A3535" s="1" t="s">
        <v>3572</v>
      </c>
      <c r="B3535" s="1" t="s">
        <v>24</v>
      </c>
      <c r="C3535" s="1">
        <v>0.0</v>
      </c>
      <c r="D3535" s="1" t="s">
        <v>26</v>
      </c>
      <c r="E3535" s="1" t="s">
        <v>26</v>
      </c>
      <c r="F3535" s="1">
        <v>10.0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1">
        <v>19.8</v>
      </c>
      <c r="T3535" s="1">
        <v>198.25</v>
      </c>
      <c r="U3535" s="1">
        <v>0.0</v>
      </c>
      <c r="V3535" s="1">
        <v>0.0</v>
      </c>
      <c r="W3535" s="1" t="s">
        <v>26</v>
      </c>
    </row>
    <row r="3536" ht="15.75" customHeight="1">
      <c r="A3536" s="1" t="s">
        <v>3573</v>
      </c>
      <c r="B3536" s="1" t="s">
        <v>24</v>
      </c>
      <c r="C3536" s="1">
        <v>0.0</v>
      </c>
      <c r="D3536" s="1" t="s">
        <v>26</v>
      </c>
      <c r="E3536" s="1" t="s">
        <v>25</v>
      </c>
      <c r="F3536" s="1">
        <v>46.0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1">
        <v>105.2</v>
      </c>
      <c r="T3536" s="1">
        <v>4822.85</v>
      </c>
      <c r="U3536" s="1">
        <v>0.0</v>
      </c>
      <c r="V3536" s="1">
        <v>4.0</v>
      </c>
      <c r="W3536" s="1" t="s">
        <v>25</v>
      </c>
    </row>
    <row r="3537" ht="15.75" customHeight="1">
      <c r="A3537" s="1" t="s">
        <v>3574</v>
      </c>
      <c r="B3537" s="1" t="s">
        <v>32</v>
      </c>
      <c r="C3537" s="1">
        <v>0.0</v>
      </c>
      <c r="D3537" s="1" t="s">
        <v>25</v>
      </c>
      <c r="E3537" s="1" t="s">
        <v>25</v>
      </c>
      <c r="F3537" s="1">
        <v>64.0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1">
        <v>109.2</v>
      </c>
      <c r="T3537" s="1">
        <v>6741.15</v>
      </c>
      <c r="U3537" s="1">
        <v>0.0</v>
      </c>
      <c r="V3537" s="1">
        <v>0.0</v>
      </c>
      <c r="W3537" s="1" t="s">
        <v>26</v>
      </c>
    </row>
    <row r="3538" ht="15.75" customHeight="1">
      <c r="A3538" s="1" t="s">
        <v>3575</v>
      </c>
      <c r="B3538" s="1" t="s">
        <v>24</v>
      </c>
      <c r="C3538" s="1">
        <v>0.0</v>
      </c>
      <c r="D3538" s="1" t="s">
        <v>26</v>
      </c>
      <c r="E3538" s="1" t="s">
        <v>26</v>
      </c>
      <c r="F3538" s="1">
        <v>1.0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1">
        <v>79.15</v>
      </c>
      <c r="T3538" s="1">
        <v>79.15</v>
      </c>
      <c r="U3538" s="1">
        <v>5.0</v>
      </c>
      <c r="V3538" s="1">
        <v>0.0</v>
      </c>
      <c r="W3538" s="1" t="s">
        <v>26</v>
      </c>
    </row>
    <row r="3539" ht="15.75" customHeight="1">
      <c r="A3539" s="1" t="s">
        <v>3576</v>
      </c>
      <c r="B3539" s="1" t="s">
        <v>32</v>
      </c>
      <c r="C3539" s="1">
        <v>0.0</v>
      </c>
      <c r="D3539" s="1" t="s">
        <v>25</v>
      </c>
      <c r="E3539" s="1" t="s">
        <v>25</v>
      </c>
      <c r="F3539" s="1">
        <v>25.0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1">
        <v>53.65</v>
      </c>
      <c r="T3539" s="1">
        <v>1355.45</v>
      </c>
      <c r="U3539" s="1">
        <v>5.0</v>
      </c>
      <c r="V3539" s="1">
        <v>0.0</v>
      </c>
      <c r="W3539" s="1" t="s">
        <v>26</v>
      </c>
    </row>
    <row r="3540" ht="15.75" customHeight="1">
      <c r="A3540" s="1" t="s">
        <v>3577</v>
      </c>
      <c r="B3540" s="1" t="s">
        <v>32</v>
      </c>
      <c r="C3540" s="1">
        <v>0.0</v>
      </c>
      <c r="D3540" s="1" t="s">
        <v>25</v>
      </c>
      <c r="E3540" s="1" t="s">
        <v>25</v>
      </c>
      <c r="F3540" s="1">
        <v>71.0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1">
        <v>100.2</v>
      </c>
      <c r="T3540" s="1">
        <v>7209.0</v>
      </c>
      <c r="U3540" s="1">
        <v>0.0</v>
      </c>
      <c r="V3540" s="1">
        <v>0.0</v>
      </c>
      <c r="W3540" s="1" t="s">
        <v>26</v>
      </c>
    </row>
    <row r="3541" ht="15.75" customHeight="1">
      <c r="A3541" s="1" t="s">
        <v>3578</v>
      </c>
      <c r="B3541" s="1" t="s">
        <v>32</v>
      </c>
      <c r="C3541" s="1">
        <v>0.0</v>
      </c>
      <c r="D3541" s="1" t="s">
        <v>26</v>
      </c>
      <c r="E3541" s="1" t="s">
        <v>26</v>
      </c>
      <c r="F3541" s="1">
        <v>8.0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1">
        <v>45.15</v>
      </c>
      <c r="T3541" s="1">
        <v>438.4</v>
      </c>
      <c r="U3541" s="1">
        <v>4.0</v>
      </c>
      <c r="V3541" s="1">
        <v>0.0</v>
      </c>
      <c r="W3541" s="1" t="s">
        <v>25</v>
      </c>
    </row>
    <row r="3542" ht="15.75" customHeight="1">
      <c r="A3542" s="1" t="s">
        <v>3579</v>
      </c>
      <c r="B3542" s="1" t="s">
        <v>24</v>
      </c>
      <c r="C3542" s="1">
        <v>0.0</v>
      </c>
      <c r="D3542" s="1" t="s">
        <v>25</v>
      </c>
      <c r="E3542" s="1" t="s">
        <v>25</v>
      </c>
      <c r="F3542" s="1">
        <v>72.0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1">
        <v>108.65</v>
      </c>
      <c r="T3542" s="1">
        <v>7726.35</v>
      </c>
      <c r="U3542" s="1">
        <v>0.0</v>
      </c>
      <c r="V3542" s="1">
        <v>0.0</v>
      </c>
      <c r="W3542" s="1" t="s">
        <v>26</v>
      </c>
    </row>
    <row r="3543" ht="15.75" customHeight="1">
      <c r="A3543" s="1" t="s">
        <v>3580</v>
      </c>
      <c r="B3543" s="1" t="s">
        <v>24</v>
      </c>
      <c r="C3543" s="1">
        <v>0.0</v>
      </c>
      <c r="D3543" s="1" t="s">
        <v>25</v>
      </c>
      <c r="E3543" s="1" t="s">
        <v>26</v>
      </c>
      <c r="F3543" s="1">
        <v>49.0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1">
        <v>40.65</v>
      </c>
      <c r="T3543" s="1">
        <v>2070.75</v>
      </c>
      <c r="U3543" s="1">
        <v>0.0</v>
      </c>
      <c r="V3543" s="1">
        <v>0.0</v>
      </c>
      <c r="W3543" s="1" t="s">
        <v>26</v>
      </c>
    </row>
    <row r="3544" ht="15.75" customHeight="1">
      <c r="A3544" s="1" t="s">
        <v>3581</v>
      </c>
      <c r="B3544" s="1" t="s">
        <v>32</v>
      </c>
      <c r="C3544" s="1">
        <v>0.0</v>
      </c>
      <c r="D3544" s="1" t="s">
        <v>25</v>
      </c>
      <c r="E3544" s="1" t="s">
        <v>25</v>
      </c>
      <c r="F3544" s="1">
        <v>29.0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1">
        <v>55.35</v>
      </c>
      <c r="T3544" s="1">
        <v>1636.95</v>
      </c>
      <c r="U3544" s="1">
        <v>0.0</v>
      </c>
      <c r="V3544" s="1">
        <v>0.0</v>
      </c>
      <c r="W3544" s="1" t="s">
        <v>26</v>
      </c>
    </row>
    <row r="3545" ht="15.75" customHeight="1">
      <c r="A3545" s="1" t="s">
        <v>3582</v>
      </c>
      <c r="B3545" s="1" t="s">
        <v>32</v>
      </c>
      <c r="C3545" s="1">
        <v>0.0</v>
      </c>
      <c r="D3545" s="1" t="s">
        <v>25</v>
      </c>
      <c r="E3545" s="1" t="s">
        <v>26</v>
      </c>
      <c r="F3545" s="1">
        <v>72.0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1">
        <v>105.6</v>
      </c>
      <c r="T3545" s="1">
        <v>7581.5</v>
      </c>
      <c r="U3545" s="1">
        <v>0.0</v>
      </c>
      <c r="V3545" s="1">
        <v>0.0</v>
      </c>
      <c r="W3545" s="1" t="s">
        <v>26</v>
      </c>
    </row>
    <row r="3546" ht="15.75" customHeight="1">
      <c r="A3546" s="1" t="s">
        <v>3583</v>
      </c>
      <c r="B3546" s="1" t="s">
        <v>32</v>
      </c>
      <c r="C3546" s="1">
        <v>0.0</v>
      </c>
      <c r="D3546" s="1" t="s">
        <v>25</v>
      </c>
      <c r="E3546" s="1" t="s">
        <v>26</v>
      </c>
      <c r="F3546" s="1">
        <v>31.0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1">
        <v>93.8</v>
      </c>
      <c r="T3546" s="1">
        <v>3019.5</v>
      </c>
      <c r="U3546" s="1">
        <v>0.0</v>
      </c>
      <c r="V3546" s="1">
        <v>3.0</v>
      </c>
      <c r="W3546" s="1" t="s">
        <v>25</v>
      </c>
    </row>
    <row r="3547" ht="15.75" customHeight="1">
      <c r="A3547" s="1" t="s">
        <v>3584</v>
      </c>
      <c r="B3547" s="1" t="s">
        <v>24</v>
      </c>
      <c r="C3547" s="1">
        <v>0.0</v>
      </c>
      <c r="D3547" s="1" t="s">
        <v>26</v>
      </c>
      <c r="E3547" s="1" t="s">
        <v>26</v>
      </c>
      <c r="F3547" s="1">
        <v>50.0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1">
        <v>95.7</v>
      </c>
      <c r="T3547" s="1">
        <v>4729.75</v>
      </c>
      <c r="U3547" s="1">
        <v>0.0</v>
      </c>
      <c r="V3547" s="1">
        <v>0.0</v>
      </c>
      <c r="W3547" s="1" t="s">
        <v>26</v>
      </c>
    </row>
    <row r="3548" ht="15.75" customHeight="1">
      <c r="A3548" s="1" t="s">
        <v>3585</v>
      </c>
      <c r="B3548" s="1" t="s">
        <v>32</v>
      </c>
      <c r="C3548" s="1">
        <v>0.0</v>
      </c>
      <c r="D3548" s="1" t="s">
        <v>25</v>
      </c>
      <c r="E3548" s="1" t="s">
        <v>26</v>
      </c>
      <c r="F3548" s="1">
        <v>71.0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1">
        <v>83.2</v>
      </c>
      <c r="T3548" s="1">
        <v>6126.1</v>
      </c>
      <c r="U3548" s="1">
        <v>0.0</v>
      </c>
      <c r="V3548" s="1">
        <v>0.0</v>
      </c>
      <c r="W3548" s="1" t="s">
        <v>26</v>
      </c>
    </row>
    <row r="3549" ht="15.75" customHeight="1">
      <c r="A3549" s="1" t="s">
        <v>3586</v>
      </c>
      <c r="B3549" s="1" t="s">
        <v>32</v>
      </c>
      <c r="C3549" s="1">
        <v>1.0</v>
      </c>
      <c r="D3549" s="1" t="s">
        <v>25</v>
      </c>
      <c r="E3549" s="1" t="s">
        <v>26</v>
      </c>
      <c r="F3549" s="1">
        <v>70.0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1">
        <v>90.05</v>
      </c>
      <c r="T3549" s="1">
        <v>6333.4</v>
      </c>
      <c r="U3549" s="1">
        <v>0.0</v>
      </c>
      <c r="V3549" s="1">
        <v>0.0</v>
      </c>
      <c r="W3549" s="1" t="s">
        <v>26</v>
      </c>
    </row>
    <row r="3550" ht="15.75" customHeight="1">
      <c r="A3550" s="1" t="s">
        <v>3587</v>
      </c>
      <c r="B3550" s="1" t="s">
        <v>32</v>
      </c>
      <c r="C3550" s="1">
        <v>0.0</v>
      </c>
      <c r="D3550" s="1" t="s">
        <v>26</v>
      </c>
      <c r="E3550" s="1" t="s">
        <v>26</v>
      </c>
      <c r="F3550" s="1">
        <v>71.0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1">
        <v>97.65</v>
      </c>
      <c r="T3550" s="1">
        <v>6687.85</v>
      </c>
      <c r="U3550" s="1">
        <v>0.0</v>
      </c>
      <c r="V3550" s="1">
        <v>0.0</v>
      </c>
      <c r="W3550" s="1" t="s">
        <v>26</v>
      </c>
    </row>
    <row r="3551" ht="15.75" customHeight="1">
      <c r="A3551" s="1" t="s">
        <v>3588</v>
      </c>
      <c r="B3551" s="1" t="s">
        <v>32</v>
      </c>
      <c r="C3551" s="1">
        <v>0.0</v>
      </c>
      <c r="D3551" s="1" t="s">
        <v>25</v>
      </c>
      <c r="E3551" s="1" t="s">
        <v>25</v>
      </c>
      <c r="F3551" s="1">
        <v>61.0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1">
        <v>68.05</v>
      </c>
      <c r="T3551" s="1">
        <v>4158.25</v>
      </c>
      <c r="U3551" s="1">
        <v>0.0</v>
      </c>
      <c r="V3551" s="1">
        <v>0.0</v>
      </c>
      <c r="W3551" s="1" t="s">
        <v>26</v>
      </c>
    </row>
    <row r="3552" ht="15.75" customHeight="1">
      <c r="A3552" s="1" t="s">
        <v>3589</v>
      </c>
      <c r="B3552" s="1" t="s">
        <v>32</v>
      </c>
      <c r="C3552" s="1">
        <v>0.0</v>
      </c>
      <c r="D3552" s="1" t="s">
        <v>26</v>
      </c>
      <c r="E3552" s="1" t="s">
        <v>26</v>
      </c>
      <c r="F3552" s="1">
        <v>32.0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1">
        <v>96.2</v>
      </c>
      <c r="T3552" s="1">
        <v>3183.4</v>
      </c>
      <c r="U3552" s="1">
        <v>1.0</v>
      </c>
      <c r="V3552" s="1">
        <v>3.0</v>
      </c>
      <c r="W3552" s="1" t="s">
        <v>25</v>
      </c>
    </row>
    <row r="3553" ht="15.75" customHeight="1">
      <c r="A3553" s="1" t="s">
        <v>3590</v>
      </c>
      <c r="B3553" s="1" t="s">
        <v>24</v>
      </c>
      <c r="C3553" s="1">
        <v>0.0</v>
      </c>
      <c r="D3553" s="1" t="s">
        <v>26</v>
      </c>
      <c r="E3553" s="1" t="s">
        <v>25</v>
      </c>
      <c r="F3553" s="1">
        <v>1.0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1">
        <v>79.6</v>
      </c>
      <c r="T3553" s="1">
        <v>79.6</v>
      </c>
      <c r="U3553" s="1">
        <v>0.0</v>
      </c>
      <c r="V3553" s="1">
        <v>0.0</v>
      </c>
      <c r="W3553" s="1" t="s">
        <v>25</v>
      </c>
    </row>
    <row r="3554" ht="15.75" customHeight="1">
      <c r="A3554" s="1" t="s">
        <v>3591</v>
      </c>
      <c r="B3554" s="1" t="s">
        <v>32</v>
      </c>
      <c r="C3554" s="1">
        <v>0.0</v>
      </c>
      <c r="D3554" s="1" t="s">
        <v>26</v>
      </c>
      <c r="E3554" s="1" t="s">
        <v>26</v>
      </c>
      <c r="F3554" s="1">
        <v>68.0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1">
        <v>102.1</v>
      </c>
      <c r="T3554" s="1">
        <v>7149.35</v>
      </c>
      <c r="U3554" s="1">
        <v>0.0</v>
      </c>
      <c r="V3554" s="1">
        <v>0.0</v>
      </c>
      <c r="W3554" s="1" t="s">
        <v>26</v>
      </c>
    </row>
    <row r="3555" ht="15.75" customHeight="1">
      <c r="A3555" s="1" t="s">
        <v>3592</v>
      </c>
      <c r="B3555" s="1" t="s">
        <v>32</v>
      </c>
      <c r="C3555" s="1">
        <v>0.0</v>
      </c>
      <c r="D3555" s="1" t="s">
        <v>26</v>
      </c>
      <c r="E3555" s="1" t="s">
        <v>26</v>
      </c>
      <c r="F3555" s="1">
        <v>62.0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1">
        <v>23.4</v>
      </c>
      <c r="T3555" s="1">
        <v>1429.65</v>
      </c>
      <c r="U3555" s="1">
        <v>0.0</v>
      </c>
      <c r="V3555" s="1">
        <v>0.0</v>
      </c>
      <c r="W3555" s="1" t="s">
        <v>26</v>
      </c>
    </row>
    <row r="3556" ht="15.75" customHeight="1">
      <c r="A3556" s="1" t="s">
        <v>3593</v>
      </c>
      <c r="B3556" s="1" t="s">
        <v>24</v>
      </c>
      <c r="C3556" s="1">
        <v>0.0</v>
      </c>
      <c r="D3556" s="1" t="s">
        <v>26</v>
      </c>
      <c r="E3556" s="1" t="s">
        <v>25</v>
      </c>
      <c r="F3556" s="1">
        <v>7.0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1">
        <v>71.05</v>
      </c>
      <c r="T3556" s="1">
        <v>472.65</v>
      </c>
      <c r="U3556" s="1">
        <v>0.0</v>
      </c>
      <c r="V3556" s="1">
        <v>0.0</v>
      </c>
      <c r="W3556" s="1" t="s">
        <v>26</v>
      </c>
    </row>
    <row r="3557" ht="15.75" customHeight="1">
      <c r="A3557" s="1" t="s">
        <v>3594</v>
      </c>
      <c r="B3557" s="1" t="s">
        <v>32</v>
      </c>
      <c r="C3557" s="1">
        <v>0.0</v>
      </c>
      <c r="D3557" s="1" t="s">
        <v>26</v>
      </c>
      <c r="E3557" s="1" t="s">
        <v>26</v>
      </c>
      <c r="F3557" s="1">
        <v>20.0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1">
        <v>85.25</v>
      </c>
      <c r="T3557" s="1">
        <v>1734.5</v>
      </c>
      <c r="U3557" s="1">
        <v>0.0</v>
      </c>
      <c r="V3557" s="1">
        <v>0.0</v>
      </c>
      <c r="W3557" s="1" t="s">
        <v>25</v>
      </c>
    </row>
    <row r="3558" ht="15.75" customHeight="1">
      <c r="A3558" s="1" t="s">
        <v>3595</v>
      </c>
      <c r="B3558" s="1" t="s">
        <v>32</v>
      </c>
      <c r="C3558" s="1">
        <v>0.0</v>
      </c>
      <c r="D3558" s="1" t="s">
        <v>25</v>
      </c>
      <c r="E3558" s="1" t="s">
        <v>25</v>
      </c>
      <c r="F3558" s="1">
        <v>6.0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1">
        <v>19.45</v>
      </c>
      <c r="T3558" s="1">
        <v>113.5</v>
      </c>
      <c r="U3558" s="1">
        <v>0.0</v>
      </c>
      <c r="V3558" s="1">
        <v>0.0</v>
      </c>
      <c r="W3558" s="1" t="s">
        <v>26</v>
      </c>
    </row>
    <row r="3559" ht="15.75" customHeight="1">
      <c r="A3559" s="1" t="s">
        <v>3596</v>
      </c>
      <c r="B3559" s="1" t="s">
        <v>24</v>
      </c>
      <c r="C3559" s="1">
        <v>1.0</v>
      </c>
      <c r="D3559" s="1" t="s">
        <v>26</v>
      </c>
      <c r="E3559" s="1" t="s">
        <v>26</v>
      </c>
      <c r="F3559" s="1">
        <v>33.0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1">
        <v>59.45</v>
      </c>
      <c r="T3559" s="1">
        <v>1884.65</v>
      </c>
      <c r="U3559" s="1">
        <v>0.0</v>
      </c>
      <c r="V3559" s="1">
        <v>2.0</v>
      </c>
      <c r="W3559" s="1" t="s">
        <v>26</v>
      </c>
    </row>
    <row r="3560" ht="15.75" customHeight="1">
      <c r="A3560" s="1" t="s">
        <v>3597</v>
      </c>
      <c r="B3560" s="1" t="s">
        <v>32</v>
      </c>
      <c r="C3560" s="1">
        <v>0.0</v>
      </c>
      <c r="D3560" s="1" t="s">
        <v>25</v>
      </c>
      <c r="E3560" s="1" t="s">
        <v>25</v>
      </c>
      <c r="F3560" s="1">
        <v>28.0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1">
        <v>92.2</v>
      </c>
      <c r="T3560" s="1">
        <v>2568.15</v>
      </c>
      <c r="U3560" s="1">
        <v>0.0</v>
      </c>
      <c r="V3560" s="1">
        <v>0.0</v>
      </c>
      <c r="W3560" s="1" t="s">
        <v>26</v>
      </c>
    </row>
    <row r="3561" ht="15.75" customHeight="1">
      <c r="A3561" s="1" t="s">
        <v>3598</v>
      </c>
      <c r="B3561" s="1" t="s">
        <v>32</v>
      </c>
      <c r="C3561" s="1">
        <v>0.0</v>
      </c>
      <c r="D3561" s="1" t="s">
        <v>26</v>
      </c>
      <c r="E3561" s="1" t="s">
        <v>26</v>
      </c>
      <c r="F3561" s="1">
        <v>27.0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1">
        <v>19.85</v>
      </c>
      <c r="T3561" s="1">
        <v>470.0</v>
      </c>
      <c r="U3561" s="1">
        <v>0.0</v>
      </c>
      <c r="V3561" s="1">
        <v>0.0</v>
      </c>
      <c r="W3561" s="1" t="s">
        <v>26</v>
      </c>
    </row>
    <row r="3562" ht="15.75" customHeight="1">
      <c r="A3562" s="1" t="s">
        <v>3599</v>
      </c>
      <c r="B3562" s="1" t="s">
        <v>32</v>
      </c>
      <c r="C3562" s="1">
        <v>0.0</v>
      </c>
      <c r="D3562" s="1" t="s">
        <v>26</v>
      </c>
      <c r="E3562" s="1" t="s">
        <v>26</v>
      </c>
      <c r="F3562" s="1">
        <v>7.0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1">
        <v>43.9</v>
      </c>
      <c r="T3562" s="1">
        <v>278.4</v>
      </c>
      <c r="U3562" s="1">
        <v>0.0</v>
      </c>
      <c r="V3562" s="1">
        <v>0.0</v>
      </c>
      <c r="W3562" s="1" t="s">
        <v>26</v>
      </c>
    </row>
    <row r="3563" ht="15.75" customHeight="1">
      <c r="A3563" s="1" t="s">
        <v>3600</v>
      </c>
      <c r="B3563" s="1" t="s">
        <v>32</v>
      </c>
      <c r="C3563" s="1">
        <v>0.0</v>
      </c>
      <c r="D3563" s="1" t="s">
        <v>26</v>
      </c>
      <c r="E3563" s="1" t="s">
        <v>26</v>
      </c>
      <c r="F3563" s="1">
        <v>26.0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1">
        <v>80.5</v>
      </c>
      <c r="T3563" s="1">
        <v>2088.8</v>
      </c>
      <c r="U3563" s="1">
        <v>0.0</v>
      </c>
      <c r="V3563" s="1">
        <v>0.0</v>
      </c>
      <c r="W3563" s="1" t="s">
        <v>25</v>
      </c>
    </row>
    <row r="3564" ht="15.75" customHeight="1">
      <c r="A3564" s="1" t="s">
        <v>3601</v>
      </c>
      <c r="B3564" s="1" t="s">
        <v>32</v>
      </c>
      <c r="C3564" s="1">
        <v>1.0</v>
      </c>
      <c r="D3564" s="1" t="s">
        <v>26</v>
      </c>
      <c r="E3564" s="1" t="s">
        <v>26</v>
      </c>
      <c r="F3564" s="1">
        <v>5.0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1">
        <v>89.8</v>
      </c>
      <c r="T3564" s="1">
        <v>502.6</v>
      </c>
      <c r="U3564" s="1">
        <v>0.0</v>
      </c>
      <c r="V3564" s="1">
        <v>0.0</v>
      </c>
      <c r="W3564" s="1" t="s">
        <v>25</v>
      </c>
    </row>
    <row r="3565" ht="15.75" customHeight="1">
      <c r="A3565" s="1" t="s">
        <v>3602</v>
      </c>
      <c r="B3565" s="1" t="s">
        <v>32</v>
      </c>
      <c r="C3565" s="1">
        <v>1.0</v>
      </c>
      <c r="D3565" s="1" t="s">
        <v>26</v>
      </c>
      <c r="E3565" s="1" t="s">
        <v>26</v>
      </c>
      <c r="F3565" s="1">
        <v>30.0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1">
        <v>90.5</v>
      </c>
      <c r="T3565" s="1">
        <v>2595.85</v>
      </c>
      <c r="U3565" s="1">
        <v>0.0</v>
      </c>
      <c r="V3565" s="1">
        <v>2.0</v>
      </c>
      <c r="W3565" s="1" t="s">
        <v>26</v>
      </c>
    </row>
    <row r="3566" ht="15.75" customHeight="1">
      <c r="A3566" s="1" t="s">
        <v>3603</v>
      </c>
      <c r="B3566" s="1" t="s">
        <v>32</v>
      </c>
      <c r="C3566" s="1">
        <v>0.0</v>
      </c>
      <c r="D3566" s="1" t="s">
        <v>26</v>
      </c>
      <c r="E3566" s="1" t="s">
        <v>26</v>
      </c>
      <c r="F3566" s="1">
        <v>63.0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1">
        <v>90.45</v>
      </c>
      <c r="T3566" s="1">
        <v>5825.5</v>
      </c>
      <c r="U3566" s="1">
        <v>0.0</v>
      </c>
      <c r="V3566" s="1">
        <v>0.0</v>
      </c>
      <c r="W3566" s="1" t="s">
        <v>26</v>
      </c>
    </row>
    <row r="3567" ht="15.75" customHeight="1">
      <c r="A3567" s="1" t="s">
        <v>3604</v>
      </c>
      <c r="B3567" s="1" t="s">
        <v>32</v>
      </c>
      <c r="C3567" s="1">
        <v>0.0</v>
      </c>
      <c r="D3567" s="1" t="s">
        <v>26</v>
      </c>
      <c r="E3567" s="1" t="s">
        <v>26</v>
      </c>
      <c r="F3567" s="1">
        <v>1.0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1">
        <v>50.75</v>
      </c>
      <c r="T3567" s="1">
        <v>50.75</v>
      </c>
      <c r="U3567" s="1">
        <v>0.0</v>
      </c>
      <c r="V3567" s="1">
        <v>0.0</v>
      </c>
      <c r="W3567" s="1" t="s">
        <v>25</v>
      </c>
    </row>
    <row r="3568" ht="15.75" customHeight="1">
      <c r="A3568" s="1" t="s">
        <v>3605</v>
      </c>
      <c r="B3568" s="1" t="s">
        <v>24</v>
      </c>
      <c r="C3568" s="1">
        <v>0.0</v>
      </c>
      <c r="D3568" s="1" t="s">
        <v>26</v>
      </c>
      <c r="E3568" s="1" t="s">
        <v>25</v>
      </c>
      <c r="F3568" s="1">
        <v>53.0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1">
        <v>84.6</v>
      </c>
      <c r="T3568" s="1">
        <v>4449.75</v>
      </c>
      <c r="U3568" s="1">
        <v>0.0</v>
      </c>
      <c r="V3568" s="1">
        <v>0.0</v>
      </c>
      <c r="W3568" s="1" t="s">
        <v>26</v>
      </c>
    </row>
    <row r="3569" ht="15.75" customHeight="1">
      <c r="A3569" s="1" t="s">
        <v>3606</v>
      </c>
      <c r="B3569" s="1" t="s">
        <v>24</v>
      </c>
      <c r="C3569" s="1">
        <v>0.0</v>
      </c>
      <c r="D3569" s="1" t="s">
        <v>25</v>
      </c>
      <c r="E3569" s="1" t="s">
        <v>25</v>
      </c>
      <c r="F3569" s="1">
        <v>14.0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1">
        <v>89.65</v>
      </c>
      <c r="T3569" s="1">
        <v>1208.35</v>
      </c>
      <c r="U3569" s="1">
        <v>0.0</v>
      </c>
      <c r="V3569" s="1">
        <v>0.0</v>
      </c>
      <c r="W3569" s="1" t="s">
        <v>25</v>
      </c>
    </row>
    <row r="3570" ht="15.75" customHeight="1">
      <c r="A3570" s="1" t="s">
        <v>3607</v>
      </c>
      <c r="B3570" s="1" t="s">
        <v>24</v>
      </c>
      <c r="C3570" s="1">
        <v>0.0</v>
      </c>
      <c r="D3570" s="1" t="s">
        <v>26</v>
      </c>
      <c r="E3570" s="1" t="s">
        <v>26</v>
      </c>
      <c r="F3570" s="1">
        <v>21.0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1">
        <v>99.15</v>
      </c>
      <c r="T3570" s="1">
        <v>1956.4</v>
      </c>
      <c r="U3570" s="1">
        <v>0.0</v>
      </c>
      <c r="V3570" s="1">
        <v>0.0</v>
      </c>
      <c r="W3570" s="1" t="s">
        <v>26</v>
      </c>
    </row>
    <row r="3571" ht="15.75" customHeight="1">
      <c r="A3571" s="1" t="s">
        <v>3608</v>
      </c>
      <c r="B3571" s="1" t="s">
        <v>32</v>
      </c>
      <c r="C3571" s="1">
        <v>0.0</v>
      </c>
      <c r="D3571" s="1" t="s">
        <v>26</v>
      </c>
      <c r="E3571" s="1" t="s">
        <v>26</v>
      </c>
      <c r="F3571" s="1">
        <v>17.0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1">
        <v>19.95</v>
      </c>
      <c r="T3571" s="1">
        <v>310.6</v>
      </c>
      <c r="U3571" s="1">
        <v>0.0</v>
      </c>
      <c r="V3571" s="1">
        <v>0.0</v>
      </c>
      <c r="W3571" s="1" t="s">
        <v>26</v>
      </c>
    </row>
    <row r="3572" ht="15.75" customHeight="1">
      <c r="A3572" s="1" t="s">
        <v>3609</v>
      </c>
      <c r="B3572" s="1" t="s">
        <v>32</v>
      </c>
      <c r="C3572" s="1">
        <v>0.0</v>
      </c>
      <c r="D3572" s="1" t="s">
        <v>25</v>
      </c>
      <c r="E3572" s="1" t="s">
        <v>25</v>
      </c>
      <c r="F3572" s="1">
        <v>16.0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1">
        <v>20.5</v>
      </c>
      <c r="T3572" s="1">
        <v>290.55</v>
      </c>
      <c r="U3572" s="1">
        <v>0.0</v>
      </c>
      <c r="V3572" s="1">
        <v>0.0</v>
      </c>
      <c r="W3572" s="1" t="s">
        <v>26</v>
      </c>
    </row>
    <row r="3573" ht="15.75" customHeight="1">
      <c r="A3573" s="1" t="s">
        <v>3610</v>
      </c>
      <c r="B3573" s="1" t="s">
        <v>24</v>
      </c>
      <c r="C3573" s="1">
        <v>0.0</v>
      </c>
      <c r="D3573" s="1" t="s">
        <v>26</v>
      </c>
      <c r="E3573" s="1" t="s">
        <v>26</v>
      </c>
      <c r="F3573" s="1">
        <v>35.0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1">
        <v>62.1</v>
      </c>
      <c r="T3573" s="1">
        <v>2096.1</v>
      </c>
      <c r="U3573" s="1">
        <v>0.0</v>
      </c>
      <c r="V3573" s="1">
        <v>0.0</v>
      </c>
      <c r="W3573" s="1" t="s">
        <v>26</v>
      </c>
    </row>
    <row r="3574" ht="15.75" customHeight="1">
      <c r="A3574" s="1" t="s">
        <v>3611</v>
      </c>
      <c r="B3574" s="1" t="s">
        <v>24</v>
      </c>
      <c r="C3574" s="1">
        <v>1.0</v>
      </c>
      <c r="D3574" s="1" t="s">
        <v>26</v>
      </c>
      <c r="E3574" s="1" t="s">
        <v>26</v>
      </c>
      <c r="F3574" s="1">
        <v>32.0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1">
        <v>79.5</v>
      </c>
      <c r="T3574" s="1">
        <v>2665.0</v>
      </c>
      <c r="U3574" s="1">
        <v>0.0</v>
      </c>
      <c r="V3574" s="1">
        <v>0.0</v>
      </c>
      <c r="W3574" s="1" t="s">
        <v>26</v>
      </c>
    </row>
    <row r="3575" ht="15.75" customHeight="1">
      <c r="A3575" s="1" t="s">
        <v>3612</v>
      </c>
      <c r="B3575" s="1" t="s">
        <v>24</v>
      </c>
      <c r="C3575" s="1">
        <v>0.0</v>
      </c>
      <c r="D3575" s="1" t="s">
        <v>25</v>
      </c>
      <c r="E3575" s="1" t="s">
        <v>25</v>
      </c>
      <c r="F3575" s="1">
        <v>28.0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1">
        <v>19.55</v>
      </c>
      <c r="T3575" s="1">
        <v>543.8</v>
      </c>
      <c r="U3575" s="1">
        <v>5.0</v>
      </c>
      <c r="V3575" s="1">
        <v>0.0</v>
      </c>
      <c r="W3575" s="1" t="s">
        <v>26</v>
      </c>
    </row>
    <row r="3576" ht="15.75" customHeight="1">
      <c r="A3576" s="1" t="s">
        <v>3613</v>
      </c>
      <c r="B3576" s="1" t="s">
        <v>24</v>
      </c>
      <c r="C3576" s="1">
        <v>0.0</v>
      </c>
      <c r="D3576" s="1" t="s">
        <v>26</v>
      </c>
      <c r="E3576" s="1" t="s">
        <v>26</v>
      </c>
      <c r="F3576" s="1">
        <v>1.0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1">
        <v>20.35</v>
      </c>
      <c r="T3576" s="1">
        <v>20.35</v>
      </c>
      <c r="U3576" s="1">
        <v>0.0</v>
      </c>
      <c r="V3576" s="1">
        <v>0.0</v>
      </c>
      <c r="W3576" s="1" t="s">
        <v>26</v>
      </c>
    </row>
    <row r="3577" ht="15.75" customHeight="1">
      <c r="A3577" s="1" t="s">
        <v>3614</v>
      </c>
      <c r="B3577" s="1" t="s">
        <v>32</v>
      </c>
      <c r="C3577" s="1">
        <v>0.0</v>
      </c>
      <c r="D3577" s="1" t="s">
        <v>26</v>
      </c>
      <c r="E3577" s="1" t="s">
        <v>26</v>
      </c>
      <c r="F3577" s="1">
        <v>59.0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1">
        <v>51.7</v>
      </c>
      <c r="T3577" s="1">
        <v>3005.8</v>
      </c>
      <c r="U3577" s="1">
        <v>0.0</v>
      </c>
      <c r="V3577" s="1">
        <v>0.0</v>
      </c>
      <c r="W3577" s="1" t="s">
        <v>26</v>
      </c>
    </row>
    <row r="3578" ht="15.75" customHeight="1">
      <c r="A3578" s="1" t="s">
        <v>3615</v>
      </c>
      <c r="B3578" s="1" t="s">
        <v>24</v>
      </c>
      <c r="C3578" s="1">
        <v>0.0</v>
      </c>
      <c r="D3578" s="1" t="s">
        <v>25</v>
      </c>
      <c r="E3578" s="1" t="s">
        <v>25</v>
      </c>
      <c r="F3578" s="1">
        <v>72.0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1">
        <v>23.3</v>
      </c>
      <c r="T3578" s="1">
        <v>1623.15</v>
      </c>
      <c r="U3578" s="1">
        <v>0.0</v>
      </c>
      <c r="V3578" s="1">
        <v>0.0</v>
      </c>
      <c r="W3578" s="1" t="s">
        <v>26</v>
      </c>
    </row>
    <row r="3579" ht="15.75" customHeight="1">
      <c r="A3579" s="1" t="s">
        <v>3616</v>
      </c>
      <c r="B3579" s="1" t="s">
        <v>32</v>
      </c>
      <c r="C3579" s="1">
        <v>0.0</v>
      </c>
      <c r="D3579" s="1" t="s">
        <v>26</v>
      </c>
      <c r="E3579" s="1" t="s">
        <v>26</v>
      </c>
      <c r="F3579" s="1">
        <v>36.0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1">
        <v>65.4</v>
      </c>
      <c r="T3579" s="1">
        <v>2498.4</v>
      </c>
      <c r="U3579" s="1">
        <v>0.0</v>
      </c>
      <c r="V3579" s="1">
        <v>3.0</v>
      </c>
      <c r="W3579" s="1" t="s">
        <v>25</v>
      </c>
    </row>
    <row r="3580" ht="15.75" customHeight="1">
      <c r="A3580" s="1" t="s">
        <v>3617</v>
      </c>
      <c r="B3580" s="1" t="s">
        <v>24</v>
      </c>
      <c r="C3580" s="1">
        <v>0.0</v>
      </c>
      <c r="D3580" s="1" t="s">
        <v>26</v>
      </c>
      <c r="E3580" s="1" t="s">
        <v>26</v>
      </c>
      <c r="F3580" s="1">
        <v>40.0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1">
        <v>65.1</v>
      </c>
      <c r="T3580" s="1">
        <v>2586.0</v>
      </c>
      <c r="U3580" s="1">
        <v>0.0</v>
      </c>
      <c r="V3580" s="1">
        <v>0.0</v>
      </c>
      <c r="W3580" s="1" t="s">
        <v>26</v>
      </c>
    </row>
    <row r="3581" ht="15.75" customHeight="1">
      <c r="A3581" s="1" t="s">
        <v>3618</v>
      </c>
      <c r="B3581" s="1" t="s">
        <v>32</v>
      </c>
      <c r="C3581" s="1">
        <v>0.0</v>
      </c>
      <c r="D3581" s="1" t="s">
        <v>25</v>
      </c>
      <c r="E3581" s="1" t="s">
        <v>25</v>
      </c>
      <c r="F3581" s="1">
        <v>40.0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1">
        <v>81.2</v>
      </c>
      <c r="T3581" s="1">
        <v>3292.3</v>
      </c>
      <c r="U3581" s="1">
        <v>0.0</v>
      </c>
      <c r="V3581" s="1">
        <v>0.0</v>
      </c>
      <c r="W3581" s="1" t="s">
        <v>26</v>
      </c>
    </row>
    <row r="3582" ht="15.75" customHeight="1">
      <c r="A3582" s="1" t="s">
        <v>3619</v>
      </c>
      <c r="B3582" s="1" t="s">
        <v>24</v>
      </c>
      <c r="C3582" s="1">
        <v>0.0</v>
      </c>
      <c r="D3582" s="1" t="s">
        <v>26</v>
      </c>
      <c r="E3582" s="1" t="s">
        <v>25</v>
      </c>
      <c r="F3582" s="1">
        <v>9.0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1">
        <v>72.9</v>
      </c>
      <c r="T3582" s="1">
        <v>651.4</v>
      </c>
      <c r="U3582" s="1">
        <v>4.0</v>
      </c>
      <c r="V3582" s="1">
        <v>0.0</v>
      </c>
      <c r="W3582" s="1" t="s">
        <v>25</v>
      </c>
    </row>
    <row r="3583" ht="15.75" customHeight="1">
      <c r="A3583" s="1" t="s">
        <v>3620</v>
      </c>
      <c r="B3583" s="1" t="s">
        <v>32</v>
      </c>
      <c r="C3583" s="1">
        <v>0.0</v>
      </c>
      <c r="D3583" s="1" t="s">
        <v>25</v>
      </c>
      <c r="E3583" s="1" t="s">
        <v>25</v>
      </c>
      <c r="F3583" s="1">
        <v>63.0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1">
        <v>74.5</v>
      </c>
      <c r="T3583" s="1">
        <v>4674.55</v>
      </c>
      <c r="U3583" s="1">
        <v>0.0</v>
      </c>
      <c r="V3583" s="1">
        <v>0.0</v>
      </c>
      <c r="W3583" s="1" t="s">
        <v>26</v>
      </c>
    </row>
    <row r="3584" ht="15.75" customHeight="1">
      <c r="A3584" s="1" t="s">
        <v>3621</v>
      </c>
      <c r="B3584" s="1" t="s">
        <v>24</v>
      </c>
      <c r="C3584" s="1">
        <v>0.0</v>
      </c>
      <c r="D3584" s="1" t="s">
        <v>26</v>
      </c>
      <c r="E3584" s="1" t="s">
        <v>26</v>
      </c>
      <c r="F3584" s="1">
        <v>3.0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1">
        <v>80.5</v>
      </c>
      <c r="T3584" s="1">
        <v>232.35</v>
      </c>
      <c r="U3584" s="1">
        <v>5.0</v>
      </c>
      <c r="V3584" s="1">
        <v>0.0</v>
      </c>
      <c r="W3584" s="1" t="s">
        <v>26</v>
      </c>
    </row>
    <row r="3585" ht="15.75" customHeight="1">
      <c r="A3585" s="1" t="s">
        <v>3622</v>
      </c>
      <c r="B3585" s="1" t="s">
        <v>32</v>
      </c>
      <c r="C3585" s="1">
        <v>0.0</v>
      </c>
      <c r="D3585" s="1" t="s">
        <v>25</v>
      </c>
      <c r="E3585" s="1" t="s">
        <v>25</v>
      </c>
      <c r="F3585" s="1">
        <v>40.0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1">
        <v>60.3</v>
      </c>
      <c r="T3585" s="1">
        <v>2448.5</v>
      </c>
      <c r="U3585" s="1">
        <v>0.0</v>
      </c>
      <c r="V3585" s="1">
        <v>0.0</v>
      </c>
      <c r="W3585" s="1" t="s">
        <v>26</v>
      </c>
    </row>
    <row r="3586" ht="15.75" customHeight="1">
      <c r="A3586" s="1" t="s">
        <v>3623</v>
      </c>
      <c r="B3586" s="1" t="s">
        <v>32</v>
      </c>
      <c r="C3586" s="1">
        <v>0.0</v>
      </c>
      <c r="D3586" s="1" t="s">
        <v>25</v>
      </c>
      <c r="E3586" s="1" t="s">
        <v>26</v>
      </c>
      <c r="F3586" s="1">
        <v>8.0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1">
        <v>75.0</v>
      </c>
      <c r="T3586" s="1">
        <v>658.1</v>
      </c>
      <c r="U3586" s="1">
        <v>4.0</v>
      </c>
      <c r="V3586" s="1">
        <v>0.0</v>
      </c>
      <c r="W3586" s="1" t="s">
        <v>26</v>
      </c>
    </row>
    <row r="3587" ht="15.75" customHeight="1">
      <c r="A3587" s="1" t="s">
        <v>3624</v>
      </c>
      <c r="B3587" s="1" t="s">
        <v>32</v>
      </c>
      <c r="C3587" s="1">
        <v>1.0</v>
      </c>
      <c r="D3587" s="1" t="s">
        <v>25</v>
      </c>
      <c r="E3587" s="1" t="s">
        <v>26</v>
      </c>
      <c r="F3587" s="1">
        <v>34.0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1">
        <v>90.15</v>
      </c>
      <c r="T3587" s="1">
        <v>3128.8</v>
      </c>
      <c r="U3587" s="1">
        <v>0.0</v>
      </c>
      <c r="V3587" s="1">
        <v>0.0</v>
      </c>
      <c r="W3587" s="1" t="s">
        <v>26</v>
      </c>
    </row>
    <row r="3588" ht="15.75" customHeight="1">
      <c r="A3588" s="1" t="s">
        <v>3625</v>
      </c>
      <c r="B3588" s="1" t="s">
        <v>32</v>
      </c>
      <c r="C3588" s="1">
        <v>0.0</v>
      </c>
      <c r="D3588" s="1" t="s">
        <v>26</v>
      </c>
      <c r="E3588" s="1" t="s">
        <v>26</v>
      </c>
      <c r="F3588" s="1">
        <v>5.0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1">
        <v>40.0</v>
      </c>
      <c r="T3588" s="1">
        <v>223.45</v>
      </c>
      <c r="U3588" s="1">
        <v>0.0</v>
      </c>
      <c r="V3588" s="1">
        <v>1.0</v>
      </c>
      <c r="W3588" s="1" t="s">
        <v>25</v>
      </c>
    </row>
    <row r="3589" ht="15.75" customHeight="1">
      <c r="A3589" s="1" t="s">
        <v>3626</v>
      </c>
      <c r="B3589" s="1" t="s">
        <v>32</v>
      </c>
      <c r="C3589" s="1">
        <v>1.0</v>
      </c>
      <c r="D3589" s="1" t="s">
        <v>26</v>
      </c>
      <c r="E3589" s="1" t="s">
        <v>26</v>
      </c>
      <c r="F3589" s="1">
        <v>9.0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1">
        <v>99.45</v>
      </c>
      <c r="T3589" s="1">
        <v>919.4</v>
      </c>
      <c r="U3589" s="1">
        <v>0.0</v>
      </c>
      <c r="V3589" s="1">
        <v>0.0</v>
      </c>
      <c r="W3589" s="1" t="s">
        <v>25</v>
      </c>
    </row>
    <row r="3590" ht="15.75" customHeight="1">
      <c r="A3590" s="1" t="s">
        <v>3627</v>
      </c>
      <c r="B3590" s="1" t="s">
        <v>32</v>
      </c>
      <c r="C3590" s="1">
        <v>0.0</v>
      </c>
      <c r="D3590" s="1" t="s">
        <v>25</v>
      </c>
      <c r="E3590" s="1" t="s">
        <v>26</v>
      </c>
      <c r="F3590" s="1">
        <v>9.0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1">
        <v>69.05</v>
      </c>
      <c r="T3590" s="1">
        <v>653.95</v>
      </c>
      <c r="U3590" s="1">
        <v>0.0</v>
      </c>
      <c r="V3590" s="1">
        <v>0.0</v>
      </c>
      <c r="W3590" s="1" t="s">
        <v>26</v>
      </c>
    </row>
    <row r="3591" ht="15.75" customHeight="1">
      <c r="A3591" s="1" t="s">
        <v>3628</v>
      </c>
      <c r="B3591" s="1" t="s">
        <v>32</v>
      </c>
      <c r="C3591" s="1">
        <v>0.0</v>
      </c>
      <c r="D3591" s="1" t="s">
        <v>25</v>
      </c>
      <c r="E3591" s="1" t="s">
        <v>25</v>
      </c>
      <c r="F3591" s="1">
        <v>31.0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1">
        <v>59.7</v>
      </c>
      <c r="T3591" s="1">
        <v>1825.5</v>
      </c>
      <c r="U3591" s="1">
        <v>0.0</v>
      </c>
      <c r="V3591" s="1">
        <v>0.0</v>
      </c>
      <c r="W3591" s="1" t="s">
        <v>26</v>
      </c>
    </row>
    <row r="3592" ht="15.75" customHeight="1">
      <c r="A3592" s="1" t="s">
        <v>3629</v>
      </c>
      <c r="B3592" s="1" t="s">
        <v>24</v>
      </c>
      <c r="C3592" s="1">
        <v>0.0</v>
      </c>
      <c r="D3592" s="1" t="s">
        <v>25</v>
      </c>
      <c r="E3592" s="1" t="s">
        <v>26</v>
      </c>
      <c r="F3592" s="1">
        <v>50.0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1">
        <v>19.85</v>
      </c>
      <c r="T3592" s="1">
        <v>943.1</v>
      </c>
      <c r="U3592" s="1">
        <v>1.0</v>
      </c>
      <c r="V3592" s="1">
        <v>0.0</v>
      </c>
      <c r="W3592" s="1" t="s">
        <v>26</v>
      </c>
    </row>
    <row r="3593" ht="15.75" customHeight="1">
      <c r="A3593" s="1" t="s">
        <v>3630</v>
      </c>
      <c r="B3593" s="1" t="s">
        <v>24</v>
      </c>
      <c r="C3593" s="1">
        <v>0.0</v>
      </c>
      <c r="D3593" s="1" t="s">
        <v>26</v>
      </c>
      <c r="E3593" s="1" t="s">
        <v>26</v>
      </c>
      <c r="F3593" s="1">
        <v>2.0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1">
        <v>86.25</v>
      </c>
      <c r="T3593" s="1">
        <v>181.65</v>
      </c>
      <c r="U3593" s="1">
        <v>0.0</v>
      </c>
      <c r="V3593" s="1">
        <v>0.0</v>
      </c>
      <c r="W3593" s="1" t="s">
        <v>25</v>
      </c>
    </row>
    <row r="3594" ht="15.75" customHeight="1">
      <c r="A3594" s="1" t="s">
        <v>3631</v>
      </c>
      <c r="B3594" s="1" t="s">
        <v>24</v>
      </c>
      <c r="C3594" s="1">
        <v>0.0</v>
      </c>
      <c r="D3594" s="1" t="s">
        <v>26</v>
      </c>
      <c r="E3594" s="1" t="s">
        <v>26</v>
      </c>
      <c r="F3594" s="1">
        <v>1.0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1">
        <v>45.65</v>
      </c>
      <c r="T3594" s="1">
        <v>45.65</v>
      </c>
      <c r="U3594" s="1">
        <v>0.0</v>
      </c>
      <c r="V3594" s="1">
        <v>0.0</v>
      </c>
      <c r="W3594" s="1" t="s">
        <v>25</v>
      </c>
    </row>
    <row r="3595" ht="15.75" customHeight="1">
      <c r="A3595" s="1" t="s">
        <v>3632</v>
      </c>
      <c r="B3595" s="1" t="s">
        <v>32</v>
      </c>
      <c r="C3595" s="1">
        <v>0.0</v>
      </c>
      <c r="D3595" s="1" t="s">
        <v>26</v>
      </c>
      <c r="E3595" s="1" t="s">
        <v>26</v>
      </c>
      <c r="F3595" s="1">
        <v>8.0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1">
        <v>70.1</v>
      </c>
      <c r="T3595" s="1">
        <v>551.35</v>
      </c>
      <c r="U3595" s="1">
        <v>1.0</v>
      </c>
      <c r="V3595" s="1">
        <v>0.0</v>
      </c>
      <c r="W3595" s="1" t="s">
        <v>25</v>
      </c>
    </row>
    <row r="3596" ht="15.75" customHeight="1">
      <c r="A3596" s="1" t="s">
        <v>3633</v>
      </c>
      <c r="B3596" s="1" t="s">
        <v>24</v>
      </c>
      <c r="C3596" s="1">
        <v>0.0</v>
      </c>
      <c r="D3596" s="1" t="s">
        <v>26</v>
      </c>
      <c r="E3596" s="1" t="s">
        <v>26</v>
      </c>
      <c r="F3596" s="1">
        <v>9.0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1">
        <v>40.75</v>
      </c>
      <c r="T3596" s="1">
        <v>359.4</v>
      </c>
      <c r="U3596" s="1">
        <v>0.0</v>
      </c>
      <c r="V3596" s="1">
        <v>0.0</v>
      </c>
      <c r="W3596" s="1" t="s">
        <v>26</v>
      </c>
    </row>
    <row r="3597" ht="15.75" customHeight="1">
      <c r="A3597" s="1" t="s">
        <v>3634</v>
      </c>
      <c r="B3597" s="1" t="s">
        <v>24</v>
      </c>
      <c r="C3597" s="1">
        <v>1.0</v>
      </c>
      <c r="D3597" s="1" t="s">
        <v>26</v>
      </c>
      <c r="E3597" s="1" t="s">
        <v>26</v>
      </c>
      <c r="F3597" s="1">
        <v>2.0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1">
        <v>70.2</v>
      </c>
      <c r="T3597" s="1">
        <v>115.95</v>
      </c>
      <c r="U3597" s="1">
        <v>0.0</v>
      </c>
      <c r="V3597" s="1">
        <v>0.0</v>
      </c>
      <c r="W3597" s="1" t="s">
        <v>25</v>
      </c>
    </row>
    <row r="3598" ht="15.75" customHeight="1">
      <c r="A3598" s="1" t="s">
        <v>3635</v>
      </c>
      <c r="B3598" s="1" t="s">
        <v>24</v>
      </c>
      <c r="C3598" s="1">
        <v>0.0</v>
      </c>
      <c r="D3598" s="1" t="s">
        <v>26</v>
      </c>
      <c r="E3598" s="1" t="s">
        <v>26</v>
      </c>
      <c r="F3598" s="1">
        <v>3.0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1">
        <v>55.35</v>
      </c>
      <c r="T3598" s="1">
        <v>165.2</v>
      </c>
      <c r="U3598" s="1">
        <v>0.0</v>
      </c>
      <c r="V3598" s="1">
        <v>1.0</v>
      </c>
      <c r="W3598" s="1" t="s">
        <v>25</v>
      </c>
    </row>
    <row r="3599" ht="15.75" customHeight="1">
      <c r="A3599" s="1" t="s">
        <v>3636</v>
      </c>
      <c r="B3599" s="1" t="s">
        <v>32</v>
      </c>
      <c r="C3599" s="1">
        <v>0.0</v>
      </c>
      <c r="D3599" s="1" t="s">
        <v>25</v>
      </c>
      <c r="E3599" s="1" t="s">
        <v>26</v>
      </c>
      <c r="F3599" s="1">
        <v>25.0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1">
        <v>95.7</v>
      </c>
      <c r="T3599" s="1">
        <v>2338.35</v>
      </c>
      <c r="U3599" s="1">
        <v>0.0</v>
      </c>
      <c r="V3599" s="1">
        <v>0.0</v>
      </c>
      <c r="W3599" s="1" t="s">
        <v>26</v>
      </c>
    </row>
    <row r="3600" ht="15.75" customHeight="1">
      <c r="A3600" s="1" t="s">
        <v>3637</v>
      </c>
      <c r="B3600" s="1" t="s">
        <v>32</v>
      </c>
      <c r="C3600" s="1">
        <v>1.0</v>
      </c>
      <c r="D3600" s="1" t="s">
        <v>26</v>
      </c>
      <c r="E3600" s="1" t="s">
        <v>26</v>
      </c>
      <c r="F3600" s="1">
        <v>1.0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1">
        <v>46.3</v>
      </c>
      <c r="T3600" s="1">
        <v>46.3</v>
      </c>
      <c r="U3600" s="1">
        <v>0.0</v>
      </c>
      <c r="V3600" s="1">
        <v>0.0</v>
      </c>
      <c r="W3600" s="1" t="s">
        <v>26</v>
      </c>
    </row>
    <row r="3601" ht="15.75" customHeight="1">
      <c r="A3601" s="1" t="s">
        <v>3638</v>
      </c>
      <c r="B3601" s="1" t="s">
        <v>24</v>
      </c>
      <c r="C3601" s="1">
        <v>0.0</v>
      </c>
      <c r="D3601" s="1" t="s">
        <v>25</v>
      </c>
      <c r="E3601" s="1" t="s">
        <v>25</v>
      </c>
      <c r="F3601" s="1">
        <v>45.0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1">
        <v>81.3</v>
      </c>
      <c r="T3601" s="1">
        <v>3541.1</v>
      </c>
      <c r="U3601" s="1">
        <v>0.0</v>
      </c>
      <c r="V3601" s="1">
        <v>0.0</v>
      </c>
      <c r="W3601" s="1" t="s">
        <v>26</v>
      </c>
    </row>
    <row r="3602" ht="15.75" customHeight="1">
      <c r="A3602" s="1" t="s">
        <v>3639</v>
      </c>
      <c r="B3602" s="1" t="s">
        <v>32</v>
      </c>
      <c r="C3602" s="1">
        <v>1.0</v>
      </c>
      <c r="D3602" s="1" t="s">
        <v>25</v>
      </c>
      <c r="E3602" s="1" t="s">
        <v>25</v>
      </c>
      <c r="F3602" s="1">
        <v>51.0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1">
        <v>84.2</v>
      </c>
      <c r="T3602" s="1">
        <v>4146.05</v>
      </c>
      <c r="U3602" s="1">
        <v>0.0</v>
      </c>
      <c r="V3602" s="1">
        <v>5.0</v>
      </c>
      <c r="W3602" s="1" t="s">
        <v>25</v>
      </c>
    </row>
    <row r="3603" ht="15.75" customHeight="1">
      <c r="A3603" s="1" t="s">
        <v>3640</v>
      </c>
      <c r="B3603" s="1" t="s">
        <v>24</v>
      </c>
      <c r="C3603" s="1">
        <v>0.0</v>
      </c>
      <c r="D3603" s="1" t="s">
        <v>25</v>
      </c>
      <c r="E3603" s="1" t="s">
        <v>25</v>
      </c>
      <c r="F3603" s="1">
        <v>55.0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1">
        <v>20.0</v>
      </c>
      <c r="T3603" s="1">
        <v>1087.25</v>
      </c>
      <c r="U3603" s="1">
        <v>0.0</v>
      </c>
      <c r="V3603" s="1">
        <v>0.0</v>
      </c>
      <c r="W3603" s="1" t="s">
        <v>26</v>
      </c>
    </row>
    <row r="3604" ht="15.75" customHeight="1">
      <c r="A3604" s="1" t="s">
        <v>3641</v>
      </c>
      <c r="B3604" s="1" t="s">
        <v>24</v>
      </c>
      <c r="C3604" s="1">
        <v>0.0</v>
      </c>
      <c r="D3604" s="1" t="s">
        <v>26</v>
      </c>
      <c r="E3604" s="1" t="s">
        <v>26</v>
      </c>
      <c r="F3604" s="1">
        <v>38.0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1">
        <v>66.15</v>
      </c>
      <c r="T3604" s="1">
        <v>2522.4</v>
      </c>
      <c r="U3604" s="1">
        <v>0.0</v>
      </c>
      <c r="V3604" s="1">
        <v>0.0</v>
      </c>
      <c r="W3604" s="1" t="s">
        <v>26</v>
      </c>
    </row>
    <row r="3605" ht="15.75" customHeight="1">
      <c r="A3605" s="1" t="s">
        <v>3642</v>
      </c>
      <c r="B3605" s="1" t="s">
        <v>32</v>
      </c>
      <c r="C3605" s="1">
        <v>0.0</v>
      </c>
      <c r="D3605" s="1" t="s">
        <v>26</v>
      </c>
      <c r="E3605" s="1" t="s">
        <v>26</v>
      </c>
      <c r="F3605" s="1">
        <v>2.0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1">
        <v>45.85</v>
      </c>
      <c r="T3605" s="1">
        <v>81.0</v>
      </c>
      <c r="U3605" s="1">
        <v>3.0</v>
      </c>
      <c r="V3605" s="1">
        <v>0.0</v>
      </c>
      <c r="W3605" s="1" t="s">
        <v>25</v>
      </c>
    </row>
    <row r="3606" ht="15.75" customHeight="1">
      <c r="A3606" s="1" t="s">
        <v>3643</v>
      </c>
      <c r="B3606" s="1" t="s">
        <v>32</v>
      </c>
      <c r="C3606" s="1">
        <v>0.0</v>
      </c>
      <c r="D3606" s="1" t="s">
        <v>25</v>
      </c>
      <c r="E3606" s="1" t="s">
        <v>25</v>
      </c>
      <c r="F3606" s="1">
        <v>38.0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1">
        <v>19.6</v>
      </c>
      <c r="T3606" s="1">
        <v>717.3</v>
      </c>
      <c r="U3606" s="1">
        <v>5.0</v>
      </c>
      <c r="V3606" s="1">
        <v>0.0</v>
      </c>
      <c r="W3606" s="1" t="s">
        <v>26</v>
      </c>
    </row>
    <row r="3607" ht="15.75" customHeight="1">
      <c r="A3607" s="1" t="s">
        <v>3644</v>
      </c>
      <c r="B3607" s="1" t="s">
        <v>32</v>
      </c>
      <c r="C3607" s="1">
        <v>0.0</v>
      </c>
      <c r="D3607" s="1" t="s">
        <v>26</v>
      </c>
      <c r="E3607" s="1" t="s">
        <v>26</v>
      </c>
      <c r="F3607" s="1">
        <v>34.0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1">
        <v>49.8</v>
      </c>
      <c r="T3607" s="1">
        <v>1734.2</v>
      </c>
      <c r="U3607" s="1">
        <v>0.0</v>
      </c>
      <c r="V3607" s="1">
        <v>0.0</v>
      </c>
      <c r="W3607" s="1" t="s">
        <v>26</v>
      </c>
    </row>
    <row r="3608" ht="15.75" customHeight="1">
      <c r="A3608" s="1" t="s">
        <v>3645</v>
      </c>
      <c r="B3608" s="1" t="s">
        <v>24</v>
      </c>
      <c r="C3608" s="1">
        <v>0.0</v>
      </c>
      <c r="D3608" s="1" t="s">
        <v>25</v>
      </c>
      <c r="E3608" s="1" t="s">
        <v>26</v>
      </c>
      <c r="F3608" s="1">
        <v>70.0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1">
        <v>101.75</v>
      </c>
      <c r="T3608" s="1">
        <v>7069.3</v>
      </c>
      <c r="U3608" s="1">
        <v>0.0</v>
      </c>
      <c r="V3608" s="1">
        <v>0.0</v>
      </c>
      <c r="W3608" s="1" t="s">
        <v>26</v>
      </c>
    </row>
    <row r="3609" ht="15.75" customHeight="1">
      <c r="A3609" s="1" t="s">
        <v>3646</v>
      </c>
      <c r="B3609" s="1" t="s">
        <v>24</v>
      </c>
      <c r="C3609" s="1">
        <v>0.0</v>
      </c>
      <c r="D3609" s="1" t="s">
        <v>26</v>
      </c>
      <c r="E3609" s="1" t="s">
        <v>26</v>
      </c>
      <c r="F3609" s="1">
        <v>13.0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1">
        <v>55.15</v>
      </c>
      <c r="T3609" s="1">
        <v>742.9</v>
      </c>
      <c r="U3609" s="1">
        <v>0.0</v>
      </c>
      <c r="V3609" s="1">
        <v>0.0</v>
      </c>
      <c r="W3609" s="1" t="s">
        <v>26</v>
      </c>
    </row>
    <row r="3610" ht="15.75" customHeight="1">
      <c r="A3610" s="1" t="s">
        <v>3647</v>
      </c>
      <c r="B3610" s="1" t="s">
        <v>32</v>
      </c>
      <c r="C3610" s="1">
        <v>0.0</v>
      </c>
      <c r="D3610" s="1" t="s">
        <v>26</v>
      </c>
      <c r="E3610" s="1" t="s">
        <v>26</v>
      </c>
      <c r="F3610" s="1">
        <v>39.0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1">
        <v>75.25</v>
      </c>
      <c r="T3610" s="1">
        <v>3017.65</v>
      </c>
      <c r="U3610" s="1">
        <v>0.0</v>
      </c>
      <c r="V3610" s="1">
        <v>0.0</v>
      </c>
      <c r="W3610" s="1" t="s">
        <v>25</v>
      </c>
    </row>
    <row r="3611" ht="15.75" customHeight="1">
      <c r="A3611" s="1" t="s">
        <v>3648</v>
      </c>
      <c r="B3611" s="1" t="s">
        <v>24</v>
      </c>
      <c r="C3611" s="1">
        <v>0.0</v>
      </c>
      <c r="D3611" s="1" t="s">
        <v>26</v>
      </c>
      <c r="E3611" s="1" t="s">
        <v>26</v>
      </c>
      <c r="F3611" s="1">
        <v>61.0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1">
        <v>103.95</v>
      </c>
      <c r="T3611" s="1">
        <v>6423.0</v>
      </c>
      <c r="U3611" s="1">
        <v>0.0</v>
      </c>
      <c r="V3611" s="1">
        <v>5.0</v>
      </c>
      <c r="W3611" s="1" t="s">
        <v>26</v>
      </c>
    </row>
    <row r="3612" ht="15.75" customHeight="1">
      <c r="A3612" s="1" t="s">
        <v>3649</v>
      </c>
      <c r="B3612" s="1" t="s">
        <v>24</v>
      </c>
      <c r="C3612" s="1">
        <v>0.0</v>
      </c>
      <c r="D3612" s="1" t="s">
        <v>26</v>
      </c>
      <c r="E3612" s="1" t="s">
        <v>26</v>
      </c>
      <c r="F3612" s="1">
        <v>12.0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1">
        <v>100.15</v>
      </c>
      <c r="T3612" s="1">
        <v>1164.3</v>
      </c>
      <c r="U3612" s="1">
        <v>0.0</v>
      </c>
      <c r="V3612" s="1">
        <v>2.0</v>
      </c>
      <c r="W3612" s="1" t="s">
        <v>25</v>
      </c>
    </row>
    <row r="3613" ht="15.75" customHeight="1">
      <c r="A3613" s="1" t="s">
        <v>3650</v>
      </c>
      <c r="B3613" s="1" t="s">
        <v>32</v>
      </c>
      <c r="C3613" s="1">
        <v>0.0</v>
      </c>
      <c r="D3613" s="1" t="s">
        <v>26</v>
      </c>
      <c r="E3613" s="1" t="s">
        <v>26</v>
      </c>
      <c r="F3613" s="1">
        <v>41.0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1">
        <v>99.65</v>
      </c>
      <c r="T3613" s="1">
        <v>4220.35</v>
      </c>
      <c r="U3613" s="1">
        <v>1.0</v>
      </c>
      <c r="V3613" s="1">
        <v>0.0</v>
      </c>
      <c r="W3613" s="1" t="s">
        <v>26</v>
      </c>
    </row>
    <row r="3614" ht="15.75" customHeight="1">
      <c r="A3614" s="1" t="s">
        <v>3651</v>
      </c>
      <c r="B3614" s="1" t="s">
        <v>32</v>
      </c>
      <c r="C3614" s="1">
        <v>0.0</v>
      </c>
      <c r="D3614" s="1" t="s">
        <v>26</v>
      </c>
      <c r="E3614" s="1" t="s">
        <v>26</v>
      </c>
      <c r="F3614" s="1">
        <v>21.0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1">
        <v>73.7</v>
      </c>
      <c r="T3614" s="1">
        <v>1558.7</v>
      </c>
      <c r="U3614" s="1">
        <v>0.0</v>
      </c>
      <c r="V3614" s="1">
        <v>0.0</v>
      </c>
      <c r="W3614" s="1" t="s">
        <v>26</v>
      </c>
    </row>
    <row r="3615" ht="15.75" customHeight="1">
      <c r="A3615" s="1" t="s">
        <v>3652</v>
      </c>
      <c r="B3615" s="1" t="s">
        <v>32</v>
      </c>
      <c r="C3615" s="1">
        <v>1.0</v>
      </c>
      <c r="D3615" s="1" t="s">
        <v>26</v>
      </c>
      <c r="E3615" s="1" t="s">
        <v>26</v>
      </c>
      <c r="F3615" s="1">
        <v>55.0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1">
        <v>50.05</v>
      </c>
      <c r="T3615" s="1">
        <v>2743.45</v>
      </c>
      <c r="U3615" s="1">
        <v>5.0</v>
      </c>
      <c r="V3615" s="1">
        <v>0.0</v>
      </c>
      <c r="W3615" s="1" t="s">
        <v>26</v>
      </c>
    </row>
    <row r="3616" ht="15.75" customHeight="1">
      <c r="A3616" s="1" t="s">
        <v>3653</v>
      </c>
      <c r="B3616" s="1" t="s">
        <v>32</v>
      </c>
      <c r="C3616" s="1">
        <v>0.0</v>
      </c>
      <c r="D3616" s="1" t="s">
        <v>25</v>
      </c>
      <c r="E3616" s="1" t="s">
        <v>26</v>
      </c>
      <c r="F3616" s="1">
        <v>69.0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1">
        <v>60.25</v>
      </c>
      <c r="T3616" s="1">
        <v>4055.5</v>
      </c>
      <c r="U3616" s="1">
        <v>0.0</v>
      </c>
      <c r="V3616" s="1">
        <v>0.0</v>
      </c>
      <c r="W3616" s="1" t="s">
        <v>26</v>
      </c>
    </row>
    <row r="3617" ht="15.75" customHeight="1">
      <c r="A3617" s="1" t="s">
        <v>3654</v>
      </c>
      <c r="B3617" s="1" t="s">
        <v>32</v>
      </c>
      <c r="C3617" s="1">
        <v>1.0</v>
      </c>
      <c r="D3617" s="1" t="s">
        <v>25</v>
      </c>
      <c r="E3617" s="1" t="s">
        <v>25</v>
      </c>
      <c r="F3617" s="1">
        <v>26.0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1">
        <v>105.75</v>
      </c>
      <c r="T3617" s="1">
        <v>2710.25</v>
      </c>
      <c r="U3617" s="1">
        <v>0.0</v>
      </c>
      <c r="V3617" s="1">
        <v>3.0</v>
      </c>
      <c r="W3617" s="1" t="s">
        <v>25</v>
      </c>
    </row>
    <row r="3618" ht="15.75" customHeight="1">
      <c r="A3618" s="1" t="s">
        <v>3655</v>
      </c>
      <c r="B3618" s="1" t="s">
        <v>24</v>
      </c>
      <c r="C3618" s="1">
        <v>1.0</v>
      </c>
      <c r="D3618" s="1" t="s">
        <v>25</v>
      </c>
      <c r="E3618" s="1" t="s">
        <v>26</v>
      </c>
      <c r="F3618" s="1">
        <v>69.0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1">
        <v>87.3</v>
      </c>
      <c r="T3618" s="1">
        <v>6055.55</v>
      </c>
      <c r="U3618" s="1">
        <v>0.0</v>
      </c>
      <c r="V3618" s="1">
        <v>0.0</v>
      </c>
      <c r="W3618" s="1" t="s">
        <v>26</v>
      </c>
    </row>
    <row r="3619" ht="15.75" customHeight="1">
      <c r="A3619" s="1" t="s">
        <v>3656</v>
      </c>
      <c r="B3619" s="1" t="s">
        <v>24</v>
      </c>
      <c r="C3619" s="1">
        <v>1.0</v>
      </c>
      <c r="D3619" s="1" t="s">
        <v>25</v>
      </c>
      <c r="E3619" s="1" t="s">
        <v>26</v>
      </c>
      <c r="F3619" s="1">
        <v>18.0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1">
        <v>48.35</v>
      </c>
      <c r="T3619" s="1">
        <v>810.7</v>
      </c>
      <c r="U3619" s="1">
        <v>0.0</v>
      </c>
      <c r="V3619" s="1">
        <v>0.0</v>
      </c>
      <c r="W3619" s="1" t="s">
        <v>25</v>
      </c>
    </row>
    <row r="3620" ht="15.75" customHeight="1">
      <c r="A3620" s="1" t="s">
        <v>3657</v>
      </c>
      <c r="B3620" s="1" t="s">
        <v>32</v>
      </c>
      <c r="C3620" s="1">
        <v>0.0</v>
      </c>
      <c r="D3620" s="1" t="s">
        <v>25</v>
      </c>
      <c r="E3620" s="1" t="s">
        <v>25</v>
      </c>
      <c r="F3620" s="1">
        <v>47.0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1">
        <v>54.25</v>
      </c>
      <c r="T3620" s="1">
        <v>2538.2</v>
      </c>
      <c r="U3620" s="1">
        <v>0.0</v>
      </c>
      <c r="V3620" s="1">
        <v>0.0</v>
      </c>
      <c r="W3620" s="1" t="s">
        <v>26</v>
      </c>
    </row>
    <row r="3621" ht="15.75" customHeight="1">
      <c r="A3621" s="1" t="s">
        <v>3658</v>
      </c>
      <c r="B3621" s="1" t="s">
        <v>24</v>
      </c>
      <c r="C3621" s="1">
        <v>0.0</v>
      </c>
      <c r="D3621" s="1" t="s">
        <v>25</v>
      </c>
      <c r="E3621" s="1" t="s">
        <v>25</v>
      </c>
      <c r="F3621" s="1">
        <v>72.0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1">
        <v>85.3</v>
      </c>
      <c r="T3621" s="1">
        <v>6129.2</v>
      </c>
      <c r="U3621" s="1">
        <v>0.0</v>
      </c>
      <c r="V3621" s="1">
        <v>0.0</v>
      </c>
      <c r="W3621" s="1" t="s">
        <v>26</v>
      </c>
    </row>
    <row r="3622" ht="15.75" customHeight="1">
      <c r="A3622" s="1" t="s">
        <v>3659</v>
      </c>
      <c r="B3622" s="1" t="s">
        <v>32</v>
      </c>
      <c r="C3622" s="1">
        <v>1.0</v>
      </c>
      <c r="D3622" s="1" t="s">
        <v>25</v>
      </c>
      <c r="E3622" s="1" t="s">
        <v>26</v>
      </c>
      <c r="F3622" s="1">
        <v>33.0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1">
        <v>50.0</v>
      </c>
      <c r="T3622" s="1">
        <v>1750.85</v>
      </c>
      <c r="U3622" s="1">
        <v>1.0</v>
      </c>
      <c r="V3622" s="1">
        <v>0.0</v>
      </c>
      <c r="W3622" s="1" t="s">
        <v>26</v>
      </c>
    </row>
    <row r="3623" ht="15.75" customHeight="1">
      <c r="A3623" s="1" t="s">
        <v>3660</v>
      </c>
      <c r="B3623" s="1" t="s">
        <v>24</v>
      </c>
      <c r="C3623" s="1">
        <v>0.0</v>
      </c>
      <c r="D3623" s="1" t="s">
        <v>25</v>
      </c>
      <c r="E3623" s="1" t="s">
        <v>25</v>
      </c>
      <c r="F3623" s="1">
        <v>2.0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1">
        <v>24.4</v>
      </c>
      <c r="T3623" s="1">
        <v>36.55</v>
      </c>
      <c r="U3623" s="1">
        <v>0.0</v>
      </c>
      <c r="V3623" s="1">
        <v>0.0</v>
      </c>
      <c r="W3623" s="1" t="s">
        <v>25</v>
      </c>
    </row>
    <row r="3624" ht="15.75" customHeight="1">
      <c r="A3624" s="1" t="s">
        <v>3661</v>
      </c>
      <c r="B3624" s="1" t="s">
        <v>24</v>
      </c>
      <c r="C3624" s="1">
        <v>0.0</v>
      </c>
      <c r="D3624" s="1" t="s">
        <v>25</v>
      </c>
      <c r="E3624" s="1" t="s">
        <v>25</v>
      </c>
      <c r="F3624" s="1">
        <v>72.0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1">
        <v>90.95</v>
      </c>
      <c r="T3624" s="1">
        <v>6652.45</v>
      </c>
      <c r="U3624" s="1">
        <v>0.0</v>
      </c>
      <c r="V3624" s="1">
        <v>0.0</v>
      </c>
      <c r="W3624" s="1" t="s">
        <v>26</v>
      </c>
    </row>
    <row r="3625" ht="15.75" customHeight="1">
      <c r="A3625" s="1" t="s">
        <v>3662</v>
      </c>
      <c r="B3625" s="1" t="s">
        <v>32</v>
      </c>
      <c r="C3625" s="1">
        <v>1.0</v>
      </c>
      <c r="D3625" s="1" t="s">
        <v>25</v>
      </c>
      <c r="E3625" s="1" t="s">
        <v>26</v>
      </c>
      <c r="F3625" s="1">
        <v>37.0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1">
        <v>72.25</v>
      </c>
      <c r="T3625" s="1">
        <v>2575.45</v>
      </c>
      <c r="U3625" s="1">
        <v>0.0</v>
      </c>
      <c r="V3625" s="1">
        <v>0.0</v>
      </c>
      <c r="W3625" s="1" t="s">
        <v>26</v>
      </c>
    </row>
    <row r="3626" ht="15.75" customHeight="1">
      <c r="A3626" s="1" t="s">
        <v>3663</v>
      </c>
      <c r="B3626" s="1" t="s">
        <v>24</v>
      </c>
      <c r="C3626" s="1">
        <v>1.0</v>
      </c>
      <c r="D3626" s="1" t="s">
        <v>25</v>
      </c>
      <c r="E3626" s="1" t="s">
        <v>25</v>
      </c>
      <c r="F3626" s="1">
        <v>62.0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1">
        <v>96.1</v>
      </c>
      <c r="T3626" s="1">
        <v>6019.35</v>
      </c>
      <c r="U3626" s="1">
        <v>0.0</v>
      </c>
      <c r="V3626" s="1">
        <v>0.0</v>
      </c>
      <c r="W3626" s="1" t="s">
        <v>26</v>
      </c>
    </row>
    <row r="3627" ht="15.75" customHeight="1">
      <c r="A3627" s="1" t="s">
        <v>3664</v>
      </c>
      <c r="B3627" s="1" t="s">
        <v>24</v>
      </c>
      <c r="C3627" s="1">
        <v>0.0</v>
      </c>
      <c r="D3627" s="1" t="s">
        <v>25</v>
      </c>
      <c r="E3627" s="1" t="s">
        <v>26</v>
      </c>
      <c r="F3627" s="1">
        <v>71.0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1">
        <v>19.85</v>
      </c>
      <c r="T3627" s="1">
        <v>1379.6</v>
      </c>
      <c r="U3627" s="1">
        <v>0.0</v>
      </c>
      <c r="V3627" s="1">
        <v>0.0</v>
      </c>
      <c r="W3627" s="1" t="s">
        <v>26</v>
      </c>
    </row>
    <row r="3628" ht="15.75" customHeight="1">
      <c r="A3628" s="1" t="s">
        <v>3665</v>
      </c>
      <c r="B3628" s="1" t="s">
        <v>32</v>
      </c>
      <c r="C3628" s="1">
        <v>0.0</v>
      </c>
      <c r="D3628" s="1" t="s">
        <v>26</v>
      </c>
      <c r="E3628" s="1" t="s">
        <v>25</v>
      </c>
      <c r="F3628" s="1">
        <v>23.0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1">
        <v>55.3</v>
      </c>
      <c r="T3628" s="1">
        <v>1284.2</v>
      </c>
      <c r="U3628" s="1">
        <v>0.0</v>
      </c>
      <c r="V3628" s="1">
        <v>0.0</v>
      </c>
      <c r="W3628" s="1" t="s">
        <v>26</v>
      </c>
    </row>
    <row r="3629" ht="15.75" customHeight="1">
      <c r="A3629" s="1" t="s">
        <v>3666</v>
      </c>
      <c r="B3629" s="1" t="s">
        <v>24</v>
      </c>
      <c r="C3629" s="1">
        <v>0.0</v>
      </c>
      <c r="D3629" s="1" t="s">
        <v>26</v>
      </c>
      <c r="E3629" s="1" t="s">
        <v>26</v>
      </c>
      <c r="F3629" s="1">
        <v>16.0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1">
        <v>20.1</v>
      </c>
      <c r="T3629" s="1">
        <v>296.15</v>
      </c>
      <c r="U3629" s="1">
        <v>3.0</v>
      </c>
      <c r="V3629" s="1">
        <v>0.0</v>
      </c>
      <c r="W3629" s="1" t="s">
        <v>26</v>
      </c>
    </row>
    <row r="3630" ht="15.75" customHeight="1">
      <c r="A3630" s="1" t="s">
        <v>3667</v>
      </c>
      <c r="B3630" s="1" t="s">
        <v>32</v>
      </c>
      <c r="C3630" s="1">
        <v>0.0</v>
      </c>
      <c r="D3630" s="1" t="s">
        <v>26</v>
      </c>
      <c r="E3630" s="1" t="s">
        <v>26</v>
      </c>
      <c r="F3630" s="1">
        <v>9.0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1">
        <v>69.5</v>
      </c>
      <c r="T3630" s="1">
        <v>653.25</v>
      </c>
      <c r="U3630" s="1">
        <v>0.0</v>
      </c>
      <c r="V3630" s="1">
        <v>0.0</v>
      </c>
      <c r="W3630" s="1" t="s">
        <v>26</v>
      </c>
    </row>
    <row r="3631" ht="15.75" customHeight="1">
      <c r="A3631" s="1" t="s">
        <v>3668</v>
      </c>
      <c r="B3631" s="1" t="s">
        <v>32</v>
      </c>
      <c r="C3631" s="1">
        <v>0.0</v>
      </c>
      <c r="D3631" s="1" t="s">
        <v>25</v>
      </c>
      <c r="E3631" s="1" t="s">
        <v>25</v>
      </c>
      <c r="F3631" s="1">
        <v>17.0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1">
        <v>25.15</v>
      </c>
      <c r="T3631" s="1">
        <v>412.6</v>
      </c>
      <c r="U3631" s="1">
        <v>0.0</v>
      </c>
      <c r="V3631" s="1">
        <v>0.0</v>
      </c>
      <c r="W3631" s="1" t="s">
        <v>26</v>
      </c>
    </row>
    <row r="3632" ht="15.75" customHeight="1">
      <c r="A3632" s="1" t="s">
        <v>3669</v>
      </c>
      <c r="B3632" s="1" t="s">
        <v>24</v>
      </c>
      <c r="C3632" s="1">
        <v>0.0</v>
      </c>
      <c r="D3632" s="1" t="s">
        <v>26</v>
      </c>
      <c r="E3632" s="1" t="s">
        <v>26</v>
      </c>
      <c r="F3632" s="1">
        <v>4.0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1">
        <v>20.95</v>
      </c>
      <c r="T3632" s="1">
        <v>85.5</v>
      </c>
      <c r="U3632" s="1">
        <v>0.0</v>
      </c>
      <c r="V3632" s="1">
        <v>0.0</v>
      </c>
      <c r="W3632" s="1" t="s">
        <v>25</v>
      </c>
    </row>
    <row r="3633" ht="15.75" customHeight="1">
      <c r="A3633" s="1" t="s">
        <v>3670</v>
      </c>
      <c r="B3633" s="1" t="s">
        <v>24</v>
      </c>
      <c r="C3633" s="1">
        <v>1.0</v>
      </c>
      <c r="D3633" s="1" t="s">
        <v>25</v>
      </c>
      <c r="E3633" s="1" t="s">
        <v>26</v>
      </c>
      <c r="F3633" s="1">
        <v>1.0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1">
        <v>49.55</v>
      </c>
      <c r="T3633" s="1">
        <v>49.55</v>
      </c>
      <c r="U3633" s="1">
        <v>0.0</v>
      </c>
      <c r="V3633" s="1">
        <v>0.0</v>
      </c>
      <c r="W3633" s="1" t="s">
        <v>25</v>
      </c>
    </row>
    <row r="3634" ht="15.75" customHeight="1">
      <c r="A3634" s="1" t="s">
        <v>3671</v>
      </c>
      <c r="B3634" s="1" t="s">
        <v>24</v>
      </c>
      <c r="C3634" s="1">
        <v>0.0</v>
      </c>
      <c r="D3634" s="1" t="s">
        <v>25</v>
      </c>
      <c r="E3634" s="1" t="s">
        <v>26</v>
      </c>
      <c r="F3634" s="1">
        <v>24.0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1">
        <v>79.65</v>
      </c>
      <c r="T3634" s="1">
        <v>1928.7</v>
      </c>
      <c r="U3634" s="1">
        <v>0.0</v>
      </c>
      <c r="V3634" s="1">
        <v>0.0</v>
      </c>
      <c r="W3634" s="1" t="s">
        <v>26</v>
      </c>
    </row>
    <row r="3635" ht="15.75" customHeight="1">
      <c r="A3635" s="1" t="s">
        <v>3672</v>
      </c>
      <c r="B3635" s="1" t="s">
        <v>24</v>
      </c>
      <c r="C3635" s="1">
        <v>1.0</v>
      </c>
      <c r="D3635" s="1" t="s">
        <v>26</v>
      </c>
      <c r="E3635" s="1" t="s">
        <v>26</v>
      </c>
      <c r="F3635" s="1">
        <v>1.0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1">
        <v>71.25</v>
      </c>
      <c r="T3635" s="1">
        <v>71.25</v>
      </c>
      <c r="U3635" s="1">
        <v>0.0</v>
      </c>
      <c r="V3635" s="1">
        <v>0.0</v>
      </c>
      <c r="W3635" s="1" t="s">
        <v>26</v>
      </c>
    </row>
    <row r="3636" ht="15.75" customHeight="1">
      <c r="A3636" s="1" t="s">
        <v>3673</v>
      </c>
      <c r="B3636" s="1" t="s">
        <v>32</v>
      </c>
      <c r="C3636" s="1">
        <v>1.0</v>
      </c>
      <c r="D3636" s="1" t="s">
        <v>26</v>
      </c>
      <c r="E3636" s="1" t="s">
        <v>26</v>
      </c>
      <c r="F3636" s="1">
        <v>72.0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1">
        <v>113.8</v>
      </c>
      <c r="T3636" s="1">
        <v>7845.8</v>
      </c>
      <c r="U3636" s="1">
        <v>4.0</v>
      </c>
      <c r="V3636" s="1">
        <v>0.0</v>
      </c>
      <c r="W3636" s="1" t="s">
        <v>26</v>
      </c>
    </row>
    <row r="3637" ht="15.75" customHeight="1">
      <c r="A3637" s="1" t="s">
        <v>3674</v>
      </c>
      <c r="B3637" s="1" t="s">
        <v>24</v>
      </c>
      <c r="C3637" s="1">
        <v>0.0</v>
      </c>
      <c r="D3637" s="1" t="s">
        <v>25</v>
      </c>
      <c r="E3637" s="1" t="s">
        <v>26</v>
      </c>
      <c r="F3637" s="1">
        <v>72.0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1">
        <v>24.55</v>
      </c>
      <c r="T3637" s="1">
        <v>1750.7</v>
      </c>
      <c r="U3637" s="1">
        <v>4.0</v>
      </c>
      <c r="V3637" s="1">
        <v>0.0</v>
      </c>
      <c r="W3637" s="1" t="s">
        <v>26</v>
      </c>
    </row>
    <row r="3638" ht="15.75" customHeight="1">
      <c r="A3638" s="1" t="s">
        <v>3675</v>
      </c>
      <c r="B3638" s="1" t="s">
        <v>24</v>
      </c>
      <c r="C3638" s="1">
        <v>0.0</v>
      </c>
      <c r="D3638" s="1" t="s">
        <v>26</v>
      </c>
      <c r="E3638" s="1" t="s">
        <v>25</v>
      </c>
      <c r="F3638" s="1">
        <v>11.0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1">
        <v>19.7</v>
      </c>
      <c r="T3638" s="1">
        <v>216.2</v>
      </c>
      <c r="U3638" s="1">
        <v>0.0</v>
      </c>
      <c r="V3638" s="1">
        <v>0.0</v>
      </c>
      <c r="W3638" s="1" t="s">
        <v>26</v>
      </c>
    </row>
    <row r="3639" ht="15.75" customHeight="1">
      <c r="A3639" s="1" t="s">
        <v>3676</v>
      </c>
      <c r="B3639" s="1" t="s">
        <v>32</v>
      </c>
      <c r="C3639" s="1">
        <v>0.0</v>
      </c>
      <c r="D3639" s="1" t="s">
        <v>26</v>
      </c>
      <c r="E3639" s="1" t="s">
        <v>26</v>
      </c>
      <c r="F3639" s="1">
        <v>9.0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1">
        <v>20.25</v>
      </c>
      <c r="T3639" s="1">
        <v>178.5</v>
      </c>
      <c r="U3639" s="1">
        <v>2.0</v>
      </c>
      <c r="V3639" s="1">
        <v>0.0</v>
      </c>
      <c r="W3639" s="1" t="s">
        <v>25</v>
      </c>
    </row>
    <row r="3640" ht="15.75" customHeight="1">
      <c r="A3640" s="1" t="s">
        <v>3677</v>
      </c>
      <c r="B3640" s="1" t="s">
        <v>24</v>
      </c>
      <c r="C3640" s="1">
        <v>1.0</v>
      </c>
      <c r="D3640" s="1" t="s">
        <v>25</v>
      </c>
      <c r="E3640" s="1" t="s">
        <v>26</v>
      </c>
      <c r="F3640" s="1">
        <v>2.0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1">
        <v>50.15</v>
      </c>
      <c r="T3640" s="1">
        <v>115.1</v>
      </c>
      <c r="U3640" s="1">
        <v>3.0</v>
      </c>
      <c r="V3640" s="1">
        <v>0.0</v>
      </c>
      <c r="W3640" s="1" t="s">
        <v>25</v>
      </c>
    </row>
    <row r="3641" ht="15.75" customHeight="1">
      <c r="A3641" s="1" t="s">
        <v>3678</v>
      </c>
      <c r="B3641" s="1" t="s">
        <v>24</v>
      </c>
      <c r="C3641" s="1">
        <v>1.0</v>
      </c>
      <c r="D3641" s="1" t="s">
        <v>25</v>
      </c>
      <c r="E3641" s="1" t="s">
        <v>26</v>
      </c>
      <c r="F3641" s="1">
        <v>60.0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1">
        <v>100.5</v>
      </c>
      <c r="T3641" s="1">
        <v>6029.0</v>
      </c>
      <c r="U3641" s="1">
        <v>0.0</v>
      </c>
      <c r="V3641" s="1">
        <v>0.0</v>
      </c>
      <c r="W3641" s="1" t="s">
        <v>26</v>
      </c>
    </row>
    <row r="3642" ht="15.75" customHeight="1">
      <c r="A3642" s="1" t="s">
        <v>3679</v>
      </c>
      <c r="B3642" s="1" t="s">
        <v>32</v>
      </c>
      <c r="C3642" s="1">
        <v>1.0</v>
      </c>
      <c r="D3642" s="1" t="s">
        <v>25</v>
      </c>
      <c r="E3642" s="1" t="s">
        <v>26</v>
      </c>
      <c r="F3642" s="1">
        <v>29.0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1">
        <v>95.9</v>
      </c>
      <c r="T3642" s="1">
        <v>2745.2</v>
      </c>
      <c r="U3642" s="1">
        <v>3.0</v>
      </c>
      <c r="V3642" s="1">
        <v>2.0</v>
      </c>
      <c r="W3642" s="1" t="s">
        <v>25</v>
      </c>
    </row>
    <row r="3643" ht="15.75" customHeight="1">
      <c r="A3643" s="1" t="s">
        <v>3680</v>
      </c>
      <c r="B3643" s="1" t="s">
        <v>24</v>
      </c>
      <c r="C3643" s="1">
        <v>0.0</v>
      </c>
      <c r="D3643" s="1" t="s">
        <v>26</v>
      </c>
      <c r="E3643" s="1" t="s">
        <v>26</v>
      </c>
      <c r="F3643" s="1">
        <v>49.0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1">
        <v>74.45</v>
      </c>
      <c r="T3643" s="1">
        <v>3721.9</v>
      </c>
      <c r="U3643" s="1">
        <v>0.0</v>
      </c>
      <c r="V3643" s="1">
        <v>0.0</v>
      </c>
      <c r="W3643" s="1" t="s">
        <v>26</v>
      </c>
    </row>
    <row r="3644" ht="15.75" customHeight="1">
      <c r="A3644" s="1" t="s">
        <v>3681</v>
      </c>
      <c r="B3644" s="1" t="s">
        <v>24</v>
      </c>
      <c r="C3644" s="1">
        <v>1.0</v>
      </c>
      <c r="D3644" s="1" t="s">
        <v>26</v>
      </c>
      <c r="E3644" s="1" t="s">
        <v>26</v>
      </c>
      <c r="F3644" s="1">
        <v>30.0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1">
        <v>104.1</v>
      </c>
      <c r="T3644" s="1">
        <v>3121.1</v>
      </c>
      <c r="U3644" s="1">
        <v>0.0</v>
      </c>
      <c r="V3644" s="1">
        <v>0.0</v>
      </c>
      <c r="W3644" s="1" t="s">
        <v>26</v>
      </c>
    </row>
    <row r="3645" ht="15.75" customHeight="1">
      <c r="A3645" s="1" t="s">
        <v>3682</v>
      </c>
      <c r="B3645" s="1" t="s">
        <v>24</v>
      </c>
      <c r="C3645" s="1">
        <v>0.0</v>
      </c>
      <c r="D3645" s="1" t="s">
        <v>25</v>
      </c>
      <c r="E3645" s="1" t="s">
        <v>26</v>
      </c>
      <c r="F3645" s="1">
        <v>53.0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1">
        <v>19.05</v>
      </c>
      <c r="T3645" s="1">
        <v>990.45</v>
      </c>
      <c r="U3645" s="1">
        <v>0.0</v>
      </c>
      <c r="V3645" s="1">
        <v>0.0</v>
      </c>
      <c r="W3645" s="1" t="s">
        <v>26</v>
      </c>
    </row>
    <row r="3646" ht="15.75" customHeight="1">
      <c r="A3646" s="1" t="s">
        <v>3683</v>
      </c>
      <c r="B3646" s="1" t="s">
        <v>32</v>
      </c>
      <c r="C3646" s="1">
        <v>0.0</v>
      </c>
      <c r="D3646" s="1" t="s">
        <v>26</v>
      </c>
      <c r="E3646" s="1" t="s">
        <v>25</v>
      </c>
      <c r="F3646" s="1">
        <v>39.0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1">
        <v>25.0</v>
      </c>
      <c r="T3646" s="1">
        <v>1004.35</v>
      </c>
      <c r="U3646" s="1">
        <v>0.0</v>
      </c>
      <c r="V3646" s="1">
        <v>0.0</v>
      </c>
      <c r="W3646" s="1" t="s">
        <v>26</v>
      </c>
    </row>
    <row r="3647" ht="15.75" customHeight="1">
      <c r="A3647" s="1" t="s">
        <v>3684</v>
      </c>
      <c r="B3647" s="1" t="s">
        <v>24</v>
      </c>
      <c r="C3647" s="1">
        <v>0.0</v>
      </c>
      <c r="D3647" s="1" t="s">
        <v>26</v>
      </c>
      <c r="E3647" s="1" t="s">
        <v>26</v>
      </c>
      <c r="F3647" s="1">
        <v>9.0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1">
        <v>19.05</v>
      </c>
      <c r="T3647" s="1">
        <v>157.65</v>
      </c>
      <c r="U3647" s="1">
        <v>1.0</v>
      </c>
      <c r="V3647" s="1">
        <v>0.0</v>
      </c>
      <c r="W3647" s="1" t="s">
        <v>26</v>
      </c>
    </row>
    <row r="3648" ht="15.75" customHeight="1">
      <c r="A3648" s="1" t="s">
        <v>3685</v>
      </c>
      <c r="B3648" s="1" t="s">
        <v>32</v>
      </c>
      <c r="C3648" s="1">
        <v>0.0</v>
      </c>
      <c r="D3648" s="1" t="s">
        <v>26</v>
      </c>
      <c r="E3648" s="1" t="s">
        <v>26</v>
      </c>
      <c r="F3648" s="1">
        <v>39.0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1">
        <v>81.9</v>
      </c>
      <c r="T3648" s="1">
        <v>3219.75</v>
      </c>
      <c r="U3648" s="1">
        <v>0.0</v>
      </c>
      <c r="V3648" s="1">
        <v>0.0</v>
      </c>
      <c r="W3648" s="1" t="s">
        <v>26</v>
      </c>
    </row>
    <row r="3649" ht="15.75" customHeight="1">
      <c r="A3649" s="1" t="s">
        <v>3686</v>
      </c>
      <c r="B3649" s="1" t="s">
        <v>32</v>
      </c>
      <c r="C3649" s="1">
        <v>1.0</v>
      </c>
      <c r="D3649" s="1" t="s">
        <v>26</v>
      </c>
      <c r="E3649" s="1" t="s">
        <v>26</v>
      </c>
      <c r="F3649" s="1">
        <v>8.0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1">
        <v>69.7</v>
      </c>
      <c r="T3649" s="1">
        <v>572.85</v>
      </c>
      <c r="U3649" s="1">
        <v>0.0</v>
      </c>
      <c r="V3649" s="1">
        <v>0.0</v>
      </c>
      <c r="W3649" s="1" t="s">
        <v>26</v>
      </c>
    </row>
    <row r="3650" ht="15.75" customHeight="1">
      <c r="A3650" s="1" t="s">
        <v>3687</v>
      </c>
      <c r="B3650" s="1" t="s">
        <v>24</v>
      </c>
      <c r="C3650" s="1">
        <v>0.0</v>
      </c>
      <c r="D3650" s="1" t="s">
        <v>25</v>
      </c>
      <c r="E3650" s="1" t="s">
        <v>25</v>
      </c>
      <c r="F3650" s="1">
        <v>51.0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1">
        <v>90.15</v>
      </c>
      <c r="T3650" s="1">
        <v>4554.85</v>
      </c>
      <c r="U3650" s="1">
        <v>0.0</v>
      </c>
      <c r="V3650" s="1">
        <v>0.0</v>
      </c>
      <c r="W3650" s="1" t="s">
        <v>26</v>
      </c>
    </row>
    <row r="3651" ht="15.75" customHeight="1">
      <c r="A3651" s="1" t="s">
        <v>3688</v>
      </c>
      <c r="B3651" s="1" t="s">
        <v>32</v>
      </c>
      <c r="C3651" s="1">
        <v>0.0</v>
      </c>
      <c r="D3651" s="1" t="s">
        <v>25</v>
      </c>
      <c r="E3651" s="1" t="s">
        <v>25</v>
      </c>
      <c r="F3651" s="1">
        <v>71.0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1">
        <v>25.35</v>
      </c>
      <c r="T3651" s="1">
        <v>1847.55</v>
      </c>
      <c r="U3651" s="1">
        <v>3.0</v>
      </c>
      <c r="V3651" s="1">
        <v>0.0</v>
      </c>
      <c r="W3651" s="1" t="s">
        <v>26</v>
      </c>
    </row>
    <row r="3652" ht="15.75" customHeight="1">
      <c r="A3652" s="1" t="s">
        <v>3689</v>
      </c>
      <c r="B3652" s="1" t="s">
        <v>32</v>
      </c>
      <c r="C3652" s="1">
        <v>1.0</v>
      </c>
      <c r="D3652" s="1" t="s">
        <v>26</v>
      </c>
      <c r="E3652" s="1" t="s">
        <v>26</v>
      </c>
      <c r="F3652" s="1">
        <v>71.0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1">
        <v>24.65</v>
      </c>
      <c r="T3652" s="1">
        <v>1766.75</v>
      </c>
      <c r="U3652" s="1">
        <v>0.0</v>
      </c>
      <c r="V3652" s="1">
        <v>0.0</v>
      </c>
      <c r="W3652" s="1" t="s">
        <v>26</v>
      </c>
    </row>
    <row r="3653" ht="15.75" customHeight="1">
      <c r="A3653" s="1" t="s">
        <v>3690</v>
      </c>
      <c r="B3653" s="1" t="s">
        <v>24</v>
      </c>
      <c r="C3653" s="1">
        <v>1.0</v>
      </c>
      <c r="D3653" s="1" t="s">
        <v>25</v>
      </c>
      <c r="E3653" s="1" t="s">
        <v>26</v>
      </c>
      <c r="F3653" s="1">
        <v>70.0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1">
        <v>19.55</v>
      </c>
      <c r="T3653" s="1">
        <v>1462.05</v>
      </c>
      <c r="U3653" s="1">
        <v>5.0</v>
      </c>
      <c r="V3653" s="1">
        <v>0.0</v>
      </c>
      <c r="W3653" s="1" t="s">
        <v>26</v>
      </c>
    </row>
    <row r="3654" ht="15.75" customHeight="1">
      <c r="A3654" s="1" t="s">
        <v>3691</v>
      </c>
      <c r="B3654" s="1" t="s">
        <v>24</v>
      </c>
      <c r="C3654" s="1">
        <v>1.0</v>
      </c>
      <c r="D3654" s="1" t="s">
        <v>26</v>
      </c>
      <c r="E3654" s="1" t="s">
        <v>26</v>
      </c>
      <c r="F3654" s="1">
        <v>1.0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1">
        <v>25.25</v>
      </c>
      <c r="T3654" s="1">
        <v>25.25</v>
      </c>
      <c r="U3654" s="1">
        <v>0.0</v>
      </c>
      <c r="V3654" s="1">
        <v>0.0</v>
      </c>
      <c r="W3654" s="1" t="s">
        <v>25</v>
      </c>
    </row>
    <row r="3655" ht="15.75" customHeight="1">
      <c r="A3655" s="1" t="s">
        <v>3692</v>
      </c>
      <c r="B3655" s="1" t="s">
        <v>32</v>
      </c>
      <c r="C3655" s="1">
        <v>0.0</v>
      </c>
      <c r="D3655" s="1" t="s">
        <v>25</v>
      </c>
      <c r="E3655" s="1" t="s">
        <v>26</v>
      </c>
      <c r="F3655" s="1">
        <v>38.0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1">
        <v>60.0</v>
      </c>
      <c r="T3655" s="1">
        <v>2193.2</v>
      </c>
      <c r="U3655" s="1">
        <v>0.0</v>
      </c>
      <c r="V3655" s="1">
        <v>0.0</v>
      </c>
      <c r="W3655" s="1" t="s">
        <v>26</v>
      </c>
    </row>
    <row r="3656" ht="15.75" customHeight="1">
      <c r="A3656" s="1" t="s">
        <v>3693</v>
      </c>
      <c r="B3656" s="1" t="s">
        <v>24</v>
      </c>
      <c r="C3656" s="1">
        <v>0.0</v>
      </c>
      <c r="D3656" s="1" t="s">
        <v>25</v>
      </c>
      <c r="E3656" s="1" t="s">
        <v>26</v>
      </c>
      <c r="F3656" s="1">
        <v>28.0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1">
        <v>89.9</v>
      </c>
      <c r="T3656" s="1">
        <v>2433.5</v>
      </c>
      <c r="U3656" s="1">
        <v>0.0</v>
      </c>
      <c r="V3656" s="1">
        <v>0.0</v>
      </c>
      <c r="W3656" s="1" t="s">
        <v>26</v>
      </c>
    </row>
    <row r="3657" ht="15.75" customHeight="1">
      <c r="A3657" s="1" t="s">
        <v>3694</v>
      </c>
      <c r="B3657" s="1" t="s">
        <v>24</v>
      </c>
      <c r="C3657" s="1">
        <v>0.0</v>
      </c>
      <c r="D3657" s="1" t="s">
        <v>25</v>
      </c>
      <c r="E3657" s="1" t="s">
        <v>26</v>
      </c>
      <c r="F3657" s="1">
        <v>32.0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1">
        <v>19.4</v>
      </c>
      <c r="T3657" s="1">
        <v>641.15</v>
      </c>
      <c r="U3657" s="1">
        <v>0.0</v>
      </c>
      <c r="V3657" s="1">
        <v>0.0</v>
      </c>
      <c r="W3657" s="1" t="s">
        <v>26</v>
      </c>
    </row>
    <row r="3658" ht="15.75" customHeight="1">
      <c r="A3658" s="1" t="s">
        <v>3695</v>
      </c>
      <c r="B3658" s="1" t="s">
        <v>32</v>
      </c>
      <c r="C3658" s="1">
        <v>1.0</v>
      </c>
      <c r="D3658" s="1" t="s">
        <v>25</v>
      </c>
      <c r="E3658" s="1" t="s">
        <v>26</v>
      </c>
      <c r="F3658" s="1">
        <v>49.0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1">
        <v>49.8</v>
      </c>
      <c r="T3658" s="1">
        <v>2398.4</v>
      </c>
      <c r="U3658" s="1">
        <v>0.0</v>
      </c>
      <c r="V3658" s="1">
        <v>0.0</v>
      </c>
      <c r="W3658" s="1" t="s">
        <v>26</v>
      </c>
    </row>
    <row r="3659" ht="15.75" customHeight="1">
      <c r="A3659" s="1" t="s">
        <v>3696</v>
      </c>
      <c r="B3659" s="1" t="s">
        <v>24</v>
      </c>
      <c r="C3659" s="1">
        <v>0.0</v>
      </c>
      <c r="D3659" s="1" t="s">
        <v>25</v>
      </c>
      <c r="E3659" s="1" t="s">
        <v>25</v>
      </c>
      <c r="F3659" s="1">
        <v>37.0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1">
        <v>24.1</v>
      </c>
      <c r="T3659" s="1">
        <v>861.85</v>
      </c>
      <c r="U3659" s="1">
        <v>0.0</v>
      </c>
      <c r="V3659" s="1">
        <v>3.0</v>
      </c>
      <c r="W3659" s="1" t="s">
        <v>26</v>
      </c>
    </row>
    <row r="3660" ht="15.75" customHeight="1">
      <c r="A3660" s="1" t="s">
        <v>3697</v>
      </c>
      <c r="B3660" s="1" t="s">
        <v>24</v>
      </c>
      <c r="C3660" s="1">
        <v>0.0</v>
      </c>
      <c r="D3660" s="1" t="s">
        <v>26</v>
      </c>
      <c r="E3660" s="1" t="s">
        <v>26</v>
      </c>
      <c r="F3660" s="1">
        <v>10.0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1">
        <v>54.25</v>
      </c>
      <c r="T3660" s="1">
        <v>583.0</v>
      </c>
      <c r="U3660" s="1">
        <v>0.0</v>
      </c>
      <c r="V3660" s="1">
        <v>0.0</v>
      </c>
      <c r="W3660" s="1" t="s">
        <v>26</v>
      </c>
    </row>
    <row r="3661" ht="15.75" customHeight="1">
      <c r="A3661" s="1" t="s">
        <v>3698</v>
      </c>
      <c r="B3661" s="1" t="s">
        <v>32</v>
      </c>
      <c r="C3661" s="1">
        <v>0.0</v>
      </c>
      <c r="D3661" s="1" t="s">
        <v>25</v>
      </c>
      <c r="E3661" s="1" t="s">
        <v>26</v>
      </c>
      <c r="F3661" s="1">
        <v>67.0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1">
        <v>109.9</v>
      </c>
      <c r="T3661" s="1">
        <v>7332.4</v>
      </c>
      <c r="U3661" s="1">
        <v>0.0</v>
      </c>
      <c r="V3661" s="1">
        <v>2.0</v>
      </c>
      <c r="W3661" s="1" t="s">
        <v>26</v>
      </c>
    </row>
    <row r="3662" ht="15.75" customHeight="1">
      <c r="A3662" s="1" t="s">
        <v>3699</v>
      </c>
      <c r="B3662" s="1" t="s">
        <v>32</v>
      </c>
      <c r="C3662" s="1">
        <v>0.0</v>
      </c>
      <c r="D3662" s="1" t="s">
        <v>26</v>
      </c>
      <c r="E3662" s="1" t="s">
        <v>26</v>
      </c>
      <c r="F3662" s="1">
        <v>7.0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1">
        <v>35.5</v>
      </c>
      <c r="T3662" s="1">
        <v>249.55</v>
      </c>
      <c r="U3662" s="1">
        <v>0.0</v>
      </c>
      <c r="V3662" s="1">
        <v>0.0</v>
      </c>
      <c r="W3662" s="1" t="s">
        <v>26</v>
      </c>
    </row>
    <row r="3663" ht="15.75" customHeight="1">
      <c r="A3663" s="1" t="s">
        <v>3700</v>
      </c>
      <c r="B3663" s="1" t="s">
        <v>24</v>
      </c>
      <c r="C3663" s="1">
        <v>0.0</v>
      </c>
      <c r="D3663" s="1" t="s">
        <v>26</v>
      </c>
      <c r="E3663" s="1" t="s">
        <v>26</v>
      </c>
      <c r="F3663" s="1">
        <v>51.0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1">
        <v>87.55</v>
      </c>
      <c r="T3663" s="1">
        <v>4475.9</v>
      </c>
      <c r="U3663" s="1">
        <v>0.0</v>
      </c>
      <c r="V3663" s="1">
        <v>0.0</v>
      </c>
      <c r="W3663" s="1" t="s">
        <v>26</v>
      </c>
    </row>
    <row r="3664" ht="15.75" customHeight="1">
      <c r="A3664" s="1" t="s">
        <v>3701</v>
      </c>
      <c r="B3664" s="1" t="s">
        <v>24</v>
      </c>
      <c r="C3664" s="1">
        <v>0.0</v>
      </c>
      <c r="D3664" s="1" t="s">
        <v>26</v>
      </c>
      <c r="E3664" s="1" t="s">
        <v>26</v>
      </c>
      <c r="F3664" s="1">
        <v>9.0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1">
        <v>45.15</v>
      </c>
      <c r="T3664" s="1">
        <v>416.45</v>
      </c>
      <c r="U3664" s="1">
        <v>0.0</v>
      </c>
      <c r="V3664" s="1">
        <v>0.0</v>
      </c>
      <c r="W3664" s="1" t="s">
        <v>25</v>
      </c>
    </row>
    <row r="3665" ht="15.75" customHeight="1">
      <c r="A3665" s="1" t="s">
        <v>3702</v>
      </c>
      <c r="B3665" s="1" t="s">
        <v>24</v>
      </c>
      <c r="C3665" s="1">
        <v>0.0</v>
      </c>
      <c r="D3665" s="1" t="s">
        <v>26</v>
      </c>
      <c r="E3665" s="1" t="s">
        <v>26</v>
      </c>
      <c r="F3665" s="1">
        <v>9.0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1">
        <v>88.4</v>
      </c>
      <c r="T3665" s="1">
        <v>788.6</v>
      </c>
      <c r="U3665" s="1">
        <v>0.0</v>
      </c>
      <c r="V3665" s="1">
        <v>0.0</v>
      </c>
      <c r="W3665" s="1" t="s">
        <v>26</v>
      </c>
    </row>
    <row r="3666" ht="15.75" customHeight="1">
      <c r="A3666" s="1" t="s">
        <v>3703</v>
      </c>
      <c r="B3666" s="1" t="s">
        <v>32</v>
      </c>
      <c r="C3666" s="1">
        <v>0.0</v>
      </c>
      <c r="D3666" s="1" t="s">
        <v>26</v>
      </c>
      <c r="E3666" s="1" t="s">
        <v>26</v>
      </c>
      <c r="F3666" s="1">
        <v>4.0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1">
        <v>50.8</v>
      </c>
      <c r="T3666" s="1">
        <v>202.3</v>
      </c>
      <c r="U3666" s="1">
        <v>0.0</v>
      </c>
      <c r="V3666" s="1">
        <v>0.0</v>
      </c>
      <c r="W3666" s="1" t="s">
        <v>26</v>
      </c>
    </row>
    <row r="3667" ht="15.75" customHeight="1">
      <c r="A3667" s="1" t="s">
        <v>3704</v>
      </c>
      <c r="B3667" s="1" t="s">
        <v>32</v>
      </c>
      <c r="C3667" s="1">
        <v>0.0</v>
      </c>
      <c r="D3667" s="1" t="s">
        <v>25</v>
      </c>
      <c r="E3667" s="1" t="s">
        <v>26</v>
      </c>
      <c r="F3667" s="1">
        <v>71.0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1">
        <v>99.0</v>
      </c>
      <c r="T3667" s="1">
        <v>6994.6</v>
      </c>
      <c r="U3667" s="1">
        <v>4.0</v>
      </c>
      <c r="V3667" s="1">
        <v>0.0</v>
      </c>
      <c r="W3667" s="1" t="s">
        <v>26</v>
      </c>
    </row>
    <row r="3668" ht="15.75" customHeight="1">
      <c r="A3668" s="1" t="s">
        <v>3705</v>
      </c>
      <c r="B3668" s="1" t="s">
        <v>24</v>
      </c>
      <c r="C3668" s="1">
        <v>0.0</v>
      </c>
      <c r="D3668" s="1" t="s">
        <v>25</v>
      </c>
      <c r="E3668" s="1" t="s">
        <v>25</v>
      </c>
      <c r="F3668" s="1">
        <v>50.0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1">
        <v>84.4</v>
      </c>
      <c r="T3668" s="1">
        <v>4116.15</v>
      </c>
      <c r="U3668" s="1">
        <v>0.0</v>
      </c>
      <c r="V3668" s="1">
        <v>0.0</v>
      </c>
      <c r="W3668" s="1" t="s">
        <v>25</v>
      </c>
    </row>
    <row r="3669" ht="15.75" customHeight="1">
      <c r="A3669" s="1" t="s">
        <v>3706</v>
      </c>
      <c r="B3669" s="1" t="s">
        <v>24</v>
      </c>
      <c r="C3669" s="1">
        <v>1.0</v>
      </c>
      <c r="D3669" s="1" t="s">
        <v>25</v>
      </c>
      <c r="E3669" s="1" t="s">
        <v>25</v>
      </c>
      <c r="F3669" s="1">
        <v>24.0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1">
        <v>96.55</v>
      </c>
      <c r="T3669" s="1">
        <v>2263.45</v>
      </c>
      <c r="U3669" s="1">
        <v>0.0</v>
      </c>
      <c r="V3669" s="1">
        <v>0.0</v>
      </c>
      <c r="W3669" s="1" t="s">
        <v>26</v>
      </c>
    </row>
    <row r="3670" ht="15.75" customHeight="1">
      <c r="A3670" s="1" t="s">
        <v>3707</v>
      </c>
      <c r="B3670" s="1" t="s">
        <v>32</v>
      </c>
      <c r="C3670" s="1">
        <v>0.0</v>
      </c>
      <c r="D3670" s="1" t="s">
        <v>25</v>
      </c>
      <c r="E3670" s="1" t="s">
        <v>26</v>
      </c>
      <c r="F3670" s="1">
        <v>22.0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1">
        <v>59.75</v>
      </c>
      <c r="T3670" s="1">
        <v>1374.35</v>
      </c>
      <c r="U3670" s="1">
        <v>0.0</v>
      </c>
      <c r="V3670" s="1">
        <v>0.0</v>
      </c>
      <c r="W3670" s="1" t="s">
        <v>26</v>
      </c>
    </row>
    <row r="3671" ht="15.75" customHeight="1">
      <c r="A3671" s="1" t="s">
        <v>3708</v>
      </c>
      <c r="B3671" s="1" t="s">
        <v>32</v>
      </c>
      <c r="C3671" s="1">
        <v>0.0</v>
      </c>
      <c r="D3671" s="1" t="s">
        <v>26</v>
      </c>
      <c r="E3671" s="1" t="s">
        <v>26</v>
      </c>
      <c r="F3671" s="1">
        <v>44.0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1">
        <v>111.5</v>
      </c>
      <c r="T3671" s="1">
        <v>4915.15</v>
      </c>
      <c r="U3671" s="1">
        <v>5.0</v>
      </c>
      <c r="V3671" s="1">
        <v>0.0</v>
      </c>
      <c r="W3671" s="1" t="s">
        <v>26</v>
      </c>
    </row>
    <row r="3672" ht="15.75" customHeight="1">
      <c r="A3672" s="1" t="s">
        <v>3709</v>
      </c>
      <c r="B3672" s="1" t="s">
        <v>24</v>
      </c>
      <c r="C3672" s="1">
        <v>0.0</v>
      </c>
      <c r="D3672" s="1" t="s">
        <v>25</v>
      </c>
      <c r="E3672" s="1" t="s">
        <v>25</v>
      </c>
      <c r="F3672" s="1">
        <v>33.0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1">
        <v>24.25</v>
      </c>
      <c r="T3672" s="1">
        <v>838.5</v>
      </c>
      <c r="U3672" s="1">
        <v>0.0</v>
      </c>
      <c r="V3672" s="1">
        <v>0.0</v>
      </c>
      <c r="W3672" s="1" t="s">
        <v>26</v>
      </c>
    </row>
    <row r="3673" ht="15.75" customHeight="1">
      <c r="A3673" s="1" t="s">
        <v>3710</v>
      </c>
      <c r="B3673" s="1" t="s">
        <v>24</v>
      </c>
      <c r="C3673" s="1">
        <v>0.0</v>
      </c>
      <c r="D3673" s="1" t="s">
        <v>26</v>
      </c>
      <c r="E3673" s="1" t="s">
        <v>26</v>
      </c>
      <c r="F3673" s="1">
        <v>1.0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1">
        <v>75.1</v>
      </c>
      <c r="T3673" s="1">
        <v>75.1</v>
      </c>
      <c r="U3673" s="1">
        <v>4.0</v>
      </c>
      <c r="V3673" s="1">
        <v>0.0</v>
      </c>
      <c r="W3673" s="1" t="s">
        <v>25</v>
      </c>
    </row>
    <row r="3674" ht="15.75" customHeight="1">
      <c r="A3674" s="1" t="s">
        <v>3711</v>
      </c>
      <c r="B3674" s="1" t="s">
        <v>24</v>
      </c>
      <c r="C3674" s="1">
        <v>0.0</v>
      </c>
      <c r="D3674" s="1" t="s">
        <v>25</v>
      </c>
      <c r="E3674" s="1" t="s">
        <v>26</v>
      </c>
      <c r="F3674" s="1">
        <v>54.0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1">
        <v>70.15</v>
      </c>
      <c r="T3674" s="1">
        <v>3715.65</v>
      </c>
      <c r="U3674" s="1">
        <v>0.0</v>
      </c>
      <c r="V3674" s="1">
        <v>3.0</v>
      </c>
      <c r="W3674" s="1" t="s">
        <v>25</v>
      </c>
    </row>
    <row r="3675" ht="15.75" customHeight="1">
      <c r="A3675" s="1" t="s">
        <v>3712</v>
      </c>
      <c r="B3675" s="1" t="s">
        <v>32</v>
      </c>
      <c r="C3675" s="1">
        <v>0.0</v>
      </c>
      <c r="D3675" s="1" t="s">
        <v>26</v>
      </c>
      <c r="E3675" s="1" t="s">
        <v>26</v>
      </c>
      <c r="F3675" s="1">
        <v>42.0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1">
        <v>101.75</v>
      </c>
      <c r="T3675" s="1">
        <v>4273.45</v>
      </c>
      <c r="U3675" s="1">
        <v>0.0</v>
      </c>
      <c r="V3675" s="1">
        <v>6.0</v>
      </c>
      <c r="W3675" s="1" t="s">
        <v>25</v>
      </c>
    </row>
    <row r="3676" ht="15.75" customHeight="1">
      <c r="A3676" s="1" t="s">
        <v>3713</v>
      </c>
      <c r="B3676" s="1" t="s">
        <v>24</v>
      </c>
      <c r="C3676" s="1">
        <v>0.0</v>
      </c>
      <c r="D3676" s="1" t="s">
        <v>26</v>
      </c>
      <c r="E3676" s="1" t="s">
        <v>26</v>
      </c>
      <c r="F3676" s="1">
        <v>1.0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1">
        <v>45.8</v>
      </c>
      <c r="T3676" s="1">
        <v>45.8</v>
      </c>
      <c r="U3676" s="1">
        <v>0.0</v>
      </c>
      <c r="V3676" s="1">
        <v>0.0</v>
      </c>
      <c r="W3676" s="1" t="s">
        <v>25</v>
      </c>
    </row>
    <row r="3677" ht="15.75" customHeight="1">
      <c r="A3677" s="1" t="s">
        <v>3714</v>
      </c>
      <c r="B3677" s="1" t="s">
        <v>24</v>
      </c>
      <c r="C3677" s="1">
        <v>0.0</v>
      </c>
      <c r="D3677" s="1" t="s">
        <v>26</v>
      </c>
      <c r="E3677" s="1" t="s">
        <v>26</v>
      </c>
      <c r="F3677" s="1">
        <v>1.0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1">
        <v>20.5</v>
      </c>
      <c r="T3677" s="1">
        <v>20.5</v>
      </c>
      <c r="U3677" s="1">
        <v>3.0</v>
      </c>
      <c r="V3677" s="1">
        <v>0.0</v>
      </c>
      <c r="W3677" s="1" t="s">
        <v>26</v>
      </c>
    </row>
    <row r="3678" ht="15.75" customHeight="1">
      <c r="A3678" s="1" t="s">
        <v>3715</v>
      </c>
      <c r="B3678" s="1" t="s">
        <v>32</v>
      </c>
      <c r="C3678" s="1">
        <v>0.0</v>
      </c>
      <c r="D3678" s="1" t="s">
        <v>26</v>
      </c>
      <c r="E3678" s="1" t="s">
        <v>26</v>
      </c>
      <c r="F3678" s="1">
        <v>30.0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1">
        <v>70.4</v>
      </c>
      <c r="T3678" s="1">
        <v>2044.75</v>
      </c>
      <c r="U3678" s="1">
        <v>1.0</v>
      </c>
      <c r="V3678" s="1">
        <v>2.0</v>
      </c>
      <c r="W3678" s="1" t="s">
        <v>26</v>
      </c>
    </row>
    <row r="3679" ht="15.75" customHeight="1">
      <c r="A3679" s="1" t="s">
        <v>3716</v>
      </c>
      <c r="B3679" s="1" t="s">
        <v>24</v>
      </c>
      <c r="C3679" s="1">
        <v>0.0</v>
      </c>
      <c r="D3679" s="1" t="s">
        <v>26</v>
      </c>
      <c r="E3679" s="1" t="s">
        <v>26</v>
      </c>
      <c r="F3679" s="1">
        <v>1.0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1">
        <v>30.55</v>
      </c>
      <c r="T3679" s="1">
        <v>30.55</v>
      </c>
      <c r="U3679" s="1">
        <v>0.0</v>
      </c>
      <c r="V3679" s="1">
        <v>0.0</v>
      </c>
      <c r="W3679" s="1" t="s">
        <v>26</v>
      </c>
    </row>
    <row r="3680" ht="15.75" customHeight="1">
      <c r="A3680" s="1" t="s">
        <v>3717</v>
      </c>
      <c r="B3680" s="1" t="s">
        <v>32</v>
      </c>
      <c r="C3680" s="1">
        <v>0.0</v>
      </c>
      <c r="D3680" s="1" t="s">
        <v>25</v>
      </c>
      <c r="E3680" s="1" t="s">
        <v>25</v>
      </c>
      <c r="F3680" s="1">
        <v>16.0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1">
        <v>84.9</v>
      </c>
      <c r="T3680" s="1">
        <v>1398.25</v>
      </c>
      <c r="U3680" s="1">
        <v>0.0</v>
      </c>
      <c r="V3680" s="1">
        <v>0.0</v>
      </c>
      <c r="W3680" s="1" t="s">
        <v>26</v>
      </c>
    </row>
    <row r="3681" ht="15.75" customHeight="1">
      <c r="A3681" s="1" t="s">
        <v>3718</v>
      </c>
      <c r="B3681" s="1" t="s">
        <v>32</v>
      </c>
      <c r="C3681" s="1">
        <v>0.0</v>
      </c>
      <c r="D3681" s="1" t="s">
        <v>26</v>
      </c>
      <c r="E3681" s="1" t="s">
        <v>26</v>
      </c>
      <c r="F3681" s="1">
        <v>1.0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1">
        <v>20.1</v>
      </c>
      <c r="T3681" s="1">
        <v>20.1</v>
      </c>
      <c r="U3681" s="1">
        <v>0.0</v>
      </c>
      <c r="V3681" s="1">
        <v>0.0</v>
      </c>
      <c r="W3681" s="1" t="s">
        <v>25</v>
      </c>
    </row>
    <row r="3682" ht="15.75" customHeight="1">
      <c r="A3682" s="1" t="s">
        <v>3719</v>
      </c>
      <c r="B3682" s="1" t="s">
        <v>32</v>
      </c>
      <c r="C3682" s="1">
        <v>0.0</v>
      </c>
      <c r="D3682" s="1" t="s">
        <v>25</v>
      </c>
      <c r="E3682" s="1" t="s">
        <v>26</v>
      </c>
      <c r="F3682" s="1">
        <v>9.0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1">
        <v>40.65</v>
      </c>
      <c r="T3682" s="1">
        <v>328.95</v>
      </c>
      <c r="U3682" s="1">
        <v>0.0</v>
      </c>
      <c r="V3682" s="1">
        <v>0.0</v>
      </c>
      <c r="W3682" s="1" t="s">
        <v>25</v>
      </c>
    </row>
    <row r="3683" ht="15.75" customHeight="1">
      <c r="A3683" s="1" t="s">
        <v>3720</v>
      </c>
      <c r="B3683" s="1" t="s">
        <v>32</v>
      </c>
      <c r="C3683" s="1">
        <v>1.0</v>
      </c>
      <c r="D3683" s="1" t="s">
        <v>25</v>
      </c>
      <c r="E3683" s="1" t="s">
        <v>26</v>
      </c>
      <c r="F3683" s="1">
        <v>46.0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1">
        <v>101.0</v>
      </c>
      <c r="T3683" s="1">
        <v>4680.05</v>
      </c>
      <c r="U3683" s="1">
        <v>0.0</v>
      </c>
      <c r="V3683" s="1">
        <v>4.0</v>
      </c>
      <c r="W3683" s="1" t="s">
        <v>25</v>
      </c>
    </row>
    <row r="3684" ht="15.75" customHeight="1">
      <c r="A3684" s="1" t="s">
        <v>3721</v>
      </c>
      <c r="B3684" s="1" t="s">
        <v>32</v>
      </c>
      <c r="C3684" s="1">
        <v>0.0</v>
      </c>
      <c r="D3684" s="1" t="s">
        <v>26</v>
      </c>
      <c r="E3684" s="1" t="s">
        <v>26</v>
      </c>
      <c r="F3684" s="1">
        <v>1.0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1">
        <v>69.1</v>
      </c>
      <c r="T3684" s="1">
        <v>69.1</v>
      </c>
      <c r="U3684" s="1">
        <v>0.0</v>
      </c>
      <c r="V3684" s="1">
        <v>0.0</v>
      </c>
      <c r="W3684" s="1" t="s">
        <v>25</v>
      </c>
    </row>
    <row r="3685" ht="15.75" customHeight="1">
      <c r="A3685" s="1" t="s">
        <v>3722</v>
      </c>
      <c r="B3685" s="1" t="s">
        <v>32</v>
      </c>
      <c r="C3685" s="1">
        <v>0.0</v>
      </c>
      <c r="D3685" s="1" t="s">
        <v>25</v>
      </c>
      <c r="E3685" s="1" t="s">
        <v>26</v>
      </c>
      <c r="F3685" s="1">
        <v>71.0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1">
        <v>54.5</v>
      </c>
      <c r="T3685" s="1">
        <v>3778.2</v>
      </c>
      <c r="U3685" s="1">
        <v>0.0</v>
      </c>
      <c r="V3685" s="1">
        <v>0.0</v>
      </c>
      <c r="W3685" s="1" t="s">
        <v>26</v>
      </c>
    </row>
    <row r="3686" ht="15.75" customHeight="1">
      <c r="A3686" s="1" t="s">
        <v>3723</v>
      </c>
      <c r="B3686" s="1" t="s">
        <v>32</v>
      </c>
      <c r="C3686" s="1">
        <v>0.0</v>
      </c>
      <c r="D3686" s="1" t="s">
        <v>26</v>
      </c>
      <c r="E3686" s="1" t="s">
        <v>26</v>
      </c>
      <c r="F3686" s="1">
        <v>43.0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1">
        <v>75.35</v>
      </c>
      <c r="T3686" s="1">
        <v>3161.4</v>
      </c>
      <c r="U3686" s="1">
        <v>0.0</v>
      </c>
      <c r="V3686" s="1">
        <v>0.0</v>
      </c>
      <c r="W3686" s="1" t="s">
        <v>26</v>
      </c>
    </row>
    <row r="3687" ht="15.75" customHeight="1">
      <c r="A3687" s="1" t="s">
        <v>3724</v>
      </c>
      <c r="B3687" s="1" t="s">
        <v>32</v>
      </c>
      <c r="C3687" s="1">
        <v>0.0</v>
      </c>
      <c r="D3687" s="1" t="s">
        <v>25</v>
      </c>
      <c r="E3687" s="1" t="s">
        <v>26</v>
      </c>
      <c r="F3687" s="1">
        <v>50.0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1">
        <v>44.45</v>
      </c>
      <c r="T3687" s="1">
        <v>2188.45</v>
      </c>
      <c r="U3687" s="1">
        <v>3.0</v>
      </c>
      <c r="V3687" s="1">
        <v>0.0</v>
      </c>
      <c r="W3687" s="1" t="s">
        <v>26</v>
      </c>
    </row>
    <row r="3688" ht="15.75" customHeight="1">
      <c r="A3688" s="1" t="s">
        <v>3725</v>
      </c>
      <c r="B3688" s="1" t="s">
        <v>24</v>
      </c>
      <c r="C3688" s="1">
        <v>0.0</v>
      </c>
      <c r="D3688" s="1" t="s">
        <v>26</v>
      </c>
      <c r="E3688" s="1" t="s">
        <v>26</v>
      </c>
      <c r="F3688" s="1">
        <v>13.0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1">
        <v>75.0</v>
      </c>
      <c r="T3688" s="1">
        <v>999.45</v>
      </c>
      <c r="U3688" s="1">
        <v>1.0</v>
      </c>
      <c r="V3688" s="1">
        <v>0.0</v>
      </c>
      <c r="W3688" s="1" t="s">
        <v>25</v>
      </c>
    </row>
    <row r="3689" ht="15.75" customHeight="1">
      <c r="A3689" s="1" t="s">
        <v>3726</v>
      </c>
      <c r="B3689" s="1" t="s">
        <v>32</v>
      </c>
      <c r="C3689" s="1">
        <v>0.0</v>
      </c>
      <c r="D3689" s="1" t="s">
        <v>25</v>
      </c>
      <c r="E3689" s="1" t="s">
        <v>25</v>
      </c>
      <c r="F3689" s="1">
        <v>19.0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1">
        <v>100.0</v>
      </c>
      <c r="T3689" s="1">
        <v>1888.65</v>
      </c>
      <c r="U3689" s="1">
        <v>0.0</v>
      </c>
      <c r="V3689" s="1">
        <v>0.0</v>
      </c>
      <c r="W3689" s="1" t="s">
        <v>25</v>
      </c>
    </row>
    <row r="3690" ht="15.75" customHeight="1">
      <c r="A3690" s="1" t="s">
        <v>3727</v>
      </c>
      <c r="B3690" s="1" t="s">
        <v>24</v>
      </c>
      <c r="C3690" s="1">
        <v>0.0</v>
      </c>
      <c r="D3690" s="1" t="s">
        <v>26</v>
      </c>
      <c r="E3690" s="1" t="s">
        <v>26</v>
      </c>
      <c r="F3690" s="1">
        <v>41.0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1">
        <v>98.05</v>
      </c>
      <c r="T3690" s="1">
        <v>3990.6</v>
      </c>
      <c r="U3690" s="1">
        <v>1.0</v>
      </c>
      <c r="V3690" s="1">
        <v>0.0</v>
      </c>
      <c r="W3690" s="1" t="s">
        <v>26</v>
      </c>
    </row>
    <row r="3691" ht="15.75" customHeight="1">
      <c r="A3691" s="1" t="s">
        <v>3728</v>
      </c>
      <c r="B3691" s="1" t="s">
        <v>24</v>
      </c>
      <c r="C3691" s="1">
        <v>1.0</v>
      </c>
      <c r="D3691" s="1" t="s">
        <v>26</v>
      </c>
      <c r="E3691" s="1" t="s">
        <v>26</v>
      </c>
      <c r="F3691" s="1">
        <v>1.0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1">
        <v>71.15</v>
      </c>
      <c r="T3691" s="1">
        <v>71.15</v>
      </c>
      <c r="U3691" s="1">
        <v>1.0</v>
      </c>
      <c r="V3691" s="1">
        <v>0.0</v>
      </c>
      <c r="W3691" s="1" t="s">
        <v>25</v>
      </c>
    </row>
    <row r="3692" ht="15.75" customHeight="1">
      <c r="A3692" s="1" t="s">
        <v>3729</v>
      </c>
      <c r="B3692" s="1" t="s">
        <v>24</v>
      </c>
      <c r="C3692" s="1">
        <v>0.0</v>
      </c>
      <c r="D3692" s="1" t="s">
        <v>26</v>
      </c>
      <c r="E3692" s="1" t="s">
        <v>26</v>
      </c>
      <c r="F3692" s="1">
        <v>24.0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1">
        <v>54.15</v>
      </c>
      <c r="T3692" s="1">
        <v>1240.25</v>
      </c>
      <c r="U3692" s="1">
        <v>2.0</v>
      </c>
      <c r="V3692" s="1">
        <v>1.0</v>
      </c>
      <c r="W3692" s="1" t="s">
        <v>25</v>
      </c>
    </row>
    <row r="3693" ht="15.75" customHeight="1">
      <c r="A3693" s="1" t="s">
        <v>3730</v>
      </c>
      <c r="B3693" s="1" t="s">
        <v>24</v>
      </c>
      <c r="C3693" s="1">
        <v>0.0</v>
      </c>
      <c r="D3693" s="1" t="s">
        <v>25</v>
      </c>
      <c r="E3693" s="1" t="s">
        <v>26</v>
      </c>
      <c r="F3693" s="1">
        <v>40.0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1">
        <v>63.9</v>
      </c>
      <c r="T3693" s="1">
        <v>2635.0</v>
      </c>
      <c r="U3693" s="1">
        <v>0.0</v>
      </c>
      <c r="V3693" s="1">
        <v>0.0</v>
      </c>
      <c r="W3693" s="1" t="s">
        <v>26</v>
      </c>
    </row>
    <row r="3694" ht="15.75" customHeight="1">
      <c r="A3694" s="1" t="s">
        <v>3731</v>
      </c>
      <c r="B3694" s="1" t="s">
        <v>24</v>
      </c>
      <c r="C3694" s="1">
        <v>0.0</v>
      </c>
      <c r="D3694" s="1" t="s">
        <v>25</v>
      </c>
      <c r="E3694" s="1" t="s">
        <v>25</v>
      </c>
      <c r="F3694" s="1">
        <v>3.0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1">
        <v>69.15</v>
      </c>
      <c r="T3694" s="1">
        <v>235.0</v>
      </c>
      <c r="U3694" s="1">
        <v>1.0</v>
      </c>
      <c r="V3694" s="1">
        <v>0.0</v>
      </c>
      <c r="W3694" s="1" t="s">
        <v>26</v>
      </c>
    </row>
    <row r="3695" ht="15.75" customHeight="1">
      <c r="A3695" s="1" t="s">
        <v>3732</v>
      </c>
      <c r="B3695" s="1" t="s">
        <v>24</v>
      </c>
      <c r="C3695" s="1">
        <v>0.0</v>
      </c>
      <c r="D3695" s="1" t="s">
        <v>26</v>
      </c>
      <c r="E3695" s="1" t="s">
        <v>26</v>
      </c>
      <c r="F3695" s="1">
        <v>37.0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1">
        <v>64.65</v>
      </c>
      <c r="T3695" s="1">
        <v>2347.85</v>
      </c>
      <c r="U3695" s="1">
        <v>0.0</v>
      </c>
      <c r="V3695" s="1">
        <v>2.0</v>
      </c>
      <c r="W3695" s="1" t="s">
        <v>26</v>
      </c>
    </row>
    <row r="3696" ht="15.75" customHeight="1">
      <c r="A3696" s="1" t="s">
        <v>3733</v>
      </c>
      <c r="B3696" s="1" t="s">
        <v>24</v>
      </c>
      <c r="C3696" s="1">
        <v>0.0</v>
      </c>
      <c r="D3696" s="1" t="s">
        <v>25</v>
      </c>
      <c r="E3696" s="1" t="s">
        <v>25</v>
      </c>
      <c r="F3696" s="1">
        <v>67.0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1">
        <v>108.75</v>
      </c>
      <c r="T3696" s="1">
        <v>7156.2</v>
      </c>
      <c r="U3696" s="1">
        <v>0.0</v>
      </c>
      <c r="V3696" s="1">
        <v>6.0</v>
      </c>
      <c r="W3696" s="1" t="s">
        <v>25</v>
      </c>
    </row>
    <row r="3697" ht="15.75" customHeight="1">
      <c r="A3697" s="1" t="s">
        <v>3734</v>
      </c>
      <c r="B3697" s="1" t="s">
        <v>24</v>
      </c>
      <c r="C3697" s="1">
        <v>0.0</v>
      </c>
      <c r="D3697" s="1" t="s">
        <v>25</v>
      </c>
      <c r="E3697" s="1" t="s">
        <v>25</v>
      </c>
      <c r="F3697" s="1">
        <v>32.0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1">
        <v>98.85</v>
      </c>
      <c r="T3697" s="1">
        <v>3089.6</v>
      </c>
      <c r="U3697" s="1">
        <v>0.0</v>
      </c>
      <c r="V3697" s="1">
        <v>0.0</v>
      </c>
      <c r="W3697" s="1" t="s">
        <v>26</v>
      </c>
    </row>
    <row r="3698" ht="15.75" customHeight="1">
      <c r="A3698" s="1" t="s">
        <v>3735</v>
      </c>
      <c r="B3698" s="1" t="s">
        <v>24</v>
      </c>
      <c r="C3698" s="1">
        <v>0.0</v>
      </c>
      <c r="D3698" s="1" t="s">
        <v>25</v>
      </c>
      <c r="E3698" s="1" t="s">
        <v>26</v>
      </c>
      <c r="F3698" s="1">
        <v>6.0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1">
        <v>49.15</v>
      </c>
      <c r="T3698" s="1">
        <v>270.8</v>
      </c>
      <c r="U3698" s="1">
        <v>0.0</v>
      </c>
      <c r="V3698" s="1">
        <v>0.0</v>
      </c>
      <c r="W3698" s="1" t="s">
        <v>25</v>
      </c>
    </row>
    <row r="3699" ht="15.75" customHeight="1">
      <c r="A3699" s="1" t="s">
        <v>3736</v>
      </c>
      <c r="B3699" s="1" t="s">
        <v>24</v>
      </c>
      <c r="C3699" s="1">
        <v>0.0</v>
      </c>
      <c r="D3699" s="1" t="s">
        <v>25</v>
      </c>
      <c r="E3699" s="1" t="s">
        <v>25</v>
      </c>
      <c r="F3699" s="1">
        <v>32.0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1">
        <v>89.6</v>
      </c>
      <c r="T3699" s="1">
        <v>2901.8</v>
      </c>
      <c r="U3699" s="1">
        <v>0.0</v>
      </c>
      <c r="V3699" s="1">
        <v>0.0</v>
      </c>
      <c r="W3699" s="1" t="s">
        <v>26</v>
      </c>
    </row>
    <row r="3700" ht="15.75" customHeight="1">
      <c r="A3700" s="1" t="s">
        <v>3737</v>
      </c>
      <c r="B3700" s="1" t="s">
        <v>24</v>
      </c>
      <c r="C3700" s="1">
        <v>0.0</v>
      </c>
      <c r="D3700" s="1" t="s">
        <v>26</v>
      </c>
      <c r="E3700" s="1" t="s">
        <v>26</v>
      </c>
      <c r="F3700" s="1">
        <v>59.0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1">
        <v>83.25</v>
      </c>
      <c r="T3700" s="1">
        <v>4949.1</v>
      </c>
      <c r="U3700" s="1">
        <v>0.0</v>
      </c>
      <c r="V3700" s="1">
        <v>0.0</v>
      </c>
      <c r="W3700" s="1" t="s">
        <v>26</v>
      </c>
    </row>
    <row r="3701" ht="15.75" customHeight="1">
      <c r="A3701" s="1" t="s">
        <v>3738</v>
      </c>
      <c r="B3701" s="1" t="s">
        <v>24</v>
      </c>
      <c r="C3701" s="1">
        <v>0.0</v>
      </c>
      <c r="D3701" s="1" t="s">
        <v>25</v>
      </c>
      <c r="E3701" s="1" t="s">
        <v>26</v>
      </c>
      <c r="F3701" s="1">
        <v>30.0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1">
        <v>70.25</v>
      </c>
      <c r="T3701" s="1">
        <v>2198.9</v>
      </c>
      <c r="U3701" s="1">
        <v>0.0</v>
      </c>
      <c r="V3701" s="1">
        <v>0.0</v>
      </c>
      <c r="W3701" s="1" t="s">
        <v>26</v>
      </c>
    </row>
    <row r="3702" ht="15.75" customHeight="1">
      <c r="A3702" s="1" t="s">
        <v>3739</v>
      </c>
      <c r="B3702" s="1" t="s">
        <v>32</v>
      </c>
      <c r="C3702" s="1">
        <v>0.0</v>
      </c>
      <c r="D3702" s="1" t="s">
        <v>26</v>
      </c>
      <c r="E3702" s="1" t="s">
        <v>25</v>
      </c>
      <c r="F3702" s="1">
        <v>20.0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1">
        <v>19.4</v>
      </c>
      <c r="T3702" s="1">
        <v>374.5</v>
      </c>
      <c r="U3702" s="1">
        <v>0.0</v>
      </c>
      <c r="V3702" s="1">
        <v>0.0</v>
      </c>
      <c r="W3702" s="1" t="s">
        <v>25</v>
      </c>
    </row>
    <row r="3703" ht="15.75" customHeight="1">
      <c r="A3703" s="1" t="s">
        <v>3740</v>
      </c>
      <c r="B3703" s="1" t="s">
        <v>24</v>
      </c>
      <c r="C3703" s="1">
        <v>0.0</v>
      </c>
      <c r="D3703" s="1" t="s">
        <v>25</v>
      </c>
      <c r="E3703" s="1" t="s">
        <v>25</v>
      </c>
      <c r="F3703" s="1">
        <v>27.0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1">
        <v>24.5</v>
      </c>
      <c r="T3703" s="1">
        <v>761.95</v>
      </c>
      <c r="U3703" s="1">
        <v>0.0</v>
      </c>
      <c r="V3703" s="1">
        <v>0.0</v>
      </c>
      <c r="W3703" s="1" t="s">
        <v>26</v>
      </c>
    </row>
    <row r="3704" ht="15.75" customHeight="1">
      <c r="A3704" s="1" t="s">
        <v>3741</v>
      </c>
      <c r="B3704" s="1" t="s">
        <v>24</v>
      </c>
      <c r="C3704" s="1">
        <v>1.0</v>
      </c>
      <c r="D3704" s="1" t="s">
        <v>26</v>
      </c>
      <c r="E3704" s="1" t="s">
        <v>26</v>
      </c>
      <c r="F3704" s="1">
        <v>20.0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1">
        <v>79.15</v>
      </c>
      <c r="T3704" s="1">
        <v>1520.9</v>
      </c>
      <c r="U3704" s="1">
        <v>3.0</v>
      </c>
      <c r="V3704" s="1">
        <v>0.0</v>
      </c>
      <c r="W3704" s="1" t="s">
        <v>25</v>
      </c>
    </row>
    <row r="3705" ht="15.75" customHeight="1">
      <c r="A3705" s="1" t="s">
        <v>3742</v>
      </c>
      <c r="B3705" s="1" t="s">
        <v>32</v>
      </c>
      <c r="C3705" s="1">
        <v>0.0</v>
      </c>
      <c r="D3705" s="1" t="s">
        <v>26</v>
      </c>
      <c r="E3705" s="1" t="s">
        <v>25</v>
      </c>
      <c r="F3705" s="1">
        <v>9.0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1">
        <v>20.1</v>
      </c>
      <c r="T3705" s="1">
        <v>190.25</v>
      </c>
      <c r="U3705" s="1">
        <v>0.0</v>
      </c>
      <c r="V3705" s="1">
        <v>0.0</v>
      </c>
      <c r="W3705" s="1" t="s">
        <v>26</v>
      </c>
    </row>
    <row r="3706" ht="15.75" customHeight="1">
      <c r="A3706" s="1" t="s">
        <v>3743</v>
      </c>
      <c r="B3706" s="1" t="s">
        <v>24</v>
      </c>
      <c r="C3706" s="1">
        <v>0.0</v>
      </c>
      <c r="D3706" s="1" t="s">
        <v>25</v>
      </c>
      <c r="E3706" s="1" t="s">
        <v>25</v>
      </c>
      <c r="F3706" s="1">
        <v>68.0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1">
        <v>73.0</v>
      </c>
      <c r="T3706" s="1">
        <v>5163.0</v>
      </c>
      <c r="U3706" s="1">
        <v>0.0</v>
      </c>
      <c r="V3706" s="1">
        <v>0.0</v>
      </c>
      <c r="W3706" s="1" t="s">
        <v>26</v>
      </c>
    </row>
    <row r="3707" ht="15.75" customHeight="1">
      <c r="A3707" s="1" t="s">
        <v>3744</v>
      </c>
      <c r="B3707" s="1" t="s">
        <v>24</v>
      </c>
      <c r="C3707" s="1">
        <v>0.0</v>
      </c>
      <c r="D3707" s="1" t="s">
        <v>25</v>
      </c>
      <c r="E3707" s="1" t="s">
        <v>25</v>
      </c>
      <c r="F3707" s="1">
        <v>69.0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1">
        <v>61.4</v>
      </c>
      <c r="T3707" s="1">
        <v>4059.85</v>
      </c>
      <c r="U3707" s="1">
        <v>1.0</v>
      </c>
      <c r="V3707" s="1">
        <v>0.0</v>
      </c>
      <c r="W3707" s="1" t="s">
        <v>26</v>
      </c>
    </row>
    <row r="3708" ht="15.75" customHeight="1">
      <c r="A3708" s="1" t="s">
        <v>3745</v>
      </c>
      <c r="B3708" s="1" t="s">
        <v>32</v>
      </c>
      <c r="C3708" s="1">
        <v>0.0</v>
      </c>
      <c r="D3708" s="1" t="s">
        <v>26</v>
      </c>
      <c r="E3708" s="1" t="s">
        <v>26</v>
      </c>
      <c r="F3708" s="1">
        <v>26.0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1">
        <v>84.3</v>
      </c>
      <c r="T3708" s="1">
        <v>2281.6</v>
      </c>
      <c r="U3708" s="1">
        <v>0.0</v>
      </c>
      <c r="V3708" s="1">
        <v>0.0</v>
      </c>
      <c r="W3708" s="1" t="s">
        <v>26</v>
      </c>
    </row>
    <row r="3709" ht="15.75" customHeight="1">
      <c r="A3709" s="1" t="s">
        <v>3746</v>
      </c>
      <c r="B3709" s="1" t="s">
        <v>32</v>
      </c>
      <c r="C3709" s="1">
        <v>0.0</v>
      </c>
      <c r="D3709" s="1" t="s">
        <v>25</v>
      </c>
      <c r="E3709" s="1" t="s">
        <v>25</v>
      </c>
      <c r="F3709" s="1">
        <v>69.0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1">
        <v>19.9</v>
      </c>
      <c r="T3709" s="1">
        <v>1356.7</v>
      </c>
      <c r="U3709" s="1">
        <v>0.0</v>
      </c>
      <c r="V3709" s="1">
        <v>0.0</v>
      </c>
      <c r="W3709" s="1" t="s">
        <v>26</v>
      </c>
    </row>
    <row r="3710" ht="15.75" customHeight="1">
      <c r="A3710" s="1" t="s">
        <v>3747</v>
      </c>
      <c r="B3710" s="1" t="s">
        <v>32</v>
      </c>
      <c r="C3710" s="1">
        <v>0.0</v>
      </c>
      <c r="D3710" s="1" t="s">
        <v>26</v>
      </c>
      <c r="E3710" s="1" t="s">
        <v>26</v>
      </c>
      <c r="F3710" s="1">
        <v>11.0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1">
        <v>20.4</v>
      </c>
      <c r="T3710" s="1">
        <v>231.45</v>
      </c>
      <c r="U3710" s="1">
        <v>0.0</v>
      </c>
      <c r="V3710" s="1">
        <v>0.0</v>
      </c>
      <c r="W3710" s="1" t="s">
        <v>26</v>
      </c>
    </row>
    <row r="3711" ht="15.75" customHeight="1">
      <c r="A3711" s="1" t="s">
        <v>3748</v>
      </c>
      <c r="B3711" s="1" t="s">
        <v>32</v>
      </c>
      <c r="C3711" s="1">
        <v>0.0</v>
      </c>
      <c r="D3711" s="1" t="s">
        <v>26</v>
      </c>
      <c r="E3711" s="1" t="s">
        <v>26</v>
      </c>
      <c r="F3711" s="1">
        <v>1.0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1">
        <v>50.75</v>
      </c>
      <c r="T3711" s="1">
        <v>50.75</v>
      </c>
      <c r="U3711" s="1">
        <v>0.0</v>
      </c>
      <c r="V3711" s="1">
        <v>0.0</v>
      </c>
      <c r="W3711" s="1" t="s">
        <v>26</v>
      </c>
    </row>
    <row r="3712" ht="15.75" customHeight="1">
      <c r="A3712" s="1" t="s">
        <v>3749</v>
      </c>
      <c r="B3712" s="1" t="s">
        <v>32</v>
      </c>
      <c r="C3712" s="1">
        <v>0.0</v>
      </c>
      <c r="D3712" s="1" t="s">
        <v>25</v>
      </c>
      <c r="E3712" s="1" t="s">
        <v>25</v>
      </c>
      <c r="F3712" s="1">
        <v>10.0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1">
        <v>20.45</v>
      </c>
      <c r="T3712" s="1">
        <v>242.4</v>
      </c>
      <c r="U3712" s="1">
        <v>0.0</v>
      </c>
      <c r="V3712" s="1">
        <v>0.0</v>
      </c>
      <c r="W3712" s="1" t="s">
        <v>26</v>
      </c>
    </row>
    <row r="3713" ht="15.75" customHeight="1">
      <c r="A3713" s="1" t="s">
        <v>3750</v>
      </c>
      <c r="B3713" s="1" t="s">
        <v>24</v>
      </c>
      <c r="C3713" s="1">
        <v>0.0</v>
      </c>
      <c r="D3713" s="1" t="s">
        <v>25</v>
      </c>
      <c r="E3713" s="1" t="s">
        <v>25</v>
      </c>
      <c r="F3713" s="1">
        <v>55.0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1">
        <v>75.75</v>
      </c>
      <c r="T3713" s="1">
        <v>4264.25</v>
      </c>
      <c r="U3713" s="1">
        <v>0.0</v>
      </c>
      <c r="V3713" s="1">
        <v>0.0</v>
      </c>
      <c r="W3713" s="1" t="s">
        <v>26</v>
      </c>
    </row>
    <row r="3714" ht="15.75" customHeight="1">
      <c r="A3714" s="1" t="s">
        <v>3751</v>
      </c>
      <c r="B3714" s="1" t="s">
        <v>32</v>
      </c>
      <c r="C3714" s="1">
        <v>0.0</v>
      </c>
      <c r="D3714" s="1" t="s">
        <v>26</v>
      </c>
      <c r="E3714" s="1" t="s">
        <v>26</v>
      </c>
      <c r="F3714" s="1">
        <v>44.0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1">
        <v>65.4</v>
      </c>
      <c r="T3714" s="1">
        <v>2774.55</v>
      </c>
      <c r="U3714" s="1">
        <v>0.0</v>
      </c>
      <c r="V3714" s="1">
        <v>0.0</v>
      </c>
      <c r="W3714" s="1" t="s">
        <v>26</v>
      </c>
    </row>
    <row r="3715" ht="15.75" customHeight="1">
      <c r="A3715" s="1" t="s">
        <v>3752</v>
      </c>
      <c r="B3715" s="1" t="s">
        <v>32</v>
      </c>
      <c r="C3715" s="1">
        <v>1.0</v>
      </c>
      <c r="D3715" s="1" t="s">
        <v>25</v>
      </c>
      <c r="E3715" s="1" t="s">
        <v>26</v>
      </c>
      <c r="F3715" s="1">
        <v>46.0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1">
        <v>80.4</v>
      </c>
      <c r="T3715" s="1">
        <v>3605.2</v>
      </c>
      <c r="U3715" s="1">
        <v>2.0</v>
      </c>
      <c r="V3715" s="1">
        <v>0.0</v>
      </c>
      <c r="W3715" s="1" t="s">
        <v>25</v>
      </c>
    </row>
    <row r="3716" ht="15.75" customHeight="1">
      <c r="A3716" s="1" t="s">
        <v>3753</v>
      </c>
      <c r="B3716" s="1" t="s">
        <v>32</v>
      </c>
      <c r="C3716" s="1">
        <v>0.0</v>
      </c>
      <c r="D3716" s="1" t="s">
        <v>25</v>
      </c>
      <c r="E3716" s="1" t="s">
        <v>25</v>
      </c>
      <c r="F3716" s="1">
        <v>69.0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1">
        <v>59.75</v>
      </c>
      <c r="T3716" s="1">
        <v>4069.9</v>
      </c>
      <c r="U3716" s="1">
        <v>0.0</v>
      </c>
      <c r="V3716" s="1">
        <v>0.0</v>
      </c>
      <c r="W3716" s="1" t="s">
        <v>26</v>
      </c>
    </row>
    <row r="3717" ht="15.75" customHeight="1">
      <c r="A3717" s="1" t="s">
        <v>3754</v>
      </c>
      <c r="B3717" s="1" t="s">
        <v>32</v>
      </c>
      <c r="C3717" s="1">
        <v>1.0</v>
      </c>
      <c r="D3717" s="1" t="s">
        <v>26</v>
      </c>
      <c r="E3717" s="1" t="s">
        <v>26</v>
      </c>
      <c r="F3717" s="1">
        <v>11.0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1">
        <v>78.5</v>
      </c>
      <c r="T3717" s="1">
        <v>874.2</v>
      </c>
      <c r="U3717" s="1">
        <v>0.0</v>
      </c>
      <c r="V3717" s="1">
        <v>0.0</v>
      </c>
      <c r="W3717" s="1" t="s">
        <v>26</v>
      </c>
    </row>
    <row r="3718" ht="15.75" customHeight="1">
      <c r="A3718" s="1" t="s">
        <v>3755</v>
      </c>
      <c r="B3718" s="1" t="s">
        <v>24</v>
      </c>
      <c r="C3718" s="1">
        <v>0.0</v>
      </c>
      <c r="D3718" s="1" t="s">
        <v>25</v>
      </c>
      <c r="E3718" s="1" t="s">
        <v>26</v>
      </c>
      <c r="F3718" s="1">
        <v>11.0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1">
        <v>102.0</v>
      </c>
      <c r="T3718" s="1">
        <v>1145.35</v>
      </c>
      <c r="U3718" s="1">
        <v>0.0</v>
      </c>
      <c r="V3718" s="1">
        <v>1.0</v>
      </c>
      <c r="W3718" s="1" t="s">
        <v>25</v>
      </c>
    </row>
    <row r="3719" ht="15.75" customHeight="1">
      <c r="A3719" s="1" t="s">
        <v>3756</v>
      </c>
      <c r="B3719" s="1" t="s">
        <v>32</v>
      </c>
      <c r="C3719" s="1">
        <v>0.0</v>
      </c>
      <c r="D3719" s="1" t="s">
        <v>26</v>
      </c>
      <c r="E3719" s="1" t="s">
        <v>26</v>
      </c>
      <c r="F3719" s="1">
        <v>29.0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1">
        <v>48.95</v>
      </c>
      <c r="T3719" s="1">
        <v>1323.7</v>
      </c>
      <c r="U3719" s="1">
        <v>0.0</v>
      </c>
      <c r="V3719" s="1">
        <v>0.0</v>
      </c>
      <c r="W3719" s="1" t="s">
        <v>26</v>
      </c>
    </row>
    <row r="3720" ht="15.75" customHeight="1">
      <c r="A3720" s="1" t="s">
        <v>3757</v>
      </c>
      <c r="B3720" s="1" t="s">
        <v>24</v>
      </c>
      <c r="C3720" s="1">
        <v>0.0</v>
      </c>
      <c r="D3720" s="1" t="s">
        <v>25</v>
      </c>
      <c r="E3720" s="1" t="s">
        <v>26</v>
      </c>
      <c r="F3720" s="1">
        <v>57.0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1">
        <v>99.65</v>
      </c>
      <c r="T3720" s="1">
        <v>5497.05</v>
      </c>
      <c r="U3720" s="1">
        <v>5.0</v>
      </c>
      <c r="V3720" s="1">
        <v>0.0</v>
      </c>
      <c r="W3720" s="1" t="s">
        <v>26</v>
      </c>
    </row>
    <row r="3721" ht="15.75" customHeight="1">
      <c r="A3721" s="1" t="s">
        <v>3758</v>
      </c>
      <c r="B3721" s="1" t="s">
        <v>32</v>
      </c>
      <c r="C3721" s="1">
        <v>0.0</v>
      </c>
      <c r="D3721" s="1" t="s">
        <v>26</v>
      </c>
      <c r="E3721" s="1" t="s">
        <v>26</v>
      </c>
      <c r="F3721" s="1">
        <v>28.0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1">
        <v>18.25</v>
      </c>
      <c r="T3721" s="1">
        <v>534.7</v>
      </c>
      <c r="U3721" s="1">
        <v>0.0</v>
      </c>
      <c r="V3721" s="1">
        <v>0.0</v>
      </c>
      <c r="W3721" s="1" t="s">
        <v>26</v>
      </c>
    </row>
    <row r="3722" ht="15.75" customHeight="1">
      <c r="A3722" s="1" t="s">
        <v>3759</v>
      </c>
      <c r="B3722" s="1" t="s">
        <v>24</v>
      </c>
      <c r="C3722" s="1">
        <v>0.0</v>
      </c>
      <c r="D3722" s="1" t="s">
        <v>26</v>
      </c>
      <c r="E3722" s="1" t="s">
        <v>26</v>
      </c>
      <c r="F3722" s="1">
        <v>42.0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1">
        <v>54.55</v>
      </c>
      <c r="T3722" s="1">
        <v>2455.05</v>
      </c>
      <c r="U3722" s="1">
        <v>0.0</v>
      </c>
      <c r="V3722" s="1">
        <v>0.0</v>
      </c>
      <c r="W3722" s="1" t="s">
        <v>26</v>
      </c>
    </row>
    <row r="3723" ht="15.75" customHeight="1">
      <c r="A3723" s="1" t="s">
        <v>3760</v>
      </c>
      <c r="B3723" s="1" t="s">
        <v>24</v>
      </c>
      <c r="C3723" s="1">
        <v>0.0</v>
      </c>
      <c r="D3723" s="1" t="s">
        <v>26</v>
      </c>
      <c r="E3723" s="1" t="s">
        <v>26</v>
      </c>
      <c r="F3723" s="1">
        <v>2.0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1">
        <v>20.65</v>
      </c>
      <c r="T3723" s="1">
        <v>38.7</v>
      </c>
      <c r="U3723" s="1">
        <v>0.0</v>
      </c>
      <c r="V3723" s="1">
        <v>0.0</v>
      </c>
      <c r="W3723" s="1" t="s">
        <v>25</v>
      </c>
    </row>
    <row r="3724" ht="15.75" customHeight="1">
      <c r="A3724" s="1" t="s">
        <v>3761</v>
      </c>
      <c r="B3724" s="1" t="s">
        <v>32</v>
      </c>
      <c r="C3724" s="1">
        <v>0.0</v>
      </c>
      <c r="D3724" s="1" t="s">
        <v>26</v>
      </c>
      <c r="E3724" s="1" t="s">
        <v>25</v>
      </c>
      <c r="F3724" s="1">
        <v>23.0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1">
        <v>40.65</v>
      </c>
      <c r="T3724" s="1">
        <v>947.4</v>
      </c>
      <c r="U3724" s="1">
        <v>0.0</v>
      </c>
      <c r="V3724" s="1">
        <v>1.0</v>
      </c>
      <c r="W3724" s="1" t="s">
        <v>26</v>
      </c>
    </row>
    <row r="3725" ht="15.75" customHeight="1">
      <c r="A3725" s="1" t="s">
        <v>3762</v>
      </c>
      <c r="B3725" s="1" t="s">
        <v>24</v>
      </c>
      <c r="C3725" s="1">
        <v>0.0</v>
      </c>
      <c r="D3725" s="1" t="s">
        <v>25</v>
      </c>
      <c r="E3725" s="1" t="s">
        <v>25</v>
      </c>
      <c r="F3725" s="1">
        <v>18.0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1">
        <v>20.45</v>
      </c>
      <c r="T3725" s="1">
        <v>357.0</v>
      </c>
      <c r="U3725" s="1">
        <v>0.0</v>
      </c>
      <c r="V3725" s="1">
        <v>0.0</v>
      </c>
      <c r="W3725" s="1" t="s">
        <v>26</v>
      </c>
    </row>
    <row r="3726" ht="15.75" customHeight="1">
      <c r="A3726" s="1" t="s">
        <v>3763</v>
      </c>
      <c r="B3726" s="1" t="s">
        <v>32</v>
      </c>
      <c r="C3726" s="1">
        <v>0.0</v>
      </c>
      <c r="D3726" s="1" t="s">
        <v>25</v>
      </c>
      <c r="E3726" s="1" t="s">
        <v>25</v>
      </c>
      <c r="F3726" s="1">
        <v>62.0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1">
        <v>24.8</v>
      </c>
      <c r="T3726" s="1">
        <v>1476.25</v>
      </c>
      <c r="U3726" s="1">
        <v>3.0</v>
      </c>
      <c r="V3726" s="1">
        <v>0.0</v>
      </c>
      <c r="W3726" s="1" t="s">
        <v>26</v>
      </c>
    </row>
    <row r="3727" ht="15.75" customHeight="1">
      <c r="A3727" s="1" t="s">
        <v>3764</v>
      </c>
      <c r="B3727" s="1" t="s">
        <v>24</v>
      </c>
      <c r="C3727" s="1">
        <v>0.0</v>
      </c>
      <c r="D3727" s="1" t="s">
        <v>26</v>
      </c>
      <c r="E3727" s="1" t="s">
        <v>26</v>
      </c>
      <c r="F3727" s="1">
        <v>1.0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1">
        <v>70.8</v>
      </c>
      <c r="T3727" s="1">
        <v>70.8</v>
      </c>
      <c r="U3727" s="1">
        <v>0.0</v>
      </c>
      <c r="V3727" s="1">
        <v>0.0</v>
      </c>
      <c r="W3727" s="1" t="s">
        <v>25</v>
      </c>
    </row>
    <row r="3728" ht="15.75" customHeight="1">
      <c r="A3728" s="1" t="s">
        <v>3765</v>
      </c>
      <c r="B3728" s="1" t="s">
        <v>32</v>
      </c>
      <c r="C3728" s="1">
        <v>0.0</v>
      </c>
      <c r="D3728" s="1" t="s">
        <v>26</v>
      </c>
      <c r="E3728" s="1" t="s">
        <v>26</v>
      </c>
      <c r="F3728" s="1">
        <v>16.0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1">
        <v>89.05</v>
      </c>
      <c r="T3728" s="1">
        <v>1448.6</v>
      </c>
      <c r="U3728" s="1">
        <v>0.0</v>
      </c>
      <c r="V3728" s="1">
        <v>0.0</v>
      </c>
      <c r="W3728" s="1" t="s">
        <v>25</v>
      </c>
    </row>
    <row r="3729" ht="15.75" customHeight="1">
      <c r="A3729" s="1" t="s">
        <v>3766</v>
      </c>
      <c r="B3729" s="1" t="s">
        <v>24</v>
      </c>
      <c r="C3729" s="1">
        <v>0.0</v>
      </c>
      <c r="D3729" s="1" t="s">
        <v>26</v>
      </c>
      <c r="E3729" s="1" t="s">
        <v>26</v>
      </c>
      <c r="F3729" s="1">
        <v>3.0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1">
        <v>96.6</v>
      </c>
      <c r="T3729" s="1">
        <v>291.9</v>
      </c>
      <c r="U3729" s="1">
        <v>2.0</v>
      </c>
      <c r="V3729" s="1">
        <v>1.0</v>
      </c>
      <c r="W3729" s="1" t="s">
        <v>25</v>
      </c>
    </row>
    <row r="3730" ht="15.75" customHeight="1">
      <c r="A3730" s="1" t="s">
        <v>3767</v>
      </c>
      <c r="B3730" s="1" t="s">
        <v>32</v>
      </c>
      <c r="C3730" s="1">
        <v>0.0</v>
      </c>
      <c r="D3730" s="1" t="s">
        <v>26</v>
      </c>
      <c r="E3730" s="1" t="s">
        <v>26</v>
      </c>
      <c r="F3730" s="1">
        <v>67.0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1">
        <v>88.8</v>
      </c>
      <c r="T3730" s="1">
        <v>5903.15</v>
      </c>
      <c r="U3730" s="1">
        <v>0.0</v>
      </c>
      <c r="V3730" s="1">
        <v>0.0</v>
      </c>
      <c r="W3730" s="1" t="s">
        <v>26</v>
      </c>
    </row>
    <row r="3731" ht="15.75" customHeight="1">
      <c r="A3731" s="1" t="s">
        <v>3768</v>
      </c>
      <c r="B3731" s="1" t="s">
        <v>32</v>
      </c>
      <c r="C3731" s="1">
        <v>0.0</v>
      </c>
      <c r="D3731" s="1" t="s">
        <v>26</v>
      </c>
      <c r="E3731" s="1" t="s">
        <v>26</v>
      </c>
      <c r="F3731" s="1">
        <v>62.0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1">
        <v>20.05</v>
      </c>
      <c r="T3731" s="1">
        <v>1201.65</v>
      </c>
      <c r="U3731" s="1">
        <v>0.0</v>
      </c>
      <c r="V3731" s="1">
        <v>0.0</v>
      </c>
      <c r="W3731" s="1" t="s">
        <v>26</v>
      </c>
    </row>
    <row r="3732" ht="15.75" customHeight="1">
      <c r="A3732" s="1" t="s">
        <v>3769</v>
      </c>
      <c r="B3732" s="1" t="s">
        <v>24</v>
      </c>
      <c r="C3732" s="1">
        <v>0.0</v>
      </c>
      <c r="D3732" s="1" t="s">
        <v>25</v>
      </c>
      <c r="E3732" s="1" t="s">
        <v>26</v>
      </c>
      <c r="F3732" s="1">
        <v>57.0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1">
        <v>104.5</v>
      </c>
      <c r="T3732" s="1">
        <v>5921.35</v>
      </c>
      <c r="U3732" s="1">
        <v>0.0</v>
      </c>
      <c r="V3732" s="1">
        <v>5.0</v>
      </c>
      <c r="W3732" s="1" t="s">
        <v>25</v>
      </c>
    </row>
    <row r="3733" ht="15.75" customHeight="1">
      <c r="A3733" s="1" t="s">
        <v>3770</v>
      </c>
      <c r="B3733" s="1" t="s">
        <v>32</v>
      </c>
      <c r="C3733" s="1">
        <v>0.0</v>
      </c>
      <c r="D3733" s="1" t="s">
        <v>26</v>
      </c>
      <c r="E3733" s="1" t="s">
        <v>26</v>
      </c>
      <c r="F3733" s="1">
        <v>2.0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1">
        <v>69.8</v>
      </c>
      <c r="T3733" s="1">
        <v>146.65</v>
      </c>
      <c r="U3733" s="1">
        <v>0.0</v>
      </c>
      <c r="V3733" s="1">
        <v>0.0</v>
      </c>
      <c r="W3733" s="1" t="s">
        <v>26</v>
      </c>
    </row>
    <row r="3734" ht="15.75" customHeight="1">
      <c r="A3734" s="1" t="s">
        <v>3771</v>
      </c>
      <c r="B3734" s="1" t="s">
        <v>24</v>
      </c>
      <c r="C3734" s="1">
        <v>0.0</v>
      </c>
      <c r="D3734" s="1" t="s">
        <v>25</v>
      </c>
      <c r="E3734" s="1" t="s">
        <v>25</v>
      </c>
      <c r="F3734" s="1">
        <v>23.0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1">
        <v>77.15</v>
      </c>
      <c r="T3734" s="1">
        <v>1759.4</v>
      </c>
      <c r="U3734" s="1">
        <v>0.0</v>
      </c>
      <c r="V3734" s="1">
        <v>0.0</v>
      </c>
      <c r="W3734" s="1" t="s">
        <v>26</v>
      </c>
    </row>
    <row r="3735" ht="15.75" customHeight="1">
      <c r="A3735" s="1" t="s">
        <v>3772</v>
      </c>
      <c r="B3735" s="1" t="s">
        <v>24</v>
      </c>
      <c r="C3735" s="1">
        <v>0.0</v>
      </c>
      <c r="D3735" s="1" t="s">
        <v>26</v>
      </c>
      <c r="E3735" s="1" t="s">
        <v>25</v>
      </c>
      <c r="F3735" s="1">
        <v>25.0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1">
        <v>35.05</v>
      </c>
      <c r="T3735" s="1">
        <v>844.45</v>
      </c>
      <c r="U3735" s="1">
        <v>0.0</v>
      </c>
      <c r="V3735" s="1">
        <v>0.0</v>
      </c>
      <c r="W3735" s="1" t="s">
        <v>26</v>
      </c>
    </row>
    <row r="3736" ht="15.75" customHeight="1">
      <c r="A3736" s="1" t="s">
        <v>3773</v>
      </c>
      <c r="B3736" s="1" t="s">
        <v>24</v>
      </c>
      <c r="C3736" s="1">
        <v>1.0</v>
      </c>
      <c r="D3736" s="1" t="s">
        <v>26</v>
      </c>
      <c r="E3736" s="1" t="s">
        <v>26</v>
      </c>
      <c r="F3736" s="1">
        <v>72.0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1">
        <v>108.1</v>
      </c>
      <c r="T3736" s="1">
        <v>7774.05</v>
      </c>
      <c r="U3736" s="1">
        <v>0.0</v>
      </c>
      <c r="V3736" s="1">
        <v>0.0</v>
      </c>
      <c r="W3736" s="1" t="s">
        <v>26</v>
      </c>
    </row>
    <row r="3737" ht="15.75" customHeight="1">
      <c r="A3737" s="1" t="s">
        <v>3774</v>
      </c>
      <c r="B3737" s="1" t="s">
        <v>24</v>
      </c>
      <c r="C3737" s="1">
        <v>0.0</v>
      </c>
      <c r="D3737" s="1" t="s">
        <v>25</v>
      </c>
      <c r="E3737" s="1" t="s">
        <v>26</v>
      </c>
      <c r="F3737" s="1">
        <v>2.0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1">
        <v>84.05</v>
      </c>
      <c r="T3737" s="1">
        <v>134.05</v>
      </c>
      <c r="U3737" s="1">
        <v>2.0</v>
      </c>
      <c r="V3737" s="1">
        <v>0.0</v>
      </c>
      <c r="W3737" s="1" t="s">
        <v>26</v>
      </c>
    </row>
    <row r="3738" ht="15.75" customHeight="1">
      <c r="A3738" s="1" t="s">
        <v>3775</v>
      </c>
      <c r="B3738" s="1" t="s">
        <v>24</v>
      </c>
      <c r="C3738" s="1">
        <v>0.0</v>
      </c>
      <c r="D3738" s="1" t="s">
        <v>26</v>
      </c>
      <c r="E3738" s="1" t="s">
        <v>26</v>
      </c>
      <c r="F3738" s="1">
        <v>8.0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1">
        <v>20.2</v>
      </c>
      <c r="T3738" s="1">
        <v>140.95</v>
      </c>
      <c r="U3738" s="1">
        <v>0.0</v>
      </c>
      <c r="V3738" s="1">
        <v>0.0</v>
      </c>
      <c r="W3738" s="1" t="s">
        <v>26</v>
      </c>
    </row>
    <row r="3739" ht="15.75" customHeight="1">
      <c r="A3739" s="1" t="s">
        <v>3776</v>
      </c>
      <c r="B3739" s="1" t="s">
        <v>24</v>
      </c>
      <c r="C3739" s="1">
        <v>0.0</v>
      </c>
      <c r="D3739" s="1" t="s">
        <v>26</v>
      </c>
      <c r="E3739" s="1" t="s">
        <v>26</v>
      </c>
      <c r="F3739" s="1">
        <v>5.0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1">
        <v>50.6</v>
      </c>
      <c r="T3739" s="1">
        <v>249.95</v>
      </c>
      <c r="U3739" s="1">
        <v>0.0</v>
      </c>
      <c r="V3739" s="1">
        <v>0.0</v>
      </c>
      <c r="W3739" s="1" t="s">
        <v>25</v>
      </c>
    </row>
    <row r="3740" ht="15.75" customHeight="1">
      <c r="A3740" s="1" t="s">
        <v>3777</v>
      </c>
      <c r="B3740" s="1" t="s">
        <v>32</v>
      </c>
      <c r="C3740" s="1">
        <v>0.0</v>
      </c>
      <c r="D3740" s="1" t="s">
        <v>26</v>
      </c>
      <c r="E3740" s="1" t="s">
        <v>26</v>
      </c>
      <c r="F3740" s="1">
        <v>35.0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1">
        <v>49.2</v>
      </c>
      <c r="T3740" s="1">
        <v>1701.65</v>
      </c>
      <c r="U3740" s="1">
        <v>5.0</v>
      </c>
      <c r="V3740" s="1">
        <v>0.0</v>
      </c>
      <c r="W3740" s="1" t="s">
        <v>26</v>
      </c>
    </row>
    <row r="3741" ht="15.75" customHeight="1">
      <c r="A3741" s="1" t="s">
        <v>3778</v>
      </c>
      <c r="B3741" s="1" t="s">
        <v>32</v>
      </c>
      <c r="C3741" s="1">
        <v>0.0</v>
      </c>
      <c r="D3741" s="1" t="s">
        <v>26</v>
      </c>
      <c r="E3741" s="1" t="s">
        <v>26</v>
      </c>
      <c r="F3741" s="1">
        <v>24.0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1">
        <v>24.6</v>
      </c>
      <c r="T3741" s="1">
        <v>592.65</v>
      </c>
      <c r="U3741" s="1">
        <v>0.0</v>
      </c>
      <c r="V3741" s="1">
        <v>0.0</v>
      </c>
      <c r="W3741" s="1" t="s">
        <v>26</v>
      </c>
    </row>
    <row r="3742" ht="15.75" customHeight="1">
      <c r="A3742" s="1" t="s">
        <v>3779</v>
      </c>
      <c r="B3742" s="1" t="s">
        <v>24</v>
      </c>
      <c r="C3742" s="1">
        <v>0.0</v>
      </c>
      <c r="D3742" s="1" t="s">
        <v>25</v>
      </c>
      <c r="E3742" s="1" t="s">
        <v>25</v>
      </c>
      <c r="F3742" s="1">
        <v>2.0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1">
        <v>71.65</v>
      </c>
      <c r="T3742" s="1">
        <v>135.75</v>
      </c>
      <c r="U3742" s="1">
        <v>0.0</v>
      </c>
      <c r="V3742" s="1">
        <v>0.0</v>
      </c>
      <c r="W3742" s="1" t="s">
        <v>26</v>
      </c>
    </row>
    <row r="3743" ht="15.75" customHeight="1">
      <c r="A3743" s="1" t="s">
        <v>3780</v>
      </c>
      <c r="B3743" s="1" t="s">
        <v>32</v>
      </c>
      <c r="C3743" s="1">
        <v>0.0</v>
      </c>
      <c r="D3743" s="1" t="s">
        <v>25</v>
      </c>
      <c r="E3743" s="1" t="s">
        <v>25</v>
      </c>
      <c r="F3743" s="1">
        <v>72.0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1">
        <v>104.9</v>
      </c>
      <c r="T3743" s="1">
        <v>7732.65</v>
      </c>
      <c r="U3743" s="1">
        <v>5.0</v>
      </c>
      <c r="V3743" s="1">
        <v>0.0</v>
      </c>
      <c r="W3743" s="1" t="s">
        <v>26</v>
      </c>
    </row>
    <row r="3744" ht="15.75" customHeight="1">
      <c r="A3744" s="1" t="s">
        <v>3781</v>
      </c>
      <c r="B3744" s="1" t="s">
        <v>24</v>
      </c>
      <c r="C3744" s="1">
        <v>0.0</v>
      </c>
      <c r="D3744" s="1" t="s">
        <v>26</v>
      </c>
      <c r="E3744" s="1" t="s">
        <v>26</v>
      </c>
      <c r="F3744" s="1">
        <v>41.0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1">
        <v>106.5</v>
      </c>
      <c r="T3744" s="1">
        <v>4282.4</v>
      </c>
      <c r="U3744" s="1">
        <v>0.0</v>
      </c>
      <c r="V3744" s="1">
        <v>0.0</v>
      </c>
      <c r="W3744" s="1" t="s">
        <v>26</v>
      </c>
    </row>
    <row r="3745" ht="15.75" customHeight="1">
      <c r="A3745" s="1" t="s">
        <v>3782</v>
      </c>
      <c r="B3745" s="1" t="s">
        <v>32</v>
      </c>
      <c r="C3745" s="1">
        <v>0.0</v>
      </c>
      <c r="D3745" s="1" t="s">
        <v>26</v>
      </c>
      <c r="E3745" s="1" t="s">
        <v>25</v>
      </c>
      <c r="F3745" s="1">
        <v>4.0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1">
        <v>49.35</v>
      </c>
      <c r="T3745" s="1">
        <v>219.65</v>
      </c>
      <c r="U3745" s="1">
        <v>0.0</v>
      </c>
      <c r="V3745" s="1">
        <v>0.0</v>
      </c>
      <c r="W3745" s="1" t="s">
        <v>25</v>
      </c>
    </row>
    <row r="3746" ht="15.75" customHeight="1">
      <c r="A3746" s="1" t="s">
        <v>3783</v>
      </c>
      <c r="B3746" s="1" t="s">
        <v>32</v>
      </c>
      <c r="C3746" s="1">
        <v>0.0</v>
      </c>
      <c r="D3746" s="1" t="s">
        <v>26</v>
      </c>
      <c r="E3746" s="1" t="s">
        <v>26</v>
      </c>
      <c r="F3746" s="1">
        <v>26.0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1">
        <v>75.5</v>
      </c>
      <c r="T3746" s="1">
        <v>2018.1</v>
      </c>
      <c r="U3746" s="1">
        <v>4.0</v>
      </c>
      <c r="V3746" s="1">
        <v>0.0</v>
      </c>
      <c r="W3746" s="1" t="s">
        <v>26</v>
      </c>
    </row>
    <row r="3747" ht="15.75" customHeight="1">
      <c r="A3747" s="1" t="s">
        <v>3784</v>
      </c>
      <c r="B3747" s="1" t="s">
        <v>32</v>
      </c>
      <c r="C3747" s="1">
        <v>0.0</v>
      </c>
      <c r="D3747" s="1" t="s">
        <v>26</v>
      </c>
      <c r="E3747" s="1" t="s">
        <v>26</v>
      </c>
      <c r="F3747" s="1">
        <v>7.0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1">
        <v>94.25</v>
      </c>
      <c r="T3747" s="1">
        <v>669.0</v>
      </c>
      <c r="U3747" s="1">
        <v>0.0</v>
      </c>
      <c r="V3747" s="1">
        <v>0.0</v>
      </c>
      <c r="W3747" s="1" t="s">
        <v>25</v>
      </c>
    </row>
    <row r="3748" ht="15.75" customHeight="1">
      <c r="A3748" s="1" t="s">
        <v>3785</v>
      </c>
      <c r="B3748" s="1" t="s">
        <v>24</v>
      </c>
      <c r="C3748" s="1">
        <v>0.0</v>
      </c>
      <c r="D3748" s="1" t="s">
        <v>25</v>
      </c>
      <c r="E3748" s="1" t="s">
        <v>26</v>
      </c>
      <c r="F3748" s="1">
        <v>1.0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1">
        <v>68.95</v>
      </c>
      <c r="T3748" s="1">
        <v>68.95</v>
      </c>
      <c r="U3748" s="1">
        <v>0.0</v>
      </c>
      <c r="V3748" s="1">
        <v>0.0</v>
      </c>
      <c r="W3748" s="1" t="s">
        <v>25</v>
      </c>
    </row>
    <row r="3749" ht="15.75" customHeight="1">
      <c r="A3749" s="1" t="s">
        <v>3786</v>
      </c>
      <c r="B3749" s="1" t="s">
        <v>24</v>
      </c>
      <c r="C3749" s="1">
        <v>0.0</v>
      </c>
      <c r="D3749" s="1" t="s">
        <v>25</v>
      </c>
      <c r="E3749" s="1" t="s">
        <v>25</v>
      </c>
      <c r="F3749" s="1">
        <v>4.0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1">
        <v>58.5</v>
      </c>
      <c r="T3749" s="1">
        <v>224.85</v>
      </c>
      <c r="U3749" s="1">
        <v>0.0</v>
      </c>
      <c r="V3749" s="1">
        <v>0.0</v>
      </c>
      <c r="W3749" s="1" t="s">
        <v>26</v>
      </c>
    </row>
    <row r="3750" ht="15.75" customHeight="1">
      <c r="A3750" s="1" t="s">
        <v>3787</v>
      </c>
      <c r="B3750" s="1" t="s">
        <v>32</v>
      </c>
      <c r="C3750" s="1">
        <v>0.0</v>
      </c>
      <c r="D3750" s="1" t="s">
        <v>26</v>
      </c>
      <c r="E3750" s="1" t="s">
        <v>26</v>
      </c>
      <c r="F3750" s="1">
        <v>48.0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1">
        <v>78.9</v>
      </c>
      <c r="T3750" s="1">
        <v>3771.5</v>
      </c>
      <c r="U3750" s="1">
        <v>0.0</v>
      </c>
      <c r="V3750" s="1">
        <v>0.0</v>
      </c>
      <c r="W3750" s="1" t="s">
        <v>26</v>
      </c>
    </row>
    <row r="3751" ht="15.75" customHeight="1">
      <c r="A3751" s="1" t="s">
        <v>3788</v>
      </c>
      <c r="B3751" s="1" t="s">
        <v>32</v>
      </c>
      <c r="C3751" s="1">
        <v>1.0</v>
      </c>
      <c r="D3751" s="1" t="s">
        <v>26</v>
      </c>
      <c r="E3751" s="1" t="s">
        <v>26</v>
      </c>
      <c r="F3751" s="1">
        <v>2.0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1">
        <v>93.85</v>
      </c>
      <c r="T3751" s="1">
        <v>196.75</v>
      </c>
      <c r="U3751" s="1">
        <v>5.0</v>
      </c>
      <c r="V3751" s="1">
        <v>0.0</v>
      </c>
      <c r="W3751" s="1" t="s">
        <v>25</v>
      </c>
    </row>
    <row r="3752" ht="15.75" customHeight="1">
      <c r="A3752" s="1" t="s">
        <v>3789</v>
      </c>
      <c r="B3752" s="1" t="s">
        <v>24</v>
      </c>
      <c r="C3752" s="1">
        <v>1.0</v>
      </c>
      <c r="D3752" s="1" t="s">
        <v>25</v>
      </c>
      <c r="E3752" s="1" t="s">
        <v>26</v>
      </c>
      <c r="F3752" s="1">
        <v>12.0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1">
        <v>79.2</v>
      </c>
      <c r="T3752" s="1">
        <v>943.85</v>
      </c>
      <c r="U3752" s="1">
        <v>0.0</v>
      </c>
      <c r="V3752" s="1">
        <v>0.0</v>
      </c>
      <c r="W3752" s="1" t="s">
        <v>26</v>
      </c>
    </row>
    <row r="3753" ht="15.75" customHeight="1">
      <c r="A3753" s="1" t="s">
        <v>3790</v>
      </c>
      <c r="B3753" s="1" t="s">
        <v>32</v>
      </c>
      <c r="C3753" s="1">
        <v>0.0</v>
      </c>
      <c r="D3753" s="1" t="s">
        <v>25</v>
      </c>
      <c r="E3753" s="1" t="s">
        <v>26</v>
      </c>
      <c r="F3753" s="1">
        <v>60.0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1">
        <v>109.45</v>
      </c>
      <c r="T3753" s="1">
        <v>6572.85</v>
      </c>
      <c r="U3753" s="1">
        <v>0.0</v>
      </c>
      <c r="V3753" s="1">
        <v>0.0</v>
      </c>
      <c r="W3753" s="1" t="s">
        <v>26</v>
      </c>
    </row>
    <row r="3754" ht="15.75" customHeight="1">
      <c r="A3754" s="1" t="s">
        <v>3791</v>
      </c>
      <c r="B3754" s="1" t="s">
        <v>32</v>
      </c>
      <c r="C3754" s="1">
        <v>0.0</v>
      </c>
      <c r="D3754" s="1" t="s">
        <v>26</v>
      </c>
      <c r="E3754" s="1" t="s">
        <v>26</v>
      </c>
      <c r="F3754" s="1">
        <v>55.0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1">
        <v>59.2</v>
      </c>
      <c r="T3754" s="1">
        <v>3175.85</v>
      </c>
      <c r="U3754" s="1">
        <v>0.0</v>
      </c>
      <c r="V3754" s="1">
        <v>0.0</v>
      </c>
      <c r="W3754" s="1" t="s">
        <v>26</v>
      </c>
    </row>
    <row r="3755" ht="15.75" customHeight="1">
      <c r="A3755" s="1" t="s">
        <v>3792</v>
      </c>
      <c r="B3755" s="1" t="s">
        <v>32</v>
      </c>
      <c r="C3755" s="1">
        <v>0.0</v>
      </c>
      <c r="D3755" s="1" t="s">
        <v>26</v>
      </c>
      <c r="E3755" s="1" t="s">
        <v>26</v>
      </c>
      <c r="F3755" s="1">
        <v>1.0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1">
        <v>29.15</v>
      </c>
      <c r="T3755" s="1">
        <v>29.15</v>
      </c>
      <c r="U3755" s="1">
        <v>2.0</v>
      </c>
      <c r="V3755" s="1">
        <v>0.0</v>
      </c>
      <c r="W3755" s="1" t="s">
        <v>26</v>
      </c>
    </row>
    <row r="3756" ht="15.75" customHeight="1">
      <c r="A3756" s="1" t="s">
        <v>3793</v>
      </c>
      <c r="B3756" s="1" t="s">
        <v>32</v>
      </c>
      <c r="C3756" s="1">
        <v>0.0</v>
      </c>
      <c r="D3756" s="1" t="s">
        <v>26</v>
      </c>
      <c r="E3756" s="1" t="s">
        <v>26</v>
      </c>
      <c r="F3756" s="1">
        <v>1.0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1">
        <v>20.05</v>
      </c>
      <c r="T3756" s="1">
        <v>20.05</v>
      </c>
      <c r="U3756" s="1">
        <v>0.0</v>
      </c>
      <c r="V3756" s="1">
        <v>0.0</v>
      </c>
      <c r="W3756" s="1" t="s">
        <v>26</v>
      </c>
    </row>
    <row r="3757" ht="15.75" customHeight="1">
      <c r="A3757" s="1" t="s">
        <v>3794</v>
      </c>
      <c r="B3757" s="1" t="s">
        <v>32</v>
      </c>
      <c r="C3757" s="1">
        <v>0.0</v>
      </c>
      <c r="D3757" s="1" t="s">
        <v>26</v>
      </c>
      <c r="E3757" s="1" t="s">
        <v>26</v>
      </c>
      <c r="F3757" s="1">
        <v>4.0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1">
        <v>76.05</v>
      </c>
      <c r="T3757" s="1">
        <v>318.9</v>
      </c>
      <c r="U3757" s="1">
        <v>0.0</v>
      </c>
      <c r="V3757" s="1">
        <v>0.0</v>
      </c>
      <c r="W3757" s="1" t="s">
        <v>25</v>
      </c>
    </row>
    <row r="3758" ht="15.75" customHeight="1">
      <c r="A3758" s="1" t="s">
        <v>3795</v>
      </c>
      <c r="B3758" s="1" t="s">
        <v>32</v>
      </c>
      <c r="C3758" s="1">
        <v>0.0</v>
      </c>
      <c r="D3758" s="1" t="s">
        <v>26</v>
      </c>
      <c r="E3758" s="1" t="s">
        <v>26</v>
      </c>
      <c r="F3758" s="1">
        <v>1.0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1">
        <v>24.45</v>
      </c>
      <c r="T3758" s="1">
        <v>24.45</v>
      </c>
      <c r="U3758" s="1">
        <v>0.0</v>
      </c>
      <c r="V3758" s="1">
        <v>0.0</v>
      </c>
      <c r="W3758" s="1" t="s">
        <v>25</v>
      </c>
    </row>
    <row r="3759" ht="15.75" customHeight="1">
      <c r="A3759" s="1" t="s">
        <v>3796</v>
      </c>
      <c r="B3759" s="1" t="s">
        <v>24</v>
      </c>
      <c r="C3759" s="1">
        <v>0.0</v>
      </c>
      <c r="D3759" s="1" t="s">
        <v>26</v>
      </c>
      <c r="E3759" s="1" t="s">
        <v>26</v>
      </c>
      <c r="F3759" s="1">
        <v>42.0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1">
        <v>66.5</v>
      </c>
      <c r="T3759" s="1">
        <v>2762.75</v>
      </c>
      <c r="U3759" s="1">
        <v>0.0</v>
      </c>
      <c r="V3759" s="1">
        <v>0.0</v>
      </c>
      <c r="W3759" s="1" t="s">
        <v>26</v>
      </c>
    </row>
    <row r="3760" ht="15.75" customHeight="1">
      <c r="A3760" s="1" t="s">
        <v>3797</v>
      </c>
      <c r="B3760" s="1" t="s">
        <v>24</v>
      </c>
      <c r="C3760" s="1">
        <v>0.0</v>
      </c>
      <c r="D3760" s="1" t="s">
        <v>26</v>
      </c>
      <c r="E3760" s="1" t="s">
        <v>26</v>
      </c>
      <c r="F3760" s="1">
        <v>1.0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1">
        <v>49.55</v>
      </c>
      <c r="T3760" s="1">
        <v>49.55</v>
      </c>
      <c r="U3760" s="1">
        <v>0.0</v>
      </c>
      <c r="V3760" s="1">
        <v>0.0</v>
      </c>
      <c r="W3760" s="1" t="s">
        <v>26</v>
      </c>
    </row>
    <row r="3761" ht="15.75" customHeight="1">
      <c r="A3761" s="1" t="s">
        <v>3798</v>
      </c>
      <c r="B3761" s="1" t="s">
        <v>32</v>
      </c>
      <c r="C3761" s="1">
        <v>0.0</v>
      </c>
      <c r="D3761" s="1" t="s">
        <v>26</v>
      </c>
      <c r="E3761" s="1" t="s">
        <v>26</v>
      </c>
      <c r="F3761" s="1">
        <v>7.0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1">
        <v>89.35</v>
      </c>
      <c r="T3761" s="1">
        <v>631.85</v>
      </c>
      <c r="U3761" s="1">
        <v>3.0</v>
      </c>
      <c r="V3761" s="1">
        <v>0.0</v>
      </c>
      <c r="W3761" s="1" t="s">
        <v>25</v>
      </c>
    </row>
    <row r="3762" ht="15.75" customHeight="1">
      <c r="A3762" s="1" t="s">
        <v>3799</v>
      </c>
      <c r="B3762" s="1" t="s">
        <v>32</v>
      </c>
      <c r="C3762" s="1">
        <v>0.0</v>
      </c>
      <c r="D3762" s="1" t="s">
        <v>26</v>
      </c>
      <c r="E3762" s="1" t="s">
        <v>26</v>
      </c>
      <c r="F3762" s="1">
        <v>3.0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1">
        <v>73.6</v>
      </c>
      <c r="T3762" s="1">
        <v>232.5</v>
      </c>
      <c r="U3762" s="1">
        <v>0.0</v>
      </c>
      <c r="V3762" s="1">
        <v>0.0</v>
      </c>
      <c r="W3762" s="1" t="s">
        <v>26</v>
      </c>
    </row>
    <row r="3763" ht="15.75" customHeight="1">
      <c r="A3763" s="1" t="s">
        <v>3800</v>
      </c>
      <c r="B3763" s="1" t="s">
        <v>24</v>
      </c>
      <c r="C3763" s="1">
        <v>0.0</v>
      </c>
      <c r="D3763" s="1" t="s">
        <v>25</v>
      </c>
      <c r="E3763" s="1" t="s">
        <v>26</v>
      </c>
      <c r="F3763" s="1">
        <v>72.0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1">
        <v>82.65</v>
      </c>
      <c r="T3763" s="1">
        <v>5919.35</v>
      </c>
      <c r="U3763" s="1">
        <v>0.0</v>
      </c>
      <c r="V3763" s="1">
        <v>0.0</v>
      </c>
      <c r="W3763" s="1" t="s">
        <v>26</v>
      </c>
    </row>
    <row r="3764" ht="15.75" customHeight="1">
      <c r="A3764" s="1" t="s">
        <v>3801</v>
      </c>
      <c r="B3764" s="1" t="s">
        <v>32</v>
      </c>
      <c r="C3764" s="1">
        <v>0.0</v>
      </c>
      <c r="D3764" s="1" t="s">
        <v>26</v>
      </c>
      <c r="E3764" s="1" t="s">
        <v>26</v>
      </c>
      <c r="F3764" s="1">
        <v>15.0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1">
        <v>49.0</v>
      </c>
      <c r="T3764" s="1">
        <v>749.25</v>
      </c>
      <c r="U3764" s="1">
        <v>0.0</v>
      </c>
      <c r="V3764" s="1">
        <v>0.0</v>
      </c>
      <c r="W3764" s="1" t="s">
        <v>26</v>
      </c>
    </row>
    <row r="3765" ht="15.75" customHeight="1">
      <c r="A3765" s="1" t="s">
        <v>3802</v>
      </c>
      <c r="B3765" s="1" t="s">
        <v>32</v>
      </c>
      <c r="C3765" s="1">
        <v>0.0</v>
      </c>
      <c r="D3765" s="1" t="s">
        <v>25</v>
      </c>
      <c r="E3765" s="1" t="s">
        <v>26</v>
      </c>
      <c r="F3765" s="1">
        <v>4.0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1">
        <v>80.35</v>
      </c>
      <c r="T3765" s="1">
        <v>307.4</v>
      </c>
      <c r="U3765" s="1">
        <v>0.0</v>
      </c>
      <c r="V3765" s="1">
        <v>0.0</v>
      </c>
      <c r="W3765" s="1" t="s">
        <v>25</v>
      </c>
    </row>
    <row r="3766" ht="15.75" customHeight="1">
      <c r="A3766" s="1" t="s">
        <v>3803</v>
      </c>
      <c r="B3766" s="1" t="s">
        <v>24</v>
      </c>
      <c r="C3766" s="1">
        <v>0.0</v>
      </c>
      <c r="D3766" s="1" t="s">
        <v>26</v>
      </c>
      <c r="E3766" s="1" t="s">
        <v>26</v>
      </c>
      <c r="F3766" s="1">
        <v>11.0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1">
        <v>25.2</v>
      </c>
      <c r="T3766" s="1">
        <v>245.15</v>
      </c>
      <c r="U3766" s="1">
        <v>0.0</v>
      </c>
      <c r="V3766" s="1">
        <v>0.0</v>
      </c>
      <c r="W3766" s="1" t="s">
        <v>26</v>
      </c>
    </row>
    <row r="3767" ht="15.75" customHeight="1">
      <c r="A3767" s="1" t="s">
        <v>3804</v>
      </c>
      <c r="B3767" s="1" t="s">
        <v>24</v>
      </c>
      <c r="C3767" s="1">
        <v>0.0</v>
      </c>
      <c r="D3767" s="1" t="s">
        <v>26</v>
      </c>
      <c r="E3767" s="1" t="s">
        <v>26</v>
      </c>
      <c r="F3767" s="1">
        <v>5.0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1">
        <v>25.45</v>
      </c>
      <c r="T3767" s="1">
        <v>134.75</v>
      </c>
      <c r="U3767" s="1">
        <v>0.0</v>
      </c>
      <c r="V3767" s="1">
        <v>0.0</v>
      </c>
      <c r="W3767" s="1" t="s">
        <v>26</v>
      </c>
    </row>
    <row r="3768" ht="15.75" customHeight="1">
      <c r="A3768" s="1" t="s">
        <v>3805</v>
      </c>
      <c r="B3768" s="1" t="s">
        <v>24</v>
      </c>
      <c r="C3768" s="1">
        <v>1.0</v>
      </c>
      <c r="D3768" s="1" t="s">
        <v>26</v>
      </c>
      <c r="E3768" s="1" t="s">
        <v>26</v>
      </c>
      <c r="F3768" s="1">
        <v>1.0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1">
        <v>55.8</v>
      </c>
      <c r="T3768" s="1">
        <v>55.8</v>
      </c>
      <c r="U3768" s="1">
        <v>0.0</v>
      </c>
      <c r="V3768" s="1">
        <v>0.0</v>
      </c>
      <c r="W3768" s="1" t="s">
        <v>25</v>
      </c>
    </row>
    <row r="3769" ht="15.75" customHeight="1">
      <c r="A3769" s="1" t="s">
        <v>3806</v>
      </c>
      <c r="B3769" s="1" t="s">
        <v>32</v>
      </c>
      <c r="C3769" s="1">
        <v>0.0</v>
      </c>
      <c r="D3769" s="1" t="s">
        <v>25</v>
      </c>
      <c r="E3769" s="1" t="s">
        <v>26</v>
      </c>
      <c r="F3769" s="1">
        <v>72.0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1">
        <v>110.9</v>
      </c>
      <c r="T3769" s="1">
        <v>8240.85</v>
      </c>
      <c r="U3769" s="1">
        <v>0.0</v>
      </c>
      <c r="V3769" s="1">
        <v>6.0</v>
      </c>
      <c r="W3769" s="1" t="s">
        <v>26</v>
      </c>
    </row>
    <row r="3770" ht="15.75" customHeight="1">
      <c r="A3770" s="1" t="s">
        <v>3807</v>
      </c>
      <c r="B3770" s="1" t="s">
        <v>24</v>
      </c>
      <c r="C3770" s="1">
        <v>0.0</v>
      </c>
      <c r="D3770" s="1" t="s">
        <v>25</v>
      </c>
      <c r="E3770" s="1" t="s">
        <v>26</v>
      </c>
      <c r="F3770" s="1">
        <v>55.0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1">
        <v>77.75</v>
      </c>
      <c r="T3770" s="1">
        <v>4266.4</v>
      </c>
      <c r="U3770" s="1">
        <v>0.0</v>
      </c>
      <c r="V3770" s="1">
        <v>0.0</v>
      </c>
      <c r="W3770" s="1" t="s">
        <v>26</v>
      </c>
    </row>
    <row r="3771" ht="15.75" customHeight="1">
      <c r="A3771" s="1" t="s">
        <v>3808</v>
      </c>
      <c r="B3771" s="1" t="s">
        <v>24</v>
      </c>
      <c r="C3771" s="1">
        <v>0.0</v>
      </c>
      <c r="D3771" s="1" t="s">
        <v>25</v>
      </c>
      <c r="E3771" s="1" t="s">
        <v>25</v>
      </c>
      <c r="F3771" s="1">
        <v>40.0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1">
        <v>26.2</v>
      </c>
      <c r="T3771" s="1">
        <v>1077.5</v>
      </c>
      <c r="U3771" s="1">
        <v>0.0</v>
      </c>
      <c r="V3771" s="1">
        <v>0.0</v>
      </c>
      <c r="W3771" s="1" t="s">
        <v>26</v>
      </c>
    </row>
    <row r="3772" ht="15.75" customHeight="1">
      <c r="A3772" s="1" t="s">
        <v>3809</v>
      </c>
      <c r="B3772" s="1" t="s">
        <v>24</v>
      </c>
      <c r="C3772" s="1">
        <v>0.0</v>
      </c>
      <c r="D3772" s="1" t="s">
        <v>25</v>
      </c>
      <c r="E3772" s="1" t="s">
        <v>26</v>
      </c>
      <c r="F3772" s="1">
        <v>57.0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1">
        <v>19.9</v>
      </c>
      <c r="T3772" s="1">
        <v>1115.6</v>
      </c>
      <c r="U3772" s="1">
        <v>0.0</v>
      </c>
      <c r="V3772" s="1">
        <v>0.0</v>
      </c>
      <c r="W3772" s="1" t="s">
        <v>26</v>
      </c>
    </row>
    <row r="3773" ht="15.75" customHeight="1">
      <c r="A3773" s="1" t="s">
        <v>3810</v>
      </c>
      <c r="B3773" s="1" t="s">
        <v>32</v>
      </c>
      <c r="C3773" s="1">
        <v>0.0</v>
      </c>
      <c r="D3773" s="1" t="s">
        <v>26</v>
      </c>
      <c r="E3773" s="1" t="s">
        <v>26</v>
      </c>
      <c r="F3773" s="1">
        <v>1.0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1">
        <v>79.05</v>
      </c>
      <c r="T3773" s="1">
        <v>79.05</v>
      </c>
      <c r="U3773" s="1">
        <v>0.0</v>
      </c>
      <c r="V3773" s="1">
        <v>0.0</v>
      </c>
      <c r="W3773" s="1" t="s">
        <v>25</v>
      </c>
    </row>
    <row r="3774" ht="15.75" customHeight="1">
      <c r="A3774" s="1" t="s">
        <v>3811</v>
      </c>
      <c r="B3774" s="1" t="s">
        <v>32</v>
      </c>
      <c r="C3774" s="1">
        <v>0.0</v>
      </c>
      <c r="D3774" s="1" t="s">
        <v>25</v>
      </c>
      <c r="E3774" s="1" t="s">
        <v>26</v>
      </c>
      <c r="F3774" s="1">
        <v>1.0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1">
        <v>95.0</v>
      </c>
      <c r="T3774" s="1">
        <v>95.0</v>
      </c>
      <c r="U3774" s="1">
        <v>0.0</v>
      </c>
      <c r="V3774" s="1">
        <v>0.0</v>
      </c>
      <c r="W3774" s="1" t="s">
        <v>25</v>
      </c>
    </row>
    <row r="3775" ht="15.75" customHeight="1">
      <c r="A3775" s="1" t="s">
        <v>3812</v>
      </c>
      <c r="B3775" s="1" t="s">
        <v>24</v>
      </c>
      <c r="C3775" s="1">
        <v>0.0</v>
      </c>
      <c r="D3775" s="1" t="s">
        <v>26</v>
      </c>
      <c r="E3775" s="1" t="s">
        <v>26</v>
      </c>
      <c r="F3775" s="1">
        <v>1.0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1">
        <v>25.2</v>
      </c>
      <c r="T3775" s="1">
        <v>25.2</v>
      </c>
      <c r="U3775" s="1">
        <v>2.0</v>
      </c>
      <c r="V3775" s="1">
        <v>0.0</v>
      </c>
      <c r="W3775" s="1" t="s">
        <v>25</v>
      </c>
    </row>
    <row r="3776" ht="15.75" customHeight="1">
      <c r="A3776" s="1" t="s">
        <v>3813</v>
      </c>
      <c r="B3776" s="1" t="s">
        <v>32</v>
      </c>
      <c r="C3776" s="1">
        <v>1.0</v>
      </c>
      <c r="D3776" s="1" t="s">
        <v>25</v>
      </c>
      <c r="E3776" s="1" t="s">
        <v>25</v>
      </c>
      <c r="F3776" s="1">
        <v>52.0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1">
        <v>80.85</v>
      </c>
      <c r="T3776" s="1">
        <v>4079.55</v>
      </c>
      <c r="U3776" s="1">
        <v>0.0</v>
      </c>
      <c r="V3776" s="1">
        <v>0.0</v>
      </c>
      <c r="W3776" s="1" t="s">
        <v>26</v>
      </c>
    </row>
    <row r="3777" ht="15.75" customHeight="1">
      <c r="A3777" s="1" t="s">
        <v>3814</v>
      </c>
      <c r="B3777" s="1" t="s">
        <v>32</v>
      </c>
      <c r="C3777" s="1">
        <v>1.0</v>
      </c>
      <c r="D3777" s="1" t="s">
        <v>26</v>
      </c>
      <c r="E3777" s="1" t="s">
        <v>26</v>
      </c>
      <c r="F3777" s="1">
        <v>41.0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1">
        <v>98.4</v>
      </c>
      <c r="T3777" s="1">
        <v>4187.75</v>
      </c>
      <c r="U3777" s="1">
        <v>0.0</v>
      </c>
      <c r="V3777" s="1">
        <v>4.0</v>
      </c>
      <c r="W3777" s="1" t="s">
        <v>25</v>
      </c>
    </row>
    <row r="3778" ht="15.75" customHeight="1">
      <c r="A3778" s="1" t="s">
        <v>3815</v>
      </c>
      <c r="B3778" s="1" t="s">
        <v>32</v>
      </c>
      <c r="C3778" s="1">
        <v>0.0</v>
      </c>
      <c r="D3778" s="1" t="s">
        <v>25</v>
      </c>
      <c r="E3778" s="1" t="s">
        <v>26</v>
      </c>
      <c r="F3778" s="1">
        <v>43.0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1">
        <v>56.35</v>
      </c>
      <c r="T3778" s="1">
        <v>2391.15</v>
      </c>
      <c r="U3778" s="1">
        <v>0.0</v>
      </c>
      <c r="V3778" s="1">
        <v>0.0</v>
      </c>
      <c r="W3778" s="1" t="s">
        <v>26</v>
      </c>
    </row>
    <row r="3779" ht="15.75" customHeight="1">
      <c r="A3779" s="1" t="s">
        <v>3816</v>
      </c>
      <c r="B3779" s="1" t="s">
        <v>24</v>
      </c>
      <c r="C3779" s="1">
        <v>0.0</v>
      </c>
      <c r="D3779" s="1" t="s">
        <v>25</v>
      </c>
      <c r="E3779" s="1" t="s">
        <v>25</v>
      </c>
      <c r="F3779" s="1">
        <v>47.0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1">
        <v>19.3</v>
      </c>
      <c r="T3779" s="1">
        <v>890.5</v>
      </c>
      <c r="U3779" s="1">
        <v>1.0</v>
      </c>
      <c r="V3779" s="1">
        <v>0.0</v>
      </c>
      <c r="W3779" s="1" t="s">
        <v>26</v>
      </c>
    </row>
    <row r="3780" ht="15.75" customHeight="1">
      <c r="A3780" s="1" t="s">
        <v>3817</v>
      </c>
      <c r="B3780" s="1" t="s">
        <v>32</v>
      </c>
      <c r="C3780" s="1">
        <v>0.0</v>
      </c>
      <c r="D3780" s="1" t="s">
        <v>26</v>
      </c>
      <c r="E3780" s="1" t="s">
        <v>26</v>
      </c>
      <c r="F3780" s="1">
        <v>3.0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1">
        <v>50.4</v>
      </c>
      <c r="T3780" s="1">
        <v>137.25</v>
      </c>
      <c r="U3780" s="1">
        <v>0.0</v>
      </c>
      <c r="V3780" s="1">
        <v>0.0</v>
      </c>
      <c r="W3780" s="1" t="s">
        <v>26</v>
      </c>
    </row>
    <row r="3781" ht="15.75" customHeight="1">
      <c r="A3781" s="1" t="s">
        <v>3818</v>
      </c>
      <c r="B3781" s="1" t="s">
        <v>32</v>
      </c>
      <c r="C3781" s="1">
        <v>1.0</v>
      </c>
      <c r="D3781" s="1" t="s">
        <v>25</v>
      </c>
      <c r="E3781" s="1" t="s">
        <v>25</v>
      </c>
      <c r="F3781" s="1">
        <v>66.0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1">
        <v>79.4</v>
      </c>
      <c r="T3781" s="1">
        <v>5154.6</v>
      </c>
      <c r="U3781" s="1">
        <v>0.0</v>
      </c>
      <c r="V3781" s="1">
        <v>7.0</v>
      </c>
      <c r="W3781" s="1" t="s">
        <v>25</v>
      </c>
    </row>
    <row r="3782" ht="15.75" customHeight="1">
      <c r="A3782" s="1" t="s">
        <v>3819</v>
      </c>
      <c r="B3782" s="1" t="s">
        <v>32</v>
      </c>
      <c r="C3782" s="1">
        <v>0.0</v>
      </c>
      <c r="D3782" s="1" t="s">
        <v>25</v>
      </c>
      <c r="E3782" s="1" t="s">
        <v>25</v>
      </c>
      <c r="F3782" s="1">
        <v>55.0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1">
        <v>55.25</v>
      </c>
      <c r="T3782" s="1">
        <v>3119.9</v>
      </c>
      <c r="U3782" s="1">
        <v>0.0</v>
      </c>
      <c r="V3782" s="1">
        <v>0.0</v>
      </c>
      <c r="W3782" s="1" t="s">
        <v>26</v>
      </c>
    </row>
    <row r="3783" ht="15.75" customHeight="1">
      <c r="A3783" s="1" t="s">
        <v>3820</v>
      </c>
      <c r="B3783" s="1" t="s">
        <v>32</v>
      </c>
      <c r="C3783" s="1">
        <v>0.0</v>
      </c>
      <c r="D3783" s="1" t="s">
        <v>26</v>
      </c>
      <c r="E3783" s="1" t="s">
        <v>26</v>
      </c>
      <c r="F3783" s="1">
        <v>29.0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1">
        <v>19.1</v>
      </c>
      <c r="T3783" s="1">
        <v>529.5</v>
      </c>
      <c r="U3783" s="1">
        <v>0.0</v>
      </c>
      <c r="V3783" s="1">
        <v>0.0</v>
      </c>
      <c r="W3783" s="1" t="s">
        <v>26</v>
      </c>
    </row>
    <row r="3784" ht="15.75" customHeight="1">
      <c r="A3784" s="1" t="s">
        <v>3821</v>
      </c>
      <c r="B3784" s="1" t="s">
        <v>24</v>
      </c>
      <c r="C3784" s="1">
        <v>0.0</v>
      </c>
      <c r="D3784" s="1" t="s">
        <v>26</v>
      </c>
      <c r="E3784" s="1" t="s">
        <v>25</v>
      </c>
      <c r="F3784" s="1">
        <v>12.0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1">
        <v>84.05</v>
      </c>
      <c r="T3784" s="1">
        <v>966.55</v>
      </c>
      <c r="U3784" s="1">
        <v>0.0</v>
      </c>
      <c r="V3784" s="1">
        <v>0.0</v>
      </c>
      <c r="W3784" s="1" t="s">
        <v>26</v>
      </c>
    </row>
    <row r="3785" ht="15.75" customHeight="1">
      <c r="A3785" s="1" t="s">
        <v>3822</v>
      </c>
      <c r="B3785" s="1" t="s">
        <v>24</v>
      </c>
      <c r="C3785" s="1">
        <v>0.0</v>
      </c>
      <c r="D3785" s="1" t="s">
        <v>25</v>
      </c>
      <c r="E3785" s="1" t="s">
        <v>26</v>
      </c>
      <c r="F3785" s="1">
        <v>66.0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1">
        <v>105.2</v>
      </c>
      <c r="T3785" s="1">
        <v>6936.85</v>
      </c>
      <c r="U3785" s="1">
        <v>0.0</v>
      </c>
      <c r="V3785" s="1">
        <v>0.0</v>
      </c>
      <c r="W3785" s="1" t="s">
        <v>26</v>
      </c>
    </row>
    <row r="3786" ht="15.75" customHeight="1">
      <c r="A3786" s="1" t="s">
        <v>3823</v>
      </c>
      <c r="B3786" s="1" t="s">
        <v>32</v>
      </c>
      <c r="C3786" s="1">
        <v>1.0</v>
      </c>
      <c r="D3786" s="1" t="s">
        <v>26</v>
      </c>
      <c r="E3786" s="1" t="s">
        <v>26</v>
      </c>
      <c r="F3786" s="1">
        <v>35.0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1">
        <v>101.4</v>
      </c>
      <c r="T3786" s="1">
        <v>3496.3</v>
      </c>
      <c r="U3786" s="1">
        <v>0.0</v>
      </c>
      <c r="V3786" s="1">
        <v>3.0</v>
      </c>
      <c r="W3786" s="1" t="s">
        <v>25</v>
      </c>
    </row>
    <row r="3787" ht="15.75" customHeight="1">
      <c r="A3787" s="1" t="s">
        <v>3824</v>
      </c>
      <c r="B3787" s="1" t="s">
        <v>32</v>
      </c>
      <c r="C3787" s="1">
        <v>1.0</v>
      </c>
      <c r="D3787" s="1" t="s">
        <v>25</v>
      </c>
      <c r="E3787" s="1" t="s">
        <v>26</v>
      </c>
      <c r="F3787" s="1">
        <v>10.0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1">
        <v>89.8</v>
      </c>
      <c r="T3787" s="1">
        <v>914.3</v>
      </c>
      <c r="U3787" s="1">
        <v>0.0</v>
      </c>
      <c r="V3787" s="1">
        <v>1.0</v>
      </c>
      <c r="W3787" s="1" t="s">
        <v>25</v>
      </c>
    </row>
    <row r="3788" ht="15.75" customHeight="1">
      <c r="A3788" s="1" t="s">
        <v>3825</v>
      </c>
      <c r="B3788" s="1" t="s">
        <v>32</v>
      </c>
      <c r="C3788" s="1">
        <v>0.0</v>
      </c>
      <c r="D3788" s="1" t="s">
        <v>25</v>
      </c>
      <c r="E3788" s="1" t="s">
        <v>25</v>
      </c>
      <c r="F3788" s="1">
        <v>27.0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1">
        <v>75.75</v>
      </c>
      <c r="T3788" s="1">
        <v>1929.0</v>
      </c>
      <c r="U3788" s="1">
        <v>0.0</v>
      </c>
      <c r="V3788" s="1">
        <v>2.0</v>
      </c>
      <c r="W3788" s="1" t="s">
        <v>26</v>
      </c>
    </row>
    <row r="3789" ht="15.75" customHeight="1">
      <c r="A3789" s="1" t="s">
        <v>3826</v>
      </c>
      <c r="B3789" s="1" t="s">
        <v>24</v>
      </c>
      <c r="C3789" s="1">
        <v>0.0</v>
      </c>
      <c r="D3789" s="1" t="s">
        <v>26</v>
      </c>
      <c r="E3789" s="1" t="s">
        <v>26</v>
      </c>
      <c r="F3789" s="1">
        <v>58.0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1">
        <v>95.3</v>
      </c>
      <c r="T3789" s="1">
        <v>5817.7</v>
      </c>
      <c r="U3789" s="1">
        <v>0.0</v>
      </c>
      <c r="V3789" s="1">
        <v>0.0</v>
      </c>
      <c r="W3789" s="1" t="s">
        <v>26</v>
      </c>
    </row>
    <row r="3790" ht="15.75" customHeight="1">
      <c r="A3790" s="1" t="s">
        <v>3827</v>
      </c>
      <c r="B3790" s="1" t="s">
        <v>32</v>
      </c>
      <c r="C3790" s="1">
        <v>0.0</v>
      </c>
      <c r="D3790" s="1" t="s">
        <v>25</v>
      </c>
      <c r="E3790" s="1" t="s">
        <v>26</v>
      </c>
      <c r="F3790" s="1">
        <v>54.0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1">
        <v>109.75</v>
      </c>
      <c r="T3790" s="1">
        <v>6110.2</v>
      </c>
      <c r="U3790" s="1">
        <v>0.0</v>
      </c>
      <c r="V3790" s="1">
        <v>4.0</v>
      </c>
      <c r="W3790" s="1" t="s">
        <v>25</v>
      </c>
    </row>
    <row r="3791" ht="15.75" customHeight="1">
      <c r="A3791" s="1" t="s">
        <v>3828</v>
      </c>
      <c r="B3791" s="1" t="s">
        <v>32</v>
      </c>
      <c r="C3791" s="1">
        <v>0.0</v>
      </c>
      <c r="D3791" s="1" t="s">
        <v>26</v>
      </c>
      <c r="E3791" s="1" t="s">
        <v>26</v>
      </c>
      <c r="F3791" s="1">
        <v>9.0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1">
        <v>19.85</v>
      </c>
      <c r="T3791" s="1">
        <v>178.8</v>
      </c>
      <c r="U3791" s="1">
        <v>0.0</v>
      </c>
      <c r="V3791" s="1">
        <v>0.0</v>
      </c>
      <c r="W3791" s="1" t="s">
        <v>26</v>
      </c>
    </row>
    <row r="3792" ht="15.75" customHeight="1">
      <c r="A3792" s="1" t="s">
        <v>3829</v>
      </c>
      <c r="B3792" s="1" t="s">
        <v>32</v>
      </c>
      <c r="C3792" s="1">
        <v>0.0</v>
      </c>
      <c r="D3792" s="1" t="s">
        <v>26</v>
      </c>
      <c r="E3792" s="1" t="s">
        <v>26</v>
      </c>
      <c r="F3792" s="1">
        <v>2.0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1">
        <v>19.3</v>
      </c>
      <c r="T3792" s="1">
        <v>28.3</v>
      </c>
      <c r="U3792" s="1">
        <v>0.0</v>
      </c>
      <c r="V3792" s="1">
        <v>0.0</v>
      </c>
      <c r="W3792" s="1" t="s">
        <v>25</v>
      </c>
    </row>
    <row r="3793" ht="15.75" customHeight="1">
      <c r="A3793" s="1" t="s">
        <v>3830</v>
      </c>
      <c r="B3793" s="1" t="s">
        <v>32</v>
      </c>
      <c r="C3793" s="1">
        <v>0.0</v>
      </c>
      <c r="D3793" s="1" t="s">
        <v>26</v>
      </c>
      <c r="E3793" s="1" t="s">
        <v>26</v>
      </c>
      <c r="F3793" s="1">
        <v>6.0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1">
        <v>69.1</v>
      </c>
      <c r="T3793" s="1">
        <v>435.0</v>
      </c>
      <c r="U3793" s="1">
        <v>2.0</v>
      </c>
      <c r="V3793" s="1">
        <v>0.0</v>
      </c>
      <c r="W3793" s="1" t="s">
        <v>26</v>
      </c>
    </row>
    <row r="3794" ht="15.75" customHeight="1">
      <c r="A3794" s="1" t="s">
        <v>3831</v>
      </c>
      <c r="B3794" s="1" t="s">
        <v>24</v>
      </c>
      <c r="C3794" s="1">
        <v>1.0</v>
      </c>
      <c r="D3794" s="1" t="s">
        <v>26</v>
      </c>
      <c r="E3794" s="1" t="s">
        <v>26</v>
      </c>
      <c r="F3794" s="1">
        <v>26.0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1">
        <v>91.25</v>
      </c>
      <c r="T3794" s="1">
        <v>2351.8</v>
      </c>
      <c r="U3794" s="1">
        <v>0.0</v>
      </c>
      <c r="V3794" s="1">
        <v>1.0</v>
      </c>
      <c r="W3794" s="1" t="s">
        <v>25</v>
      </c>
    </row>
    <row r="3795" ht="15.75" customHeight="1">
      <c r="A3795" s="1" t="s">
        <v>3832</v>
      </c>
      <c r="B3795" s="1" t="s">
        <v>24</v>
      </c>
      <c r="C3795" s="1">
        <v>0.0</v>
      </c>
      <c r="D3795" s="1" t="s">
        <v>26</v>
      </c>
      <c r="E3795" s="1" t="s">
        <v>26</v>
      </c>
      <c r="F3795" s="1">
        <v>9.0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1">
        <v>20.25</v>
      </c>
      <c r="T3795" s="1">
        <v>186.15</v>
      </c>
      <c r="U3795" s="1">
        <v>0.0</v>
      </c>
      <c r="V3795" s="1">
        <v>0.0</v>
      </c>
      <c r="W3795" s="1" t="s">
        <v>26</v>
      </c>
    </row>
    <row r="3796" ht="15.75" customHeight="1">
      <c r="A3796" s="1" t="s">
        <v>3833</v>
      </c>
      <c r="B3796" s="1" t="s">
        <v>32</v>
      </c>
      <c r="C3796" s="1">
        <v>0.0</v>
      </c>
      <c r="D3796" s="1" t="s">
        <v>25</v>
      </c>
      <c r="E3796" s="1" t="s">
        <v>26</v>
      </c>
      <c r="F3796" s="1">
        <v>8.0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1">
        <v>54.75</v>
      </c>
      <c r="T3796" s="1">
        <v>445.85</v>
      </c>
      <c r="U3796" s="1">
        <v>0.0</v>
      </c>
      <c r="V3796" s="1">
        <v>0.0</v>
      </c>
      <c r="W3796" s="1" t="s">
        <v>26</v>
      </c>
    </row>
    <row r="3797" ht="15.75" customHeight="1">
      <c r="A3797" s="1" t="s">
        <v>3834</v>
      </c>
      <c r="B3797" s="1" t="s">
        <v>32</v>
      </c>
      <c r="C3797" s="1">
        <v>0.0</v>
      </c>
      <c r="D3797" s="1" t="s">
        <v>26</v>
      </c>
      <c r="E3797" s="1" t="s">
        <v>26</v>
      </c>
      <c r="F3797" s="1">
        <v>12.0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1">
        <v>81.45</v>
      </c>
      <c r="T3797" s="1">
        <v>912.0</v>
      </c>
      <c r="U3797" s="1">
        <v>0.0</v>
      </c>
      <c r="V3797" s="1">
        <v>0.0</v>
      </c>
      <c r="W3797" s="1" t="s">
        <v>26</v>
      </c>
    </row>
    <row r="3798" ht="15.75" customHeight="1">
      <c r="A3798" s="1" t="s">
        <v>3835</v>
      </c>
      <c r="B3798" s="1" t="s">
        <v>24</v>
      </c>
      <c r="C3798" s="1">
        <v>0.0</v>
      </c>
      <c r="D3798" s="1" t="s">
        <v>26</v>
      </c>
      <c r="E3798" s="1" t="s">
        <v>26</v>
      </c>
      <c r="F3798" s="1">
        <v>15.0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1">
        <v>49.1</v>
      </c>
      <c r="T3798" s="1">
        <v>679.55</v>
      </c>
      <c r="U3798" s="1">
        <v>3.0</v>
      </c>
      <c r="V3798" s="1">
        <v>0.0</v>
      </c>
      <c r="W3798" s="1" t="s">
        <v>25</v>
      </c>
    </row>
    <row r="3799" ht="15.75" customHeight="1">
      <c r="A3799" s="1" t="s">
        <v>3836</v>
      </c>
      <c r="B3799" s="1" t="s">
        <v>32</v>
      </c>
      <c r="C3799" s="1">
        <v>0.0</v>
      </c>
      <c r="D3799" s="1" t="s">
        <v>25</v>
      </c>
      <c r="E3799" s="1" t="s">
        <v>26</v>
      </c>
      <c r="F3799" s="1">
        <v>43.0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1">
        <v>80.2</v>
      </c>
      <c r="T3799" s="1">
        <v>3581.6</v>
      </c>
      <c r="U3799" s="1">
        <v>4.0</v>
      </c>
      <c r="V3799" s="1">
        <v>0.0</v>
      </c>
      <c r="W3799" s="1" t="s">
        <v>26</v>
      </c>
    </row>
    <row r="3800" ht="15.75" customHeight="1">
      <c r="A3800" s="1" t="s">
        <v>3837</v>
      </c>
      <c r="B3800" s="1" t="s">
        <v>32</v>
      </c>
      <c r="C3800" s="1">
        <v>0.0</v>
      </c>
      <c r="D3800" s="1" t="s">
        <v>26</v>
      </c>
      <c r="E3800" s="1" t="s">
        <v>26</v>
      </c>
      <c r="F3800" s="1">
        <v>42.0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1">
        <v>100.3</v>
      </c>
      <c r="T3800" s="1">
        <v>4222.95</v>
      </c>
      <c r="U3800" s="1">
        <v>0.0</v>
      </c>
      <c r="V3800" s="1">
        <v>0.0</v>
      </c>
      <c r="W3800" s="1" t="s">
        <v>26</v>
      </c>
    </row>
    <row r="3801" ht="15.75" customHeight="1">
      <c r="A3801" s="1" t="s">
        <v>3838</v>
      </c>
      <c r="B3801" s="1" t="s">
        <v>24</v>
      </c>
      <c r="C3801" s="1">
        <v>0.0</v>
      </c>
      <c r="D3801" s="1" t="s">
        <v>26</v>
      </c>
      <c r="E3801" s="1" t="s">
        <v>26</v>
      </c>
      <c r="F3801" s="1">
        <v>31.0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1">
        <v>65.25</v>
      </c>
      <c r="T3801" s="1">
        <v>1994.3</v>
      </c>
      <c r="U3801" s="1">
        <v>0.0</v>
      </c>
      <c r="V3801" s="1">
        <v>3.0</v>
      </c>
      <c r="W3801" s="1" t="s">
        <v>25</v>
      </c>
    </row>
    <row r="3802" ht="15.75" customHeight="1">
      <c r="A3802" s="1" t="s">
        <v>3839</v>
      </c>
      <c r="B3802" s="1" t="s">
        <v>24</v>
      </c>
      <c r="C3802" s="1">
        <v>0.0</v>
      </c>
      <c r="D3802" s="1" t="s">
        <v>26</v>
      </c>
      <c r="E3802" s="1" t="s">
        <v>25</v>
      </c>
      <c r="F3802" s="1">
        <v>66.0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1">
        <v>90.95</v>
      </c>
      <c r="T3802" s="1">
        <v>5930.05</v>
      </c>
      <c r="U3802" s="1">
        <v>0.0</v>
      </c>
      <c r="V3802" s="1">
        <v>0.0</v>
      </c>
      <c r="W3802" s="1" t="s">
        <v>26</v>
      </c>
    </row>
    <row r="3803" ht="15.75" customHeight="1">
      <c r="A3803" s="1" t="s">
        <v>3840</v>
      </c>
      <c r="B3803" s="1" t="s">
        <v>24</v>
      </c>
      <c r="C3803" s="1">
        <v>1.0</v>
      </c>
      <c r="D3803" s="1" t="s">
        <v>26</v>
      </c>
      <c r="E3803" s="1" t="s">
        <v>26</v>
      </c>
      <c r="F3803" s="1">
        <v>18.0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1">
        <v>85.45</v>
      </c>
      <c r="T3803" s="1">
        <v>1505.85</v>
      </c>
      <c r="U3803" s="1">
        <v>0.0</v>
      </c>
      <c r="V3803" s="1">
        <v>0.0</v>
      </c>
      <c r="W3803" s="1" t="s">
        <v>25</v>
      </c>
    </row>
    <row r="3804" ht="15.75" customHeight="1">
      <c r="A3804" s="1" t="s">
        <v>3841</v>
      </c>
      <c r="B3804" s="1" t="s">
        <v>32</v>
      </c>
      <c r="C3804" s="1">
        <v>0.0</v>
      </c>
      <c r="D3804" s="1" t="s">
        <v>26</v>
      </c>
      <c r="E3804" s="1" t="s">
        <v>26</v>
      </c>
      <c r="F3804" s="1">
        <v>1.0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1">
        <v>20.0</v>
      </c>
      <c r="T3804" s="1">
        <v>20.0</v>
      </c>
      <c r="U3804" s="1">
        <v>0.0</v>
      </c>
      <c r="V3804" s="1">
        <v>0.0</v>
      </c>
      <c r="W3804" s="1" t="s">
        <v>26</v>
      </c>
    </row>
    <row r="3805" ht="15.75" customHeight="1">
      <c r="A3805" s="1" t="s">
        <v>3842</v>
      </c>
      <c r="B3805" s="1" t="s">
        <v>32</v>
      </c>
      <c r="C3805" s="1">
        <v>0.0</v>
      </c>
      <c r="D3805" s="1" t="s">
        <v>25</v>
      </c>
      <c r="E3805" s="1" t="s">
        <v>26</v>
      </c>
      <c r="F3805" s="1">
        <v>61.0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1">
        <v>94.1</v>
      </c>
      <c r="T3805" s="1">
        <v>5638.3</v>
      </c>
      <c r="U3805" s="1">
        <v>0.0</v>
      </c>
      <c r="V3805" s="1">
        <v>7.0</v>
      </c>
      <c r="W3805" s="1" t="s">
        <v>25</v>
      </c>
    </row>
    <row r="3806" ht="15.75" customHeight="1">
      <c r="A3806" s="1" t="s">
        <v>3843</v>
      </c>
      <c r="B3806" s="1" t="s">
        <v>32</v>
      </c>
      <c r="C3806" s="1">
        <v>0.0</v>
      </c>
      <c r="D3806" s="1" t="s">
        <v>26</v>
      </c>
      <c r="E3806" s="1" t="s">
        <v>26</v>
      </c>
      <c r="F3806" s="1">
        <v>10.0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1">
        <v>79.85</v>
      </c>
      <c r="T3806" s="1">
        <v>797.25</v>
      </c>
      <c r="U3806" s="1">
        <v>0.0</v>
      </c>
      <c r="V3806" s="1">
        <v>0.0</v>
      </c>
      <c r="W3806" s="1" t="s">
        <v>26</v>
      </c>
    </row>
    <row r="3807" ht="15.75" customHeight="1">
      <c r="A3807" s="1" t="s">
        <v>3844</v>
      </c>
      <c r="B3807" s="1" t="s">
        <v>32</v>
      </c>
      <c r="C3807" s="1">
        <v>1.0</v>
      </c>
      <c r="D3807" s="1" t="s">
        <v>26</v>
      </c>
      <c r="E3807" s="1" t="s">
        <v>26</v>
      </c>
      <c r="F3807" s="1">
        <v>1.0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1">
        <v>71.65</v>
      </c>
      <c r="T3807" s="1">
        <v>71.65</v>
      </c>
      <c r="U3807" s="1">
        <v>0.0</v>
      </c>
      <c r="V3807" s="1">
        <v>0.0</v>
      </c>
      <c r="W3807" s="1" t="s">
        <v>25</v>
      </c>
    </row>
    <row r="3808" ht="15.75" customHeight="1">
      <c r="A3808" s="1" t="s">
        <v>3845</v>
      </c>
      <c r="B3808" s="1" t="s">
        <v>24</v>
      </c>
      <c r="C3808" s="1">
        <v>1.0</v>
      </c>
      <c r="D3808" s="1" t="s">
        <v>26</v>
      </c>
      <c r="E3808" s="1" t="s">
        <v>26</v>
      </c>
      <c r="F3808" s="1">
        <v>18.0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1">
        <v>73.55</v>
      </c>
      <c r="T3808" s="1">
        <v>1359.45</v>
      </c>
      <c r="U3808" s="1">
        <v>0.0</v>
      </c>
      <c r="V3808" s="1">
        <v>0.0</v>
      </c>
      <c r="W3808" s="1" t="s">
        <v>26</v>
      </c>
    </row>
    <row r="3809" ht="15.75" customHeight="1">
      <c r="A3809" s="1" t="s">
        <v>3846</v>
      </c>
      <c r="B3809" s="1" t="s">
        <v>32</v>
      </c>
      <c r="C3809" s="1">
        <v>0.0</v>
      </c>
      <c r="D3809" s="1" t="s">
        <v>25</v>
      </c>
      <c r="E3809" s="1" t="s">
        <v>26</v>
      </c>
      <c r="F3809" s="1">
        <v>24.0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1">
        <v>104.65</v>
      </c>
      <c r="T3809" s="1">
        <v>2542.45</v>
      </c>
      <c r="U3809" s="1">
        <v>0.0</v>
      </c>
      <c r="V3809" s="1">
        <v>2.0</v>
      </c>
      <c r="W3809" s="1" t="s">
        <v>25</v>
      </c>
    </row>
    <row r="3810" ht="15.75" customHeight="1">
      <c r="A3810" s="1" t="s">
        <v>3847</v>
      </c>
      <c r="B3810" s="1" t="s">
        <v>24</v>
      </c>
      <c r="C3810" s="1">
        <v>0.0</v>
      </c>
      <c r="D3810" s="1" t="s">
        <v>25</v>
      </c>
      <c r="E3810" s="1" t="s">
        <v>25</v>
      </c>
      <c r="F3810" s="1">
        <v>3.0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1">
        <v>19.3</v>
      </c>
      <c r="T3810" s="1">
        <v>54.7</v>
      </c>
      <c r="U3810" s="1">
        <v>0.0</v>
      </c>
      <c r="V3810" s="1">
        <v>0.0</v>
      </c>
      <c r="W3810" s="1" t="s">
        <v>26</v>
      </c>
    </row>
    <row r="3811" ht="15.75" customHeight="1">
      <c r="A3811" s="1" t="s">
        <v>3848</v>
      </c>
      <c r="B3811" s="1" t="s">
        <v>32</v>
      </c>
      <c r="C3811" s="1">
        <v>0.0</v>
      </c>
      <c r="D3811" s="1" t="s">
        <v>26</v>
      </c>
      <c r="E3811" s="1" t="s">
        <v>26</v>
      </c>
      <c r="F3811" s="1">
        <v>50.0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1">
        <v>20.15</v>
      </c>
      <c r="T3811" s="1">
        <v>989.05</v>
      </c>
      <c r="U3811" s="1">
        <v>0.0</v>
      </c>
      <c r="V3811" s="1">
        <v>0.0</v>
      </c>
      <c r="W3811" s="1" t="s">
        <v>26</v>
      </c>
    </row>
    <row r="3812" ht="15.75" customHeight="1">
      <c r="A3812" s="1" t="s">
        <v>3849</v>
      </c>
      <c r="B3812" s="1" t="s">
        <v>32</v>
      </c>
      <c r="C3812" s="1">
        <v>0.0</v>
      </c>
      <c r="D3812" s="1" t="s">
        <v>25</v>
      </c>
      <c r="E3812" s="1" t="s">
        <v>25</v>
      </c>
      <c r="F3812" s="1">
        <v>1.0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1">
        <v>44.55</v>
      </c>
      <c r="T3812" s="1">
        <v>44.55</v>
      </c>
      <c r="U3812" s="1">
        <v>0.0</v>
      </c>
      <c r="V3812" s="1">
        <v>0.0</v>
      </c>
      <c r="W3812" s="1" t="s">
        <v>26</v>
      </c>
    </row>
    <row r="3813" ht="15.75" customHeight="1">
      <c r="A3813" s="1" t="s">
        <v>3850</v>
      </c>
      <c r="B3813" s="1" t="s">
        <v>32</v>
      </c>
      <c r="C3813" s="1">
        <v>0.0</v>
      </c>
      <c r="D3813" s="1" t="s">
        <v>26</v>
      </c>
      <c r="E3813" s="1" t="s">
        <v>26</v>
      </c>
      <c r="F3813" s="1">
        <v>2.0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1">
        <v>54.45</v>
      </c>
      <c r="T3813" s="1">
        <v>87.3</v>
      </c>
      <c r="U3813" s="1">
        <v>0.0</v>
      </c>
      <c r="V3813" s="1">
        <v>0.0</v>
      </c>
      <c r="W3813" s="1" t="s">
        <v>26</v>
      </c>
    </row>
    <row r="3814" ht="15.75" customHeight="1">
      <c r="A3814" s="1" t="s">
        <v>3851</v>
      </c>
      <c r="B3814" s="1" t="s">
        <v>32</v>
      </c>
      <c r="C3814" s="1">
        <v>0.0</v>
      </c>
      <c r="D3814" s="1" t="s">
        <v>26</v>
      </c>
      <c r="E3814" s="1" t="s">
        <v>26</v>
      </c>
      <c r="F3814" s="1">
        <v>17.0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1">
        <v>19.65</v>
      </c>
      <c r="T3814" s="1">
        <v>351.55</v>
      </c>
      <c r="U3814" s="1">
        <v>0.0</v>
      </c>
      <c r="V3814" s="1">
        <v>0.0</v>
      </c>
      <c r="W3814" s="1" t="s">
        <v>26</v>
      </c>
    </row>
    <row r="3815" ht="15.75" customHeight="1">
      <c r="A3815" s="1" t="s">
        <v>3852</v>
      </c>
      <c r="B3815" s="1" t="s">
        <v>32</v>
      </c>
      <c r="C3815" s="1">
        <v>0.0</v>
      </c>
      <c r="D3815" s="1" t="s">
        <v>25</v>
      </c>
      <c r="E3815" s="1" t="s">
        <v>25</v>
      </c>
      <c r="F3815" s="1">
        <v>69.0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1">
        <v>105.0</v>
      </c>
      <c r="T3815" s="1">
        <v>7297.75</v>
      </c>
      <c r="U3815" s="1">
        <v>0.0</v>
      </c>
      <c r="V3815" s="1">
        <v>0.0</v>
      </c>
      <c r="W3815" s="1" t="s">
        <v>26</v>
      </c>
    </row>
    <row r="3816" ht="15.75" customHeight="1">
      <c r="A3816" s="1" t="s">
        <v>3853</v>
      </c>
      <c r="B3816" s="1" t="s">
        <v>32</v>
      </c>
      <c r="C3816" s="1">
        <v>0.0</v>
      </c>
      <c r="D3816" s="1" t="s">
        <v>25</v>
      </c>
      <c r="E3816" s="1" t="s">
        <v>26</v>
      </c>
      <c r="F3816" s="1">
        <v>72.0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1">
        <v>88.7</v>
      </c>
      <c r="T3816" s="1">
        <v>6301.7</v>
      </c>
      <c r="U3816" s="1">
        <v>0.0</v>
      </c>
      <c r="V3816" s="1">
        <v>0.0</v>
      </c>
      <c r="W3816" s="1" t="s">
        <v>26</v>
      </c>
    </row>
    <row r="3817" ht="15.75" customHeight="1">
      <c r="A3817" s="1" t="s">
        <v>3854</v>
      </c>
      <c r="B3817" s="1" t="s">
        <v>24</v>
      </c>
      <c r="C3817" s="1">
        <v>0.0</v>
      </c>
      <c r="D3817" s="1" t="s">
        <v>26</v>
      </c>
      <c r="E3817" s="1" t="s">
        <v>26</v>
      </c>
      <c r="F3817" s="1">
        <v>3.0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1">
        <v>74.25</v>
      </c>
      <c r="T3817" s="1">
        <v>210.3</v>
      </c>
      <c r="U3817" s="1">
        <v>0.0</v>
      </c>
      <c r="V3817" s="1">
        <v>0.0</v>
      </c>
      <c r="W3817" s="1" t="s">
        <v>25</v>
      </c>
    </row>
    <row r="3818" ht="15.75" customHeight="1">
      <c r="A3818" s="1" t="s">
        <v>3855</v>
      </c>
      <c r="B3818" s="1" t="s">
        <v>32</v>
      </c>
      <c r="C3818" s="1">
        <v>1.0</v>
      </c>
      <c r="D3818" s="1" t="s">
        <v>25</v>
      </c>
      <c r="E3818" s="1" t="s">
        <v>25</v>
      </c>
      <c r="F3818" s="1">
        <v>50.0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1">
        <v>75.15</v>
      </c>
      <c r="T3818" s="1">
        <v>3822.45</v>
      </c>
      <c r="U3818" s="1">
        <v>1.0</v>
      </c>
      <c r="V3818" s="1">
        <v>0.0</v>
      </c>
      <c r="W3818" s="1" t="s">
        <v>26</v>
      </c>
    </row>
    <row r="3819" ht="15.75" customHeight="1">
      <c r="A3819" s="1" t="s">
        <v>3856</v>
      </c>
      <c r="B3819" s="1" t="s">
        <v>24</v>
      </c>
      <c r="C3819" s="1">
        <v>0.0</v>
      </c>
      <c r="D3819" s="1" t="s">
        <v>26</v>
      </c>
      <c r="E3819" s="1" t="s">
        <v>26</v>
      </c>
      <c r="F3819" s="1">
        <v>53.0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1">
        <v>20.25</v>
      </c>
      <c r="T3819" s="1">
        <v>1048.45</v>
      </c>
      <c r="U3819" s="1">
        <v>0.0</v>
      </c>
      <c r="V3819" s="1">
        <v>0.0</v>
      </c>
      <c r="W3819" s="1" t="s">
        <v>26</v>
      </c>
    </row>
    <row r="3820" ht="15.75" customHeight="1">
      <c r="A3820" s="1" t="s">
        <v>3857</v>
      </c>
      <c r="B3820" s="1" t="s">
        <v>24</v>
      </c>
      <c r="C3820" s="1">
        <v>0.0</v>
      </c>
      <c r="D3820" s="1" t="s">
        <v>25</v>
      </c>
      <c r="E3820" s="1" t="s">
        <v>26</v>
      </c>
      <c r="F3820" s="1">
        <v>58.0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1">
        <v>109.1</v>
      </c>
      <c r="T3820" s="1">
        <v>6393.65</v>
      </c>
      <c r="U3820" s="1">
        <v>0.0</v>
      </c>
      <c r="V3820" s="1">
        <v>0.0</v>
      </c>
      <c r="W3820" s="1" t="s">
        <v>26</v>
      </c>
    </row>
    <row r="3821" ht="15.75" customHeight="1">
      <c r="A3821" s="1" t="s">
        <v>3858</v>
      </c>
      <c r="B3821" s="1" t="s">
        <v>32</v>
      </c>
      <c r="C3821" s="1">
        <v>0.0</v>
      </c>
      <c r="D3821" s="1" t="s">
        <v>26</v>
      </c>
      <c r="E3821" s="1" t="s">
        <v>26</v>
      </c>
      <c r="F3821" s="1">
        <v>46.0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1">
        <v>30.75</v>
      </c>
      <c r="T3821" s="1">
        <v>1489.3</v>
      </c>
      <c r="U3821" s="1">
        <v>0.0</v>
      </c>
      <c r="V3821" s="1">
        <v>0.0</v>
      </c>
      <c r="W3821" s="1" t="s">
        <v>26</v>
      </c>
    </row>
    <row r="3822" ht="15.75" customHeight="1">
      <c r="A3822" s="1" t="s">
        <v>3859</v>
      </c>
      <c r="B3822" s="1" t="s">
        <v>32</v>
      </c>
      <c r="C3822" s="1">
        <v>1.0</v>
      </c>
      <c r="D3822" s="1" t="s">
        <v>25</v>
      </c>
      <c r="E3822" s="1" t="s">
        <v>26</v>
      </c>
      <c r="F3822" s="1">
        <v>72.0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1">
        <v>112.9</v>
      </c>
      <c r="T3822" s="1">
        <v>8061.5</v>
      </c>
      <c r="U3822" s="1">
        <v>0.0</v>
      </c>
      <c r="V3822" s="1">
        <v>0.0</v>
      </c>
      <c r="W3822" s="1" t="s">
        <v>26</v>
      </c>
    </row>
    <row r="3823" ht="15.75" customHeight="1">
      <c r="A3823" s="1" t="s">
        <v>3860</v>
      </c>
      <c r="B3823" s="1" t="s">
        <v>24</v>
      </c>
      <c r="C3823" s="1">
        <v>1.0</v>
      </c>
      <c r="D3823" s="1" t="s">
        <v>26</v>
      </c>
      <c r="E3823" s="1" t="s">
        <v>26</v>
      </c>
      <c r="F3823" s="1">
        <v>1.0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1">
        <v>74.2</v>
      </c>
      <c r="T3823" s="1">
        <v>74.2</v>
      </c>
      <c r="U3823" s="1">
        <v>3.0</v>
      </c>
      <c r="V3823" s="1">
        <v>0.0</v>
      </c>
      <c r="W3823" s="1" t="s">
        <v>25</v>
      </c>
    </row>
    <row r="3824" ht="15.75" customHeight="1">
      <c r="A3824" s="1" t="s">
        <v>3861</v>
      </c>
      <c r="B3824" s="1" t="s">
        <v>24</v>
      </c>
      <c r="C3824" s="1">
        <v>0.0</v>
      </c>
      <c r="D3824" s="1" t="s">
        <v>25</v>
      </c>
      <c r="E3824" s="1" t="s">
        <v>25</v>
      </c>
      <c r="F3824" s="1">
        <v>6.0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1">
        <v>94.05</v>
      </c>
      <c r="T3824" s="1">
        <v>518.75</v>
      </c>
      <c r="U3824" s="1">
        <v>0.0</v>
      </c>
      <c r="V3824" s="1">
        <v>0.0</v>
      </c>
      <c r="W3824" s="1" t="s">
        <v>26</v>
      </c>
    </row>
    <row r="3825" ht="15.75" customHeight="1">
      <c r="A3825" s="1" t="s">
        <v>3862</v>
      </c>
      <c r="B3825" s="1" t="s">
        <v>32</v>
      </c>
      <c r="C3825" s="1">
        <v>0.0</v>
      </c>
      <c r="D3825" s="1" t="s">
        <v>25</v>
      </c>
      <c r="E3825" s="1" t="s">
        <v>26</v>
      </c>
      <c r="F3825" s="1">
        <v>72.0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1">
        <v>78.85</v>
      </c>
      <c r="T3825" s="1">
        <v>5763.15</v>
      </c>
      <c r="U3825" s="1">
        <v>0.0</v>
      </c>
      <c r="V3825" s="1">
        <v>0.0</v>
      </c>
      <c r="W3825" s="1" t="s">
        <v>26</v>
      </c>
    </row>
    <row r="3826" ht="15.75" customHeight="1">
      <c r="A3826" s="1" t="s">
        <v>3863</v>
      </c>
      <c r="B3826" s="1" t="s">
        <v>32</v>
      </c>
      <c r="C3826" s="1">
        <v>0.0</v>
      </c>
      <c r="D3826" s="1" t="s">
        <v>26</v>
      </c>
      <c r="E3826" s="1" t="s">
        <v>26</v>
      </c>
      <c r="F3826" s="1">
        <v>4.0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1">
        <v>55.3</v>
      </c>
      <c r="T3826" s="1">
        <v>238.5</v>
      </c>
      <c r="U3826" s="1">
        <v>0.0</v>
      </c>
      <c r="V3826" s="1">
        <v>0.0</v>
      </c>
      <c r="W3826" s="1" t="s">
        <v>26</v>
      </c>
    </row>
    <row r="3827" ht="15.75" customHeight="1">
      <c r="A3827" s="1" t="s">
        <v>3864</v>
      </c>
      <c r="B3827" s="1" t="s">
        <v>24</v>
      </c>
      <c r="C3827" s="1">
        <v>0.0</v>
      </c>
      <c r="D3827" s="1" t="s">
        <v>25</v>
      </c>
      <c r="E3827" s="1" t="s">
        <v>25</v>
      </c>
      <c r="F3827" s="1">
        <v>52.0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1">
        <v>19.35</v>
      </c>
      <c r="T3827" s="1">
        <v>1031.7</v>
      </c>
      <c r="U3827" s="1">
        <v>0.0</v>
      </c>
      <c r="V3827" s="1">
        <v>0.0</v>
      </c>
      <c r="W3827" s="1" t="s">
        <v>26</v>
      </c>
    </row>
    <row r="3828" ht="15.75" customHeight="1">
      <c r="A3828" s="1" t="s">
        <v>3865</v>
      </c>
      <c r="B3828" s="1" t="s">
        <v>32</v>
      </c>
      <c r="C3828" s="1">
        <v>0.0</v>
      </c>
      <c r="D3828" s="1" t="s">
        <v>25</v>
      </c>
      <c r="E3828" s="1" t="s">
        <v>25</v>
      </c>
      <c r="F3828" s="1">
        <v>0.0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1">
        <v>25.35</v>
      </c>
      <c r="T3828" s="1" t="s">
        <v>527</v>
      </c>
      <c r="U3828" s="1">
        <v>0.0</v>
      </c>
      <c r="V3828" s="1">
        <v>0.0</v>
      </c>
      <c r="W3828" s="1" t="s">
        <v>26</v>
      </c>
    </row>
    <row r="3829" ht="15.75" customHeight="1">
      <c r="A3829" s="1" t="s">
        <v>3866</v>
      </c>
      <c r="B3829" s="1" t="s">
        <v>24</v>
      </c>
      <c r="C3829" s="1">
        <v>0.0</v>
      </c>
      <c r="D3829" s="1" t="s">
        <v>26</v>
      </c>
      <c r="E3829" s="1" t="s">
        <v>26</v>
      </c>
      <c r="F3829" s="1">
        <v>2.0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1">
        <v>20.45</v>
      </c>
      <c r="T3829" s="1">
        <v>34.8</v>
      </c>
      <c r="U3829" s="1">
        <v>0.0</v>
      </c>
      <c r="V3829" s="1">
        <v>0.0</v>
      </c>
      <c r="W3829" s="1" t="s">
        <v>26</v>
      </c>
    </row>
    <row r="3830" ht="15.75" customHeight="1">
      <c r="A3830" s="1" t="s">
        <v>3867</v>
      </c>
      <c r="B3830" s="1" t="s">
        <v>24</v>
      </c>
      <c r="C3830" s="1">
        <v>0.0</v>
      </c>
      <c r="D3830" s="1" t="s">
        <v>25</v>
      </c>
      <c r="E3830" s="1" t="s">
        <v>26</v>
      </c>
      <c r="F3830" s="1">
        <v>65.0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1">
        <v>19.35</v>
      </c>
      <c r="T3830" s="1">
        <v>1319.95</v>
      </c>
      <c r="U3830" s="1">
        <v>0.0</v>
      </c>
      <c r="V3830" s="1">
        <v>0.0</v>
      </c>
      <c r="W3830" s="1" t="s">
        <v>26</v>
      </c>
    </row>
    <row r="3831" ht="15.75" customHeight="1">
      <c r="A3831" s="1" t="s">
        <v>3868</v>
      </c>
      <c r="B3831" s="1" t="s">
        <v>32</v>
      </c>
      <c r="C3831" s="1">
        <v>1.0</v>
      </c>
      <c r="D3831" s="1" t="s">
        <v>25</v>
      </c>
      <c r="E3831" s="1" t="s">
        <v>26</v>
      </c>
      <c r="F3831" s="1">
        <v>43.0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1">
        <v>101.0</v>
      </c>
      <c r="T3831" s="1">
        <v>4388.4</v>
      </c>
      <c r="U3831" s="1">
        <v>0.0</v>
      </c>
      <c r="V3831" s="1">
        <v>5.0</v>
      </c>
      <c r="W3831" s="1" t="s">
        <v>25</v>
      </c>
    </row>
    <row r="3832" ht="15.75" customHeight="1">
      <c r="A3832" s="1" t="s">
        <v>3869</v>
      </c>
      <c r="B3832" s="1" t="s">
        <v>32</v>
      </c>
      <c r="C3832" s="1">
        <v>0.0</v>
      </c>
      <c r="D3832" s="1" t="s">
        <v>25</v>
      </c>
      <c r="E3832" s="1" t="s">
        <v>26</v>
      </c>
      <c r="F3832" s="1">
        <v>4.0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1">
        <v>100.2</v>
      </c>
      <c r="T3832" s="1">
        <v>420.2</v>
      </c>
      <c r="U3832" s="1">
        <v>0.0</v>
      </c>
      <c r="V3832" s="1">
        <v>0.0</v>
      </c>
      <c r="W3832" s="1" t="s">
        <v>25</v>
      </c>
    </row>
    <row r="3833" ht="15.75" customHeight="1">
      <c r="A3833" s="1" t="s">
        <v>3870</v>
      </c>
      <c r="B3833" s="1" t="s">
        <v>32</v>
      </c>
      <c r="C3833" s="1">
        <v>1.0</v>
      </c>
      <c r="D3833" s="1" t="s">
        <v>25</v>
      </c>
      <c r="E3833" s="1" t="s">
        <v>26</v>
      </c>
      <c r="F3833" s="1">
        <v>25.0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1">
        <v>89.05</v>
      </c>
      <c r="T3833" s="1">
        <v>2177.45</v>
      </c>
      <c r="U3833" s="1">
        <v>0.0</v>
      </c>
      <c r="V3833" s="1">
        <v>1.0</v>
      </c>
      <c r="W3833" s="1" t="s">
        <v>25</v>
      </c>
    </row>
    <row r="3834" ht="15.75" customHeight="1">
      <c r="A3834" s="1" t="s">
        <v>3871</v>
      </c>
      <c r="B3834" s="1" t="s">
        <v>24</v>
      </c>
      <c r="C3834" s="1">
        <v>0.0</v>
      </c>
      <c r="D3834" s="1" t="s">
        <v>25</v>
      </c>
      <c r="E3834" s="1" t="s">
        <v>26</v>
      </c>
      <c r="F3834" s="1">
        <v>51.0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1">
        <v>78.65</v>
      </c>
      <c r="T3834" s="1">
        <v>3950.85</v>
      </c>
      <c r="U3834" s="1">
        <v>0.0</v>
      </c>
      <c r="V3834" s="1">
        <v>0.0</v>
      </c>
      <c r="W3834" s="1" t="s">
        <v>26</v>
      </c>
    </row>
    <row r="3835" ht="15.75" customHeight="1">
      <c r="A3835" s="1" t="s">
        <v>3872</v>
      </c>
      <c r="B3835" s="1" t="s">
        <v>32</v>
      </c>
      <c r="C3835" s="1">
        <v>0.0</v>
      </c>
      <c r="D3835" s="1" t="s">
        <v>26</v>
      </c>
      <c r="E3835" s="1" t="s">
        <v>26</v>
      </c>
      <c r="F3835" s="1">
        <v>12.0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1">
        <v>74.75</v>
      </c>
      <c r="T3835" s="1">
        <v>827.05</v>
      </c>
      <c r="U3835" s="1">
        <v>0.0</v>
      </c>
      <c r="V3835" s="1">
        <v>0.0</v>
      </c>
      <c r="W3835" s="1" t="s">
        <v>26</v>
      </c>
    </row>
    <row r="3836" ht="15.75" customHeight="1">
      <c r="A3836" s="1" t="s">
        <v>3873</v>
      </c>
      <c r="B3836" s="1" t="s">
        <v>24</v>
      </c>
      <c r="C3836" s="1">
        <v>0.0</v>
      </c>
      <c r="D3836" s="1" t="s">
        <v>25</v>
      </c>
      <c r="E3836" s="1" t="s">
        <v>25</v>
      </c>
      <c r="F3836" s="1">
        <v>57.0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1">
        <v>70.1</v>
      </c>
      <c r="T3836" s="1">
        <v>3913.3</v>
      </c>
      <c r="U3836" s="1">
        <v>5.0</v>
      </c>
      <c r="V3836" s="1">
        <v>5.0</v>
      </c>
      <c r="W3836" s="1" t="s">
        <v>25</v>
      </c>
    </row>
    <row r="3837" ht="15.75" customHeight="1">
      <c r="A3837" s="1" t="s">
        <v>3874</v>
      </c>
      <c r="B3837" s="1" t="s">
        <v>24</v>
      </c>
      <c r="C3837" s="1">
        <v>0.0</v>
      </c>
      <c r="D3837" s="1" t="s">
        <v>25</v>
      </c>
      <c r="E3837" s="1" t="s">
        <v>25</v>
      </c>
      <c r="F3837" s="1">
        <v>24.0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1">
        <v>19.9</v>
      </c>
      <c r="T3837" s="1">
        <v>533.5</v>
      </c>
      <c r="U3837" s="1">
        <v>0.0</v>
      </c>
      <c r="V3837" s="1">
        <v>0.0</v>
      </c>
      <c r="W3837" s="1" t="s">
        <v>26</v>
      </c>
    </row>
    <row r="3838" ht="15.75" customHeight="1">
      <c r="A3838" s="1" t="s">
        <v>3875</v>
      </c>
      <c r="B3838" s="1" t="s">
        <v>24</v>
      </c>
      <c r="C3838" s="1">
        <v>0.0</v>
      </c>
      <c r="D3838" s="1" t="s">
        <v>25</v>
      </c>
      <c r="E3838" s="1" t="s">
        <v>26</v>
      </c>
      <c r="F3838" s="1">
        <v>64.0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1">
        <v>58.35</v>
      </c>
      <c r="T3838" s="1">
        <v>3756.45</v>
      </c>
      <c r="U3838" s="1">
        <v>0.0</v>
      </c>
      <c r="V3838" s="1">
        <v>0.0</v>
      </c>
      <c r="W3838" s="1" t="s">
        <v>26</v>
      </c>
    </row>
    <row r="3839" ht="15.75" customHeight="1">
      <c r="A3839" s="1" t="s">
        <v>3876</v>
      </c>
      <c r="B3839" s="1" t="s">
        <v>24</v>
      </c>
      <c r="C3839" s="1">
        <v>0.0</v>
      </c>
      <c r="D3839" s="1" t="s">
        <v>26</v>
      </c>
      <c r="E3839" s="1" t="s">
        <v>26</v>
      </c>
      <c r="F3839" s="1">
        <v>4.0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1">
        <v>105.65</v>
      </c>
      <c r="T3839" s="1">
        <v>443.9</v>
      </c>
      <c r="U3839" s="1">
        <v>0.0</v>
      </c>
      <c r="V3839" s="1">
        <v>1.0</v>
      </c>
      <c r="W3839" s="1" t="s">
        <v>25</v>
      </c>
    </row>
    <row r="3840" ht="15.75" customHeight="1">
      <c r="A3840" s="1" t="s">
        <v>3877</v>
      </c>
      <c r="B3840" s="1" t="s">
        <v>24</v>
      </c>
      <c r="C3840" s="1">
        <v>0.0</v>
      </c>
      <c r="D3840" s="1" t="s">
        <v>26</v>
      </c>
      <c r="E3840" s="1" t="s">
        <v>26</v>
      </c>
      <c r="F3840" s="1">
        <v>26.0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1">
        <v>100.5</v>
      </c>
      <c r="T3840" s="1">
        <v>2599.95</v>
      </c>
      <c r="U3840" s="1">
        <v>0.0</v>
      </c>
      <c r="V3840" s="1">
        <v>0.0</v>
      </c>
      <c r="W3840" s="1" t="s">
        <v>26</v>
      </c>
    </row>
    <row r="3841" ht="15.75" customHeight="1">
      <c r="A3841" s="1" t="s">
        <v>3878</v>
      </c>
      <c r="B3841" s="1" t="s">
        <v>24</v>
      </c>
      <c r="C3841" s="1">
        <v>0.0</v>
      </c>
      <c r="D3841" s="1" t="s">
        <v>25</v>
      </c>
      <c r="E3841" s="1" t="s">
        <v>25</v>
      </c>
      <c r="F3841" s="1">
        <v>15.0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1">
        <v>20.05</v>
      </c>
      <c r="T3841" s="1">
        <v>284.3</v>
      </c>
      <c r="U3841" s="1">
        <v>0.0</v>
      </c>
      <c r="V3841" s="1">
        <v>0.0</v>
      </c>
      <c r="W3841" s="1" t="s">
        <v>26</v>
      </c>
    </row>
    <row r="3842" ht="15.75" customHeight="1">
      <c r="A3842" s="1" t="s">
        <v>3879</v>
      </c>
      <c r="B3842" s="1" t="s">
        <v>32</v>
      </c>
      <c r="C3842" s="1">
        <v>1.0</v>
      </c>
      <c r="D3842" s="1" t="s">
        <v>25</v>
      </c>
      <c r="E3842" s="1" t="s">
        <v>26</v>
      </c>
      <c r="F3842" s="1">
        <v>64.0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1">
        <v>25.65</v>
      </c>
      <c r="T3842" s="1">
        <v>1740.8</v>
      </c>
      <c r="U3842" s="1">
        <v>0.0</v>
      </c>
      <c r="V3842" s="1">
        <v>0.0</v>
      </c>
      <c r="W3842" s="1" t="s">
        <v>26</v>
      </c>
    </row>
    <row r="3843" ht="15.75" customHeight="1">
      <c r="A3843" s="1" t="s">
        <v>3880</v>
      </c>
      <c r="B3843" s="1" t="s">
        <v>32</v>
      </c>
      <c r="C3843" s="1">
        <v>1.0</v>
      </c>
      <c r="D3843" s="1" t="s">
        <v>25</v>
      </c>
      <c r="E3843" s="1" t="s">
        <v>26</v>
      </c>
      <c r="F3843" s="1">
        <v>36.0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1">
        <v>96.5</v>
      </c>
      <c r="T3843" s="1">
        <v>3436.1</v>
      </c>
      <c r="U3843" s="1">
        <v>2.0</v>
      </c>
      <c r="V3843" s="1">
        <v>3.0</v>
      </c>
      <c r="W3843" s="1" t="s">
        <v>25</v>
      </c>
    </row>
    <row r="3844" ht="15.75" customHeight="1">
      <c r="A3844" s="1" t="s">
        <v>3881</v>
      </c>
      <c r="B3844" s="1" t="s">
        <v>24</v>
      </c>
      <c r="C3844" s="1">
        <v>0.0</v>
      </c>
      <c r="D3844" s="1" t="s">
        <v>25</v>
      </c>
      <c r="E3844" s="1" t="s">
        <v>26</v>
      </c>
      <c r="F3844" s="1">
        <v>27.0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1">
        <v>95.0</v>
      </c>
      <c r="T3844" s="1">
        <v>2462.55</v>
      </c>
      <c r="U3844" s="1">
        <v>0.0</v>
      </c>
      <c r="V3844" s="1">
        <v>0.0</v>
      </c>
      <c r="W3844" s="1" t="s">
        <v>26</v>
      </c>
    </row>
    <row r="3845" ht="15.75" customHeight="1">
      <c r="A3845" s="1" t="s">
        <v>3882</v>
      </c>
      <c r="B3845" s="1" t="s">
        <v>32</v>
      </c>
      <c r="C3845" s="1">
        <v>1.0</v>
      </c>
      <c r="D3845" s="1" t="s">
        <v>25</v>
      </c>
      <c r="E3845" s="1" t="s">
        <v>26</v>
      </c>
      <c r="F3845" s="1">
        <v>1.0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1">
        <v>70.85</v>
      </c>
      <c r="T3845" s="1">
        <v>70.85</v>
      </c>
      <c r="U3845" s="1">
        <v>0.0</v>
      </c>
      <c r="V3845" s="1">
        <v>0.0</v>
      </c>
      <c r="W3845" s="1" t="s">
        <v>25</v>
      </c>
    </row>
    <row r="3846" ht="15.75" customHeight="1">
      <c r="A3846" s="1" t="s">
        <v>3883</v>
      </c>
      <c r="B3846" s="1" t="s">
        <v>24</v>
      </c>
      <c r="C3846" s="1">
        <v>0.0</v>
      </c>
      <c r="D3846" s="1" t="s">
        <v>26</v>
      </c>
      <c r="E3846" s="1" t="s">
        <v>26</v>
      </c>
      <c r="F3846" s="1">
        <v>35.0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1">
        <v>85.95</v>
      </c>
      <c r="T3846" s="1">
        <v>3110.1</v>
      </c>
      <c r="U3846" s="1">
        <v>0.0</v>
      </c>
      <c r="V3846" s="1">
        <v>2.0</v>
      </c>
      <c r="W3846" s="1" t="s">
        <v>25</v>
      </c>
    </row>
    <row r="3847" ht="15.75" customHeight="1">
      <c r="A3847" s="1" t="s">
        <v>3884</v>
      </c>
      <c r="B3847" s="1" t="s">
        <v>32</v>
      </c>
      <c r="C3847" s="1">
        <v>0.0</v>
      </c>
      <c r="D3847" s="1" t="s">
        <v>26</v>
      </c>
      <c r="E3847" s="1" t="s">
        <v>26</v>
      </c>
      <c r="F3847" s="1">
        <v>4.0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1">
        <v>73.9</v>
      </c>
      <c r="T3847" s="1">
        <v>280.85</v>
      </c>
      <c r="U3847" s="1">
        <v>2.0</v>
      </c>
      <c r="V3847" s="1">
        <v>0.0</v>
      </c>
      <c r="W3847" s="1" t="s">
        <v>25</v>
      </c>
    </row>
    <row r="3848" ht="15.75" customHeight="1">
      <c r="A3848" s="1" t="s">
        <v>3885</v>
      </c>
      <c r="B3848" s="1" t="s">
        <v>24</v>
      </c>
      <c r="C3848" s="1">
        <v>0.0</v>
      </c>
      <c r="D3848" s="1" t="s">
        <v>25</v>
      </c>
      <c r="E3848" s="1" t="s">
        <v>25</v>
      </c>
      <c r="F3848" s="1">
        <v>8.0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1">
        <v>45.45</v>
      </c>
      <c r="T3848" s="1">
        <v>411.75</v>
      </c>
      <c r="U3848" s="1">
        <v>0.0</v>
      </c>
      <c r="V3848" s="1">
        <v>0.0</v>
      </c>
      <c r="W3848" s="1" t="s">
        <v>26</v>
      </c>
    </row>
    <row r="3849" ht="15.75" customHeight="1">
      <c r="A3849" s="1" t="s">
        <v>3886</v>
      </c>
      <c r="B3849" s="1" t="s">
        <v>32</v>
      </c>
      <c r="C3849" s="1">
        <v>0.0</v>
      </c>
      <c r="D3849" s="1" t="s">
        <v>26</v>
      </c>
      <c r="E3849" s="1" t="s">
        <v>26</v>
      </c>
      <c r="F3849" s="1">
        <v>10.0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1">
        <v>20.0</v>
      </c>
      <c r="T3849" s="1">
        <v>198.6</v>
      </c>
      <c r="U3849" s="1">
        <v>0.0</v>
      </c>
      <c r="V3849" s="1">
        <v>0.0</v>
      </c>
      <c r="W3849" s="1" t="s">
        <v>26</v>
      </c>
    </row>
    <row r="3850" ht="15.75" customHeight="1">
      <c r="A3850" s="1" t="s">
        <v>3887</v>
      </c>
      <c r="B3850" s="1" t="s">
        <v>24</v>
      </c>
      <c r="C3850" s="1">
        <v>0.0</v>
      </c>
      <c r="D3850" s="1" t="s">
        <v>26</v>
      </c>
      <c r="E3850" s="1" t="s">
        <v>26</v>
      </c>
      <c r="F3850" s="1">
        <v>2.0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1">
        <v>49.2</v>
      </c>
      <c r="T3850" s="1">
        <v>103.7</v>
      </c>
      <c r="U3850" s="1">
        <v>0.0</v>
      </c>
      <c r="V3850" s="1">
        <v>0.0</v>
      </c>
      <c r="W3850" s="1" t="s">
        <v>26</v>
      </c>
    </row>
    <row r="3851" ht="15.75" customHeight="1">
      <c r="A3851" s="1" t="s">
        <v>3888</v>
      </c>
      <c r="B3851" s="1" t="s">
        <v>24</v>
      </c>
      <c r="C3851" s="1">
        <v>0.0</v>
      </c>
      <c r="D3851" s="1" t="s">
        <v>25</v>
      </c>
      <c r="E3851" s="1" t="s">
        <v>26</v>
      </c>
      <c r="F3851" s="1">
        <v>58.0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1">
        <v>109.45</v>
      </c>
      <c r="T3851" s="1">
        <v>6144.55</v>
      </c>
      <c r="U3851" s="1">
        <v>1.0</v>
      </c>
      <c r="V3851" s="1">
        <v>3.0</v>
      </c>
      <c r="W3851" s="1" t="s">
        <v>25</v>
      </c>
    </row>
    <row r="3852" ht="15.75" customHeight="1">
      <c r="A3852" s="1" t="s">
        <v>3889</v>
      </c>
      <c r="B3852" s="1" t="s">
        <v>32</v>
      </c>
      <c r="C3852" s="1">
        <v>0.0</v>
      </c>
      <c r="D3852" s="1" t="s">
        <v>25</v>
      </c>
      <c r="E3852" s="1" t="s">
        <v>26</v>
      </c>
      <c r="F3852" s="1">
        <v>51.0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1">
        <v>83.25</v>
      </c>
      <c r="T3852" s="1">
        <v>4089.45</v>
      </c>
      <c r="U3852" s="1">
        <v>3.0</v>
      </c>
      <c r="V3852" s="1">
        <v>0.0</v>
      </c>
      <c r="W3852" s="1" t="s">
        <v>26</v>
      </c>
    </row>
    <row r="3853" ht="15.75" customHeight="1">
      <c r="A3853" s="1" t="s">
        <v>3890</v>
      </c>
      <c r="B3853" s="1" t="s">
        <v>24</v>
      </c>
      <c r="C3853" s="1">
        <v>0.0</v>
      </c>
      <c r="D3853" s="1" t="s">
        <v>25</v>
      </c>
      <c r="E3853" s="1" t="s">
        <v>25</v>
      </c>
      <c r="F3853" s="1">
        <v>46.0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1">
        <v>19.25</v>
      </c>
      <c r="T3853" s="1">
        <v>864.2</v>
      </c>
      <c r="U3853" s="1">
        <v>0.0</v>
      </c>
      <c r="V3853" s="1">
        <v>0.0</v>
      </c>
      <c r="W3853" s="1" t="s">
        <v>26</v>
      </c>
    </row>
    <row r="3854" ht="15.75" customHeight="1">
      <c r="A3854" s="1" t="s">
        <v>3891</v>
      </c>
      <c r="B3854" s="1" t="s">
        <v>32</v>
      </c>
      <c r="C3854" s="1">
        <v>0.0</v>
      </c>
      <c r="D3854" s="1" t="s">
        <v>26</v>
      </c>
      <c r="E3854" s="1" t="s">
        <v>26</v>
      </c>
      <c r="F3854" s="1">
        <v>1.0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1">
        <v>19.65</v>
      </c>
      <c r="T3854" s="1">
        <v>19.65</v>
      </c>
      <c r="U3854" s="1">
        <v>4.0</v>
      </c>
      <c r="V3854" s="1">
        <v>0.0</v>
      </c>
      <c r="W3854" s="1" t="s">
        <v>26</v>
      </c>
    </row>
    <row r="3855" ht="15.75" customHeight="1">
      <c r="A3855" s="1" t="s">
        <v>3892</v>
      </c>
      <c r="B3855" s="1" t="s">
        <v>32</v>
      </c>
      <c r="C3855" s="1">
        <v>0.0</v>
      </c>
      <c r="D3855" s="1" t="s">
        <v>26</v>
      </c>
      <c r="E3855" s="1" t="s">
        <v>26</v>
      </c>
      <c r="F3855" s="1">
        <v>46.0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1">
        <v>72.8</v>
      </c>
      <c r="T3855" s="1">
        <v>3249.4</v>
      </c>
      <c r="U3855" s="1">
        <v>0.0</v>
      </c>
      <c r="V3855" s="1">
        <v>0.0</v>
      </c>
      <c r="W3855" s="1" t="s">
        <v>26</v>
      </c>
    </row>
    <row r="3856" ht="15.75" customHeight="1">
      <c r="A3856" s="1" t="s">
        <v>3893</v>
      </c>
      <c r="B3856" s="1" t="s">
        <v>24</v>
      </c>
      <c r="C3856" s="1">
        <v>0.0</v>
      </c>
      <c r="D3856" s="1" t="s">
        <v>25</v>
      </c>
      <c r="E3856" s="1" t="s">
        <v>26</v>
      </c>
      <c r="F3856" s="1">
        <v>50.0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1">
        <v>109.65</v>
      </c>
      <c r="T3856" s="1">
        <v>5405.8</v>
      </c>
      <c r="U3856" s="1">
        <v>0.0</v>
      </c>
      <c r="V3856" s="1">
        <v>0.0</v>
      </c>
      <c r="W3856" s="1" t="s">
        <v>26</v>
      </c>
    </row>
    <row r="3857" ht="15.75" customHeight="1">
      <c r="A3857" s="1" t="s">
        <v>3894</v>
      </c>
      <c r="B3857" s="1" t="s">
        <v>32</v>
      </c>
      <c r="C3857" s="1">
        <v>0.0</v>
      </c>
      <c r="D3857" s="1" t="s">
        <v>25</v>
      </c>
      <c r="E3857" s="1" t="s">
        <v>25</v>
      </c>
      <c r="F3857" s="1">
        <v>53.0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1">
        <v>65.0</v>
      </c>
      <c r="T3857" s="1">
        <v>3363.8</v>
      </c>
      <c r="U3857" s="1">
        <v>0.0</v>
      </c>
      <c r="V3857" s="1">
        <v>0.0</v>
      </c>
      <c r="W3857" s="1" t="s">
        <v>26</v>
      </c>
    </row>
    <row r="3858" ht="15.75" customHeight="1">
      <c r="A3858" s="1" t="s">
        <v>3895</v>
      </c>
      <c r="B3858" s="1" t="s">
        <v>32</v>
      </c>
      <c r="C3858" s="1">
        <v>0.0</v>
      </c>
      <c r="D3858" s="1" t="s">
        <v>25</v>
      </c>
      <c r="E3858" s="1" t="s">
        <v>26</v>
      </c>
      <c r="F3858" s="1">
        <v>61.0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1">
        <v>114.1</v>
      </c>
      <c r="T3858" s="1">
        <v>7132.15</v>
      </c>
      <c r="U3858" s="1">
        <v>0.0</v>
      </c>
      <c r="V3858" s="1">
        <v>0.0</v>
      </c>
      <c r="W3858" s="1" t="s">
        <v>26</v>
      </c>
    </row>
    <row r="3859" ht="15.75" customHeight="1">
      <c r="A3859" s="1" t="s">
        <v>3896</v>
      </c>
      <c r="B3859" s="1" t="s">
        <v>32</v>
      </c>
      <c r="C3859" s="1">
        <v>0.0</v>
      </c>
      <c r="D3859" s="1" t="s">
        <v>26</v>
      </c>
      <c r="E3859" s="1" t="s">
        <v>26</v>
      </c>
      <c r="F3859" s="1">
        <v>5.0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1">
        <v>20.65</v>
      </c>
      <c r="T3859" s="1">
        <v>93.55</v>
      </c>
      <c r="U3859" s="1">
        <v>0.0</v>
      </c>
      <c r="V3859" s="1">
        <v>0.0</v>
      </c>
      <c r="W3859" s="1" t="s">
        <v>26</v>
      </c>
    </row>
    <row r="3860" ht="15.75" customHeight="1">
      <c r="A3860" s="1" t="s">
        <v>3897</v>
      </c>
      <c r="B3860" s="1" t="s">
        <v>32</v>
      </c>
      <c r="C3860" s="1">
        <v>0.0</v>
      </c>
      <c r="D3860" s="1" t="s">
        <v>26</v>
      </c>
      <c r="E3860" s="1" t="s">
        <v>26</v>
      </c>
      <c r="F3860" s="1">
        <v>47.0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1">
        <v>86.95</v>
      </c>
      <c r="T3860" s="1">
        <v>4138.9</v>
      </c>
      <c r="U3860" s="1">
        <v>0.0</v>
      </c>
      <c r="V3860" s="1">
        <v>0.0</v>
      </c>
      <c r="W3860" s="1" t="s">
        <v>26</v>
      </c>
    </row>
    <row r="3861" ht="15.75" customHeight="1">
      <c r="A3861" s="1" t="s">
        <v>3898</v>
      </c>
      <c r="B3861" s="1" t="s">
        <v>24</v>
      </c>
      <c r="C3861" s="1">
        <v>0.0</v>
      </c>
      <c r="D3861" s="1" t="s">
        <v>26</v>
      </c>
      <c r="E3861" s="1" t="s">
        <v>26</v>
      </c>
      <c r="F3861" s="1">
        <v>54.0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1">
        <v>94.75</v>
      </c>
      <c r="T3861" s="1">
        <v>5121.75</v>
      </c>
      <c r="U3861" s="1">
        <v>0.0</v>
      </c>
      <c r="V3861" s="1">
        <v>0.0</v>
      </c>
      <c r="W3861" s="1" t="s">
        <v>26</v>
      </c>
    </row>
    <row r="3862" ht="15.75" customHeight="1">
      <c r="A3862" s="1" t="s">
        <v>3899</v>
      </c>
      <c r="B3862" s="1" t="s">
        <v>32</v>
      </c>
      <c r="C3862" s="1">
        <v>0.0</v>
      </c>
      <c r="D3862" s="1" t="s">
        <v>26</v>
      </c>
      <c r="E3862" s="1" t="s">
        <v>25</v>
      </c>
      <c r="F3862" s="1">
        <v>19.0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1">
        <v>25.35</v>
      </c>
      <c r="T3862" s="1">
        <v>566.1</v>
      </c>
      <c r="U3862" s="1">
        <v>0.0</v>
      </c>
      <c r="V3862" s="1">
        <v>0.0</v>
      </c>
      <c r="W3862" s="1" t="s">
        <v>26</v>
      </c>
    </row>
    <row r="3863" ht="15.75" customHeight="1">
      <c r="A3863" s="1" t="s">
        <v>3900</v>
      </c>
      <c r="B3863" s="1" t="s">
        <v>24</v>
      </c>
      <c r="C3863" s="1">
        <v>0.0</v>
      </c>
      <c r="D3863" s="1" t="s">
        <v>26</v>
      </c>
      <c r="E3863" s="1" t="s">
        <v>25</v>
      </c>
      <c r="F3863" s="1">
        <v>26.0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1">
        <v>105.45</v>
      </c>
      <c r="T3863" s="1">
        <v>2715.3</v>
      </c>
      <c r="U3863" s="1">
        <v>0.0</v>
      </c>
      <c r="V3863" s="1">
        <v>0.0</v>
      </c>
      <c r="W3863" s="1" t="s">
        <v>26</v>
      </c>
    </row>
    <row r="3864" ht="15.75" customHeight="1">
      <c r="A3864" s="1" t="s">
        <v>3901</v>
      </c>
      <c r="B3864" s="1" t="s">
        <v>32</v>
      </c>
      <c r="C3864" s="1">
        <v>0.0</v>
      </c>
      <c r="D3864" s="1" t="s">
        <v>25</v>
      </c>
      <c r="E3864" s="1" t="s">
        <v>25</v>
      </c>
      <c r="F3864" s="1">
        <v>70.0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1">
        <v>25.4</v>
      </c>
      <c r="T3864" s="1">
        <v>1782.05</v>
      </c>
      <c r="U3864" s="1">
        <v>0.0</v>
      </c>
      <c r="V3864" s="1">
        <v>0.0</v>
      </c>
      <c r="W3864" s="1" t="s">
        <v>26</v>
      </c>
    </row>
    <row r="3865" ht="15.75" customHeight="1">
      <c r="A3865" s="1" t="s">
        <v>3902</v>
      </c>
      <c r="B3865" s="1" t="s">
        <v>32</v>
      </c>
      <c r="C3865" s="1">
        <v>0.0</v>
      </c>
      <c r="D3865" s="1" t="s">
        <v>25</v>
      </c>
      <c r="E3865" s="1" t="s">
        <v>26</v>
      </c>
      <c r="F3865" s="1">
        <v>17.0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1">
        <v>102.55</v>
      </c>
      <c r="T3865" s="1">
        <v>1742.5</v>
      </c>
      <c r="U3865" s="1">
        <v>0.0</v>
      </c>
      <c r="V3865" s="1">
        <v>1.0</v>
      </c>
      <c r="W3865" s="1" t="s">
        <v>26</v>
      </c>
    </row>
    <row r="3866" ht="15.75" customHeight="1">
      <c r="A3866" s="1" t="s">
        <v>3903</v>
      </c>
      <c r="B3866" s="1" t="s">
        <v>24</v>
      </c>
      <c r="C3866" s="1">
        <v>0.0</v>
      </c>
      <c r="D3866" s="1" t="s">
        <v>26</v>
      </c>
      <c r="E3866" s="1" t="s">
        <v>26</v>
      </c>
      <c r="F3866" s="1">
        <v>30.0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1">
        <v>100.2</v>
      </c>
      <c r="T3866" s="1">
        <v>2983.8</v>
      </c>
      <c r="U3866" s="1">
        <v>0.0</v>
      </c>
      <c r="V3866" s="1">
        <v>3.0</v>
      </c>
      <c r="W3866" s="1" t="s">
        <v>25</v>
      </c>
    </row>
    <row r="3867" ht="15.75" customHeight="1">
      <c r="A3867" s="1" t="s">
        <v>3904</v>
      </c>
      <c r="B3867" s="1" t="s">
        <v>24</v>
      </c>
      <c r="C3867" s="1">
        <v>0.0</v>
      </c>
      <c r="D3867" s="1" t="s">
        <v>26</v>
      </c>
      <c r="E3867" s="1" t="s">
        <v>25</v>
      </c>
      <c r="F3867" s="1">
        <v>1.0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1">
        <v>24.0</v>
      </c>
      <c r="T3867" s="1">
        <v>24.0</v>
      </c>
      <c r="U3867" s="1">
        <v>2.0</v>
      </c>
      <c r="V3867" s="1">
        <v>0.0</v>
      </c>
      <c r="W3867" s="1" t="s">
        <v>26</v>
      </c>
    </row>
    <row r="3868" ht="15.75" customHeight="1">
      <c r="A3868" s="1" t="s">
        <v>3905</v>
      </c>
      <c r="B3868" s="1" t="s">
        <v>24</v>
      </c>
      <c r="C3868" s="1">
        <v>0.0</v>
      </c>
      <c r="D3868" s="1" t="s">
        <v>25</v>
      </c>
      <c r="E3868" s="1" t="s">
        <v>25</v>
      </c>
      <c r="F3868" s="1">
        <v>19.0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1">
        <v>25.6</v>
      </c>
      <c r="T3868" s="1">
        <v>485.9</v>
      </c>
      <c r="U3868" s="1">
        <v>0.0</v>
      </c>
      <c r="V3868" s="1">
        <v>0.0</v>
      </c>
      <c r="W3868" s="1" t="s">
        <v>26</v>
      </c>
    </row>
    <row r="3869" ht="15.75" customHeight="1">
      <c r="A3869" s="1" t="s">
        <v>3906</v>
      </c>
      <c r="B3869" s="1" t="s">
        <v>24</v>
      </c>
      <c r="C3869" s="1">
        <v>0.0</v>
      </c>
      <c r="D3869" s="1" t="s">
        <v>25</v>
      </c>
      <c r="E3869" s="1" t="s">
        <v>26</v>
      </c>
      <c r="F3869" s="1">
        <v>26.0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1">
        <v>73.5</v>
      </c>
      <c r="T3869" s="1">
        <v>1905.7</v>
      </c>
      <c r="U3869" s="1">
        <v>0.0</v>
      </c>
      <c r="V3869" s="1">
        <v>0.0</v>
      </c>
      <c r="W3869" s="1" t="s">
        <v>26</v>
      </c>
    </row>
    <row r="3870" ht="15.75" customHeight="1">
      <c r="A3870" s="1" t="s">
        <v>3907</v>
      </c>
      <c r="B3870" s="1" t="s">
        <v>24</v>
      </c>
      <c r="C3870" s="1">
        <v>0.0</v>
      </c>
      <c r="D3870" s="1" t="s">
        <v>25</v>
      </c>
      <c r="E3870" s="1" t="s">
        <v>25</v>
      </c>
      <c r="F3870" s="1">
        <v>21.0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1">
        <v>74.05</v>
      </c>
      <c r="T3870" s="1">
        <v>1565.7</v>
      </c>
      <c r="U3870" s="1">
        <v>0.0</v>
      </c>
      <c r="V3870" s="1">
        <v>0.0</v>
      </c>
      <c r="W3870" s="1" t="s">
        <v>25</v>
      </c>
    </row>
    <row r="3871" ht="15.75" customHeight="1">
      <c r="A3871" s="1" t="s">
        <v>3908</v>
      </c>
      <c r="B3871" s="1" t="s">
        <v>32</v>
      </c>
      <c r="C3871" s="1">
        <v>0.0</v>
      </c>
      <c r="D3871" s="1" t="s">
        <v>25</v>
      </c>
      <c r="E3871" s="1" t="s">
        <v>26</v>
      </c>
      <c r="F3871" s="1">
        <v>50.0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1">
        <v>98.25</v>
      </c>
      <c r="T3871" s="1">
        <v>4858.7</v>
      </c>
      <c r="U3871" s="1">
        <v>0.0</v>
      </c>
      <c r="V3871" s="1">
        <v>0.0</v>
      </c>
      <c r="W3871" s="1" t="s">
        <v>26</v>
      </c>
    </row>
    <row r="3872" ht="15.75" customHeight="1">
      <c r="A3872" s="1" t="s">
        <v>3909</v>
      </c>
      <c r="B3872" s="1" t="s">
        <v>24</v>
      </c>
      <c r="C3872" s="1">
        <v>0.0</v>
      </c>
      <c r="D3872" s="1" t="s">
        <v>25</v>
      </c>
      <c r="E3872" s="1" t="s">
        <v>26</v>
      </c>
      <c r="F3872" s="1">
        <v>68.0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1">
        <v>54.4</v>
      </c>
      <c r="T3872" s="1">
        <v>3723.65</v>
      </c>
      <c r="U3872" s="1">
        <v>0.0</v>
      </c>
      <c r="V3872" s="1">
        <v>0.0</v>
      </c>
      <c r="W3872" s="1" t="s">
        <v>26</v>
      </c>
    </row>
    <row r="3873" ht="15.75" customHeight="1">
      <c r="A3873" s="1" t="s">
        <v>3910</v>
      </c>
      <c r="B3873" s="1" t="s">
        <v>32</v>
      </c>
      <c r="C3873" s="1">
        <v>0.0</v>
      </c>
      <c r="D3873" s="1" t="s">
        <v>26</v>
      </c>
      <c r="E3873" s="1" t="s">
        <v>26</v>
      </c>
      <c r="F3873" s="1">
        <v>3.0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1">
        <v>101.55</v>
      </c>
      <c r="T3873" s="1">
        <v>298.35</v>
      </c>
      <c r="U3873" s="1">
        <v>0.0</v>
      </c>
      <c r="V3873" s="1">
        <v>0.0</v>
      </c>
      <c r="W3873" s="1" t="s">
        <v>25</v>
      </c>
    </row>
    <row r="3874" ht="15.75" customHeight="1">
      <c r="A3874" s="1" t="s">
        <v>3911</v>
      </c>
      <c r="B3874" s="1" t="s">
        <v>32</v>
      </c>
      <c r="C3874" s="1">
        <v>0.0</v>
      </c>
      <c r="D3874" s="1" t="s">
        <v>25</v>
      </c>
      <c r="E3874" s="1" t="s">
        <v>25</v>
      </c>
      <c r="F3874" s="1">
        <v>9.0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1">
        <v>103.1</v>
      </c>
      <c r="T3874" s="1">
        <v>970.45</v>
      </c>
      <c r="U3874" s="1">
        <v>0.0</v>
      </c>
      <c r="V3874" s="1">
        <v>0.0</v>
      </c>
      <c r="W3874" s="1" t="s">
        <v>26</v>
      </c>
    </row>
    <row r="3875" ht="15.75" customHeight="1">
      <c r="A3875" s="1" t="s">
        <v>3912</v>
      </c>
      <c r="B3875" s="1" t="s">
        <v>24</v>
      </c>
      <c r="C3875" s="1">
        <v>0.0</v>
      </c>
      <c r="D3875" s="1" t="s">
        <v>25</v>
      </c>
      <c r="E3875" s="1" t="s">
        <v>25</v>
      </c>
      <c r="F3875" s="1">
        <v>51.0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1">
        <v>34.2</v>
      </c>
      <c r="T3875" s="1">
        <v>1782.0</v>
      </c>
      <c r="U3875" s="1">
        <v>0.0</v>
      </c>
      <c r="V3875" s="1">
        <v>0.0</v>
      </c>
      <c r="W3875" s="1" t="s">
        <v>26</v>
      </c>
    </row>
    <row r="3876" ht="15.75" customHeight="1">
      <c r="A3876" s="1" t="s">
        <v>3913</v>
      </c>
      <c r="B3876" s="1" t="s">
        <v>24</v>
      </c>
      <c r="C3876" s="1">
        <v>0.0</v>
      </c>
      <c r="D3876" s="1" t="s">
        <v>26</v>
      </c>
      <c r="E3876" s="1" t="s">
        <v>26</v>
      </c>
      <c r="F3876" s="1">
        <v>9.0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1">
        <v>43.75</v>
      </c>
      <c r="T3876" s="1">
        <v>405.7</v>
      </c>
      <c r="U3876" s="1">
        <v>0.0</v>
      </c>
      <c r="V3876" s="1">
        <v>0.0</v>
      </c>
      <c r="W3876" s="1" t="s">
        <v>26</v>
      </c>
    </row>
    <row r="3877" ht="15.75" customHeight="1">
      <c r="A3877" s="1" t="s">
        <v>3914</v>
      </c>
      <c r="B3877" s="1" t="s">
        <v>32</v>
      </c>
      <c r="C3877" s="1">
        <v>1.0</v>
      </c>
      <c r="D3877" s="1" t="s">
        <v>25</v>
      </c>
      <c r="E3877" s="1" t="s">
        <v>25</v>
      </c>
      <c r="F3877" s="1">
        <v>41.0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1">
        <v>111.95</v>
      </c>
      <c r="T3877" s="1">
        <v>4534.9</v>
      </c>
      <c r="U3877" s="1">
        <v>2.0</v>
      </c>
      <c r="V3877" s="1">
        <v>5.0</v>
      </c>
      <c r="W3877" s="1" t="s">
        <v>25</v>
      </c>
    </row>
    <row r="3878" ht="15.75" customHeight="1">
      <c r="A3878" s="1" t="s">
        <v>3915</v>
      </c>
      <c r="B3878" s="1" t="s">
        <v>32</v>
      </c>
      <c r="C3878" s="1">
        <v>0.0</v>
      </c>
      <c r="D3878" s="1" t="s">
        <v>26</v>
      </c>
      <c r="E3878" s="1" t="s">
        <v>26</v>
      </c>
      <c r="F3878" s="1">
        <v>22.0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1">
        <v>100.65</v>
      </c>
      <c r="T3878" s="1">
        <v>2415.95</v>
      </c>
      <c r="U3878" s="1">
        <v>0.0</v>
      </c>
      <c r="V3878" s="1">
        <v>0.0</v>
      </c>
      <c r="W3878" s="1" t="s">
        <v>26</v>
      </c>
    </row>
    <row r="3879" ht="15.75" customHeight="1">
      <c r="A3879" s="1" t="s">
        <v>3916</v>
      </c>
      <c r="B3879" s="1" t="s">
        <v>24</v>
      </c>
      <c r="C3879" s="1">
        <v>0.0</v>
      </c>
      <c r="D3879" s="1" t="s">
        <v>25</v>
      </c>
      <c r="E3879" s="1" t="s">
        <v>25</v>
      </c>
      <c r="F3879" s="1">
        <v>21.0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1">
        <v>55.95</v>
      </c>
      <c r="T3879" s="1">
        <v>1157.05</v>
      </c>
      <c r="U3879" s="1">
        <v>5.0</v>
      </c>
      <c r="V3879" s="1">
        <v>2.0</v>
      </c>
      <c r="W3879" s="1" t="s">
        <v>25</v>
      </c>
    </row>
    <row r="3880" ht="15.75" customHeight="1">
      <c r="A3880" s="1" t="s">
        <v>3917</v>
      </c>
      <c r="B3880" s="1" t="s">
        <v>32</v>
      </c>
      <c r="C3880" s="1">
        <v>0.0</v>
      </c>
      <c r="D3880" s="1" t="s">
        <v>25</v>
      </c>
      <c r="E3880" s="1" t="s">
        <v>25</v>
      </c>
      <c r="F3880" s="1">
        <v>71.0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1">
        <v>116.05</v>
      </c>
      <c r="T3880" s="1">
        <v>8297.5</v>
      </c>
      <c r="U3880" s="1">
        <v>0.0</v>
      </c>
      <c r="V3880" s="1">
        <v>0.0</v>
      </c>
      <c r="W3880" s="1" t="s">
        <v>26</v>
      </c>
    </row>
    <row r="3881" ht="15.75" customHeight="1">
      <c r="A3881" s="1" t="s">
        <v>3918</v>
      </c>
      <c r="B3881" s="1" t="s">
        <v>32</v>
      </c>
      <c r="C3881" s="1">
        <v>0.0</v>
      </c>
      <c r="D3881" s="1" t="s">
        <v>26</v>
      </c>
      <c r="E3881" s="1" t="s">
        <v>26</v>
      </c>
      <c r="F3881" s="1">
        <v>1.0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1">
        <v>45.75</v>
      </c>
      <c r="T3881" s="1">
        <v>45.75</v>
      </c>
      <c r="U3881" s="1">
        <v>0.0</v>
      </c>
      <c r="V3881" s="1">
        <v>0.0</v>
      </c>
      <c r="W3881" s="1" t="s">
        <v>25</v>
      </c>
    </row>
    <row r="3882" ht="15.75" customHeight="1">
      <c r="A3882" s="1" t="s">
        <v>3919</v>
      </c>
      <c r="B3882" s="1" t="s">
        <v>32</v>
      </c>
      <c r="C3882" s="1">
        <v>0.0</v>
      </c>
      <c r="D3882" s="1" t="s">
        <v>25</v>
      </c>
      <c r="E3882" s="1" t="s">
        <v>25</v>
      </c>
      <c r="F3882" s="1">
        <v>26.0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1">
        <v>82.0</v>
      </c>
      <c r="T3882" s="1">
        <v>2083.1</v>
      </c>
      <c r="U3882" s="1">
        <v>0.0</v>
      </c>
      <c r="V3882" s="1">
        <v>0.0</v>
      </c>
      <c r="W3882" s="1" t="s">
        <v>26</v>
      </c>
    </row>
    <row r="3883" ht="15.75" customHeight="1">
      <c r="A3883" s="1" t="s">
        <v>3920</v>
      </c>
      <c r="B3883" s="1" t="s">
        <v>32</v>
      </c>
      <c r="C3883" s="1">
        <v>0.0</v>
      </c>
      <c r="D3883" s="1" t="s">
        <v>25</v>
      </c>
      <c r="E3883" s="1" t="s">
        <v>26</v>
      </c>
      <c r="F3883" s="1">
        <v>71.0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1">
        <v>65.15</v>
      </c>
      <c r="T3883" s="1">
        <v>4681.75</v>
      </c>
      <c r="U3883" s="1">
        <v>5.0</v>
      </c>
      <c r="V3883" s="1">
        <v>0.0</v>
      </c>
      <c r="W3883" s="1" t="s">
        <v>26</v>
      </c>
    </row>
    <row r="3884" ht="15.75" customHeight="1">
      <c r="A3884" s="1" t="s">
        <v>3921</v>
      </c>
      <c r="B3884" s="1" t="s">
        <v>32</v>
      </c>
      <c r="C3884" s="1">
        <v>0.0</v>
      </c>
      <c r="D3884" s="1" t="s">
        <v>26</v>
      </c>
      <c r="E3884" s="1" t="s">
        <v>26</v>
      </c>
      <c r="F3884" s="1">
        <v>4.0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1">
        <v>44.8</v>
      </c>
      <c r="T3884" s="1">
        <v>176.2</v>
      </c>
      <c r="U3884" s="1">
        <v>0.0</v>
      </c>
      <c r="V3884" s="1">
        <v>0.0</v>
      </c>
      <c r="W3884" s="1" t="s">
        <v>26</v>
      </c>
    </row>
    <row r="3885" ht="15.75" customHeight="1">
      <c r="A3885" s="1" t="s">
        <v>3922</v>
      </c>
      <c r="B3885" s="1" t="s">
        <v>24</v>
      </c>
      <c r="C3885" s="1">
        <v>0.0</v>
      </c>
      <c r="D3885" s="1" t="s">
        <v>26</v>
      </c>
      <c r="E3885" s="1" t="s">
        <v>26</v>
      </c>
      <c r="F3885" s="1">
        <v>12.0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1">
        <v>79.8</v>
      </c>
      <c r="T3885" s="1">
        <v>1001.2</v>
      </c>
      <c r="U3885" s="1">
        <v>0.0</v>
      </c>
      <c r="V3885" s="1">
        <v>0.0</v>
      </c>
      <c r="W3885" s="1" t="s">
        <v>26</v>
      </c>
    </row>
    <row r="3886" ht="15.75" customHeight="1">
      <c r="A3886" s="1" t="s">
        <v>3923</v>
      </c>
      <c r="B3886" s="1" t="s">
        <v>24</v>
      </c>
      <c r="C3886" s="1">
        <v>0.0</v>
      </c>
      <c r="D3886" s="1" t="s">
        <v>25</v>
      </c>
      <c r="E3886" s="1" t="s">
        <v>26</v>
      </c>
      <c r="F3886" s="1">
        <v>18.0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1">
        <v>88.85</v>
      </c>
      <c r="T3886" s="1">
        <v>1594.75</v>
      </c>
      <c r="U3886" s="1">
        <v>0.0</v>
      </c>
      <c r="V3886" s="1">
        <v>0.0</v>
      </c>
      <c r="W3886" s="1" t="s">
        <v>26</v>
      </c>
    </row>
    <row r="3887" ht="15.75" customHeight="1">
      <c r="A3887" s="1" t="s">
        <v>3924</v>
      </c>
      <c r="B3887" s="1" t="s">
        <v>24</v>
      </c>
      <c r="C3887" s="1">
        <v>0.0</v>
      </c>
      <c r="D3887" s="1" t="s">
        <v>26</v>
      </c>
      <c r="E3887" s="1" t="s">
        <v>26</v>
      </c>
      <c r="F3887" s="1">
        <v>3.0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1">
        <v>74.95</v>
      </c>
      <c r="T3887" s="1">
        <v>212.4</v>
      </c>
      <c r="U3887" s="1">
        <v>0.0</v>
      </c>
      <c r="V3887" s="1">
        <v>0.0</v>
      </c>
      <c r="W3887" s="1" t="s">
        <v>26</v>
      </c>
    </row>
    <row r="3888" ht="15.75" customHeight="1">
      <c r="A3888" s="1" t="s">
        <v>3925</v>
      </c>
      <c r="B3888" s="1" t="s">
        <v>24</v>
      </c>
      <c r="C3888" s="1">
        <v>1.0</v>
      </c>
      <c r="D3888" s="1" t="s">
        <v>25</v>
      </c>
      <c r="E3888" s="1" t="s">
        <v>26</v>
      </c>
      <c r="F3888" s="1">
        <v>72.0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1">
        <v>106.85</v>
      </c>
      <c r="T3888" s="1">
        <v>7677.4</v>
      </c>
      <c r="U3888" s="1">
        <v>0.0</v>
      </c>
      <c r="V3888" s="1">
        <v>0.0</v>
      </c>
      <c r="W3888" s="1" t="s">
        <v>26</v>
      </c>
    </row>
    <row r="3889" ht="15.75" customHeight="1">
      <c r="A3889" s="1" t="s">
        <v>3926</v>
      </c>
      <c r="B3889" s="1" t="s">
        <v>32</v>
      </c>
      <c r="C3889" s="1">
        <v>0.0</v>
      </c>
      <c r="D3889" s="1" t="s">
        <v>26</v>
      </c>
      <c r="E3889" s="1" t="s">
        <v>26</v>
      </c>
      <c r="F3889" s="1">
        <v>11.0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1">
        <v>74.95</v>
      </c>
      <c r="T3889" s="1">
        <v>815.5</v>
      </c>
      <c r="U3889" s="1">
        <v>0.0</v>
      </c>
      <c r="V3889" s="1">
        <v>0.0</v>
      </c>
      <c r="W3889" s="1" t="s">
        <v>25</v>
      </c>
    </row>
    <row r="3890" ht="15.75" customHeight="1">
      <c r="A3890" s="1" t="s">
        <v>3927</v>
      </c>
      <c r="B3890" s="1" t="s">
        <v>24</v>
      </c>
      <c r="C3890" s="1">
        <v>0.0</v>
      </c>
      <c r="D3890" s="1" t="s">
        <v>26</v>
      </c>
      <c r="E3890" s="1" t="s">
        <v>26</v>
      </c>
      <c r="F3890" s="1">
        <v>1.0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1">
        <v>80.15</v>
      </c>
      <c r="T3890" s="1">
        <v>80.15</v>
      </c>
      <c r="U3890" s="1">
        <v>0.0</v>
      </c>
      <c r="V3890" s="1">
        <v>0.0</v>
      </c>
      <c r="W3890" s="1" t="s">
        <v>25</v>
      </c>
    </row>
    <row r="3891" ht="15.75" customHeight="1">
      <c r="A3891" s="1" t="s">
        <v>3928</v>
      </c>
      <c r="B3891" s="1" t="s">
        <v>32</v>
      </c>
      <c r="C3891" s="1">
        <v>0.0</v>
      </c>
      <c r="D3891" s="1" t="s">
        <v>26</v>
      </c>
      <c r="E3891" s="1" t="s">
        <v>26</v>
      </c>
      <c r="F3891" s="1">
        <v>13.0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1">
        <v>19.3</v>
      </c>
      <c r="T3891" s="1">
        <v>259.65</v>
      </c>
      <c r="U3891" s="1">
        <v>0.0</v>
      </c>
      <c r="V3891" s="1">
        <v>0.0</v>
      </c>
      <c r="W3891" s="1" t="s">
        <v>26</v>
      </c>
    </row>
    <row r="3892" ht="15.75" customHeight="1">
      <c r="A3892" s="1" t="s">
        <v>3929</v>
      </c>
      <c r="B3892" s="1" t="s">
        <v>24</v>
      </c>
      <c r="C3892" s="1">
        <v>0.0</v>
      </c>
      <c r="D3892" s="1" t="s">
        <v>25</v>
      </c>
      <c r="E3892" s="1" t="s">
        <v>26</v>
      </c>
      <c r="F3892" s="1">
        <v>72.0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1">
        <v>109.25</v>
      </c>
      <c r="T3892" s="1">
        <v>8109.8</v>
      </c>
      <c r="U3892" s="1">
        <v>0.0</v>
      </c>
      <c r="V3892" s="1">
        <v>6.0</v>
      </c>
      <c r="W3892" s="1" t="s">
        <v>25</v>
      </c>
    </row>
    <row r="3893" ht="15.75" customHeight="1">
      <c r="A3893" s="1" t="s">
        <v>3930</v>
      </c>
      <c r="B3893" s="1" t="s">
        <v>32</v>
      </c>
      <c r="C3893" s="1">
        <v>0.0</v>
      </c>
      <c r="D3893" s="1" t="s">
        <v>25</v>
      </c>
      <c r="E3893" s="1" t="s">
        <v>26</v>
      </c>
      <c r="F3893" s="1">
        <v>42.0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1">
        <v>56.1</v>
      </c>
      <c r="T3893" s="1">
        <v>2386.85</v>
      </c>
      <c r="U3893" s="1">
        <v>0.0</v>
      </c>
      <c r="V3893" s="1">
        <v>0.0</v>
      </c>
      <c r="W3893" s="1" t="s">
        <v>26</v>
      </c>
    </row>
    <row r="3894" ht="15.75" customHeight="1">
      <c r="A3894" s="1" t="s">
        <v>3931</v>
      </c>
      <c r="B3894" s="1" t="s">
        <v>24</v>
      </c>
      <c r="C3894" s="1">
        <v>0.0</v>
      </c>
      <c r="D3894" s="1" t="s">
        <v>26</v>
      </c>
      <c r="E3894" s="1" t="s">
        <v>26</v>
      </c>
      <c r="F3894" s="1">
        <v>17.0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1">
        <v>19.7</v>
      </c>
      <c r="T3894" s="1">
        <v>340.35</v>
      </c>
      <c r="U3894" s="1">
        <v>5.0</v>
      </c>
      <c r="V3894" s="1">
        <v>0.0</v>
      </c>
      <c r="W3894" s="1" t="s">
        <v>26</v>
      </c>
    </row>
    <row r="3895" ht="15.75" customHeight="1">
      <c r="A3895" s="1" t="s">
        <v>3932</v>
      </c>
      <c r="B3895" s="1" t="s">
        <v>24</v>
      </c>
      <c r="C3895" s="1">
        <v>1.0</v>
      </c>
      <c r="D3895" s="1" t="s">
        <v>26</v>
      </c>
      <c r="E3895" s="1" t="s">
        <v>26</v>
      </c>
      <c r="F3895" s="1">
        <v>7.0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1">
        <v>51.3</v>
      </c>
      <c r="T3895" s="1">
        <v>419.35</v>
      </c>
      <c r="U3895" s="1">
        <v>0.0</v>
      </c>
      <c r="V3895" s="1">
        <v>0.0</v>
      </c>
      <c r="W3895" s="1" t="s">
        <v>26</v>
      </c>
    </row>
    <row r="3896" ht="15.75" customHeight="1">
      <c r="A3896" s="1" t="s">
        <v>3933</v>
      </c>
      <c r="B3896" s="1" t="s">
        <v>24</v>
      </c>
      <c r="C3896" s="1">
        <v>0.0</v>
      </c>
      <c r="D3896" s="1" t="s">
        <v>25</v>
      </c>
      <c r="E3896" s="1" t="s">
        <v>26</v>
      </c>
      <c r="F3896" s="1">
        <v>68.0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1">
        <v>118.6</v>
      </c>
      <c r="T3896" s="1">
        <v>7990.05</v>
      </c>
      <c r="U3896" s="1">
        <v>0.0</v>
      </c>
      <c r="V3896" s="1">
        <v>0.0</v>
      </c>
      <c r="W3896" s="1" t="s">
        <v>26</v>
      </c>
    </row>
    <row r="3897" ht="15.75" customHeight="1">
      <c r="A3897" s="1" t="s">
        <v>3934</v>
      </c>
      <c r="B3897" s="1" t="s">
        <v>32</v>
      </c>
      <c r="C3897" s="1">
        <v>0.0</v>
      </c>
      <c r="D3897" s="1" t="s">
        <v>25</v>
      </c>
      <c r="E3897" s="1" t="s">
        <v>25</v>
      </c>
      <c r="F3897" s="1">
        <v>56.0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1">
        <v>24.15</v>
      </c>
      <c r="T3897" s="1">
        <v>1402.25</v>
      </c>
      <c r="U3897" s="1">
        <v>0.0</v>
      </c>
      <c r="V3897" s="1">
        <v>0.0</v>
      </c>
      <c r="W3897" s="1" t="s">
        <v>26</v>
      </c>
    </row>
    <row r="3898" ht="15.75" customHeight="1">
      <c r="A3898" s="1" t="s">
        <v>3935</v>
      </c>
      <c r="B3898" s="1" t="s">
        <v>24</v>
      </c>
      <c r="C3898" s="1">
        <v>0.0</v>
      </c>
      <c r="D3898" s="1" t="s">
        <v>25</v>
      </c>
      <c r="E3898" s="1" t="s">
        <v>25</v>
      </c>
      <c r="F3898" s="1">
        <v>38.0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1">
        <v>20.3</v>
      </c>
      <c r="T3898" s="1">
        <v>749.35</v>
      </c>
      <c r="U3898" s="1">
        <v>2.0</v>
      </c>
      <c r="V3898" s="1">
        <v>0.0</v>
      </c>
      <c r="W3898" s="1" t="s">
        <v>26</v>
      </c>
    </row>
    <row r="3899" ht="15.75" customHeight="1">
      <c r="A3899" s="1" t="s">
        <v>3936</v>
      </c>
      <c r="B3899" s="1" t="s">
        <v>24</v>
      </c>
      <c r="C3899" s="1">
        <v>0.0</v>
      </c>
      <c r="D3899" s="1" t="s">
        <v>25</v>
      </c>
      <c r="E3899" s="1" t="s">
        <v>25</v>
      </c>
      <c r="F3899" s="1">
        <v>72.0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1">
        <v>115.5</v>
      </c>
      <c r="T3899" s="1">
        <v>8425.15</v>
      </c>
      <c r="U3899" s="1">
        <v>0.0</v>
      </c>
      <c r="V3899" s="1">
        <v>0.0</v>
      </c>
      <c r="W3899" s="1" t="s">
        <v>26</v>
      </c>
    </row>
    <row r="3900" ht="15.75" customHeight="1">
      <c r="A3900" s="1" t="s">
        <v>3937</v>
      </c>
      <c r="B3900" s="1" t="s">
        <v>24</v>
      </c>
      <c r="C3900" s="1">
        <v>0.0</v>
      </c>
      <c r="D3900" s="1" t="s">
        <v>26</v>
      </c>
      <c r="E3900" s="1" t="s">
        <v>26</v>
      </c>
      <c r="F3900" s="1">
        <v>48.0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1">
        <v>25.05</v>
      </c>
      <c r="T3900" s="1">
        <v>1171.5</v>
      </c>
      <c r="U3900" s="1">
        <v>0.0</v>
      </c>
      <c r="V3900" s="1">
        <v>0.0</v>
      </c>
      <c r="W3900" s="1" t="s">
        <v>26</v>
      </c>
    </row>
    <row r="3901" ht="15.75" customHeight="1">
      <c r="A3901" s="1" t="s">
        <v>3938</v>
      </c>
      <c r="B3901" s="1" t="s">
        <v>24</v>
      </c>
      <c r="C3901" s="1">
        <v>1.0</v>
      </c>
      <c r="D3901" s="1" t="s">
        <v>25</v>
      </c>
      <c r="E3901" s="1" t="s">
        <v>26</v>
      </c>
      <c r="F3901" s="1">
        <v>52.0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1">
        <v>109.1</v>
      </c>
      <c r="T3901" s="1">
        <v>5647.95</v>
      </c>
      <c r="U3901" s="1">
        <v>3.0</v>
      </c>
      <c r="V3901" s="1">
        <v>0.0</v>
      </c>
      <c r="W3901" s="1" t="s">
        <v>26</v>
      </c>
    </row>
    <row r="3902" ht="15.75" customHeight="1">
      <c r="A3902" s="1" t="s">
        <v>3939</v>
      </c>
      <c r="B3902" s="1" t="s">
        <v>24</v>
      </c>
      <c r="C3902" s="1">
        <v>0.0</v>
      </c>
      <c r="D3902" s="1" t="s">
        <v>25</v>
      </c>
      <c r="E3902" s="1" t="s">
        <v>25</v>
      </c>
      <c r="F3902" s="1">
        <v>35.0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1">
        <v>19.65</v>
      </c>
      <c r="T3902" s="1">
        <v>708.8</v>
      </c>
      <c r="U3902" s="1">
        <v>0.0</v>
      </c>
      <c r="V3902" s="1">
        <v>0.0</v>
      </c>
      <c r="W3902" s="1" t="s">
        <v>26</v>
      </c>
    </row>
    <row r="3903" ht="15.75" customHeight="1">
      <c r="A3903" s="1" t="s">
        <v>3940</v>
      </c>
      <c r="B3903" s="1" t="s">
        <v>32</v>
      </c>
      <c r="C3903" s="1">
        <v>0.0</v>
      </c>
      <c r="D3903" s="1" t="s">
        <v>25</v>
      </c>
      <c r="E3903" s="1" t="s">
        <v>26</v>
      </c>
      <c r="F3903" s="1">
        <v>67.0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1">
        <v>111.3</v>
      </c>
      <c r="T3903" s="1">
        <v>7567.2</v>
      </c>
      <c r="U3903" s="1">
        <v>0.0</v>
      </c>
      <c r="V3903" s="1">
        <v>0.0</v>
      </c>
      <c r="W3903" s="1" t="s">
        <v>26</v>
      </c>
    </row>
    <row r="3904" ht="15.75" customHeight="1">
      <c r="A3904" s="1" t="s">
        <v>3941</v>
      </c>
      <c r="B3904" s="1" t="s">
        <v>24</v>
      </c>
      <c r="C3904" s="1">
        <v>0.0</v>
      </c>
      <c r="D3904" s="1" t="s">
        <v>26</v>
      </c>
      <c r="E3904" s="1" t="s">
        <v>26</v>
      </c>
      <c r="F3904" s="1">
        <v>1.0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1">
        <v>29.9</v>
      </c>
      <c r="T3904" s="1">
        <v>29.9</v>
      </c>
      <c r="U3904" s="1">
        <v>4.0</v>
      </c>
      <c r="V3904" s="1">
        <v>0.0</v>
      </c>
      <c r="W3904" s="1" t="s">
        <v>26</v>
      </c>
    </row>
    <row r="3905" ht="15.75" customHeight="1">
      <c r="A3905" s="1" t="s">
        <v>3942</v>
      </c>
      <c r="B3905" s="1" t="s">
        <v>32</v>
      </c>
      <c r="C3905" s="1">
        <v>0.0</v>
      </c>
      <c r="D3905" s="1" t="s">
        <v>26</v>
      </c>
      <c r="E3905" s="1" t="s">
        <v>26</v>
      </c>
      <c r="F3905" s="1">
        <v>53.0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1">
        <v>80.6</v>
      </c>
      <c r="T3905" s="1">
        <v>4348.1</v>
      </c>
      <c r="U3905" s="1">
        <v>0.0</v>
      </c>
      <c r="V3905" s="1">
        <v>0.0</v>
      </c>
      <c r="W3905" s="1" t="s">
        <v>26</v>
      </c>
    </row>
    <row r="3906" ht="15.75" customHeight="1">
      <c r="A3906" s="1" t="s">
        <v>3943</v>
      </c>
      <c r="B3906" s="1" t="s">
        <v>32</v>
      </c>
      <c r="C3906" s="1">
        <v>0.0</v>
      </c>
      <c r="D3906" s="1" t="s">
        <v>25</v>
      </c>
      <c r="E3906" s="1" t="s">
        <v>25</v>
      </c>
      <c r="F3906" s="1">
        <v>34.0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1">
        <v>20.8</v>
      </c>
      <c r="T3906" s="1">
        <v>635.9</v>
      </c>
      <c r="U3906" s="1">
        <v>0.0</v>
      </c>
      <c r="V3906" s="1">
        <v>0.0</v>
      </c>
      <c r="W3906" s="1" t="s">
        <v>26</v>
      </c>
    </row>
    <row r="3907" ht="15.75" customHeight="1">
      <c r="A3907" s="1" t="s">
        <v>3944</v>
      </c>
      <c r="B3907" s="1" t="s">
        <v>24</v>
      </c>
      <c r="C3907" s="1">
        <v>0.0</v>
      </c>
      <c r="D3907" s="1" t="s">
        <v>26</v>
      </c>
      <c r="E3907" s="1" t="s">
        <v>26</v>
      </c>
      <c r="F3907" s="1">
        <v>3.0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1">
        <v>35.2</v>
      </c>
      <c r="T3907" s="1">
        <v>108.95</v>
      </c>
      <c r="U3907" s="1">
        <v>0.0</v>
      </c>
      <c r="V3907" s="1">
        <v>0.0</v>
      </c>
      <c r="W3907" s="1" t="s">
        <v>25</v>
      </c>
    </row>
    <row r="3908" ht="15.75" customHeight="1">
      <c r="A3908" s="1" t="s">
        <v>3945</v>
      </c>
      <c r="B3908" s="1" t="s">
        <v>24</v>
      </c>
      <c r="C3908" s="1">
        <v>0.0</v>
      </c>
      <c r="D3908" s="1" t="s">
        <v>25</v>
      </c>
      <c r="E3908" s="1" t="s">
        <v>26</v>
      </c>
      <c r="F3908" s="1">
        <v>1.0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1">
        <v>78.8</v>
      </c>
      <c r="T3908" s="1">
        <v>78.8</v>
      </c>
      <c r="U3908" s="1">
        <v>0.0</v>
      </c>
      <c r="V3908" s="1">
        <v>0.0</v>
      </c>
      <c r="W3908" s="1" t="s">
        <v>25</v>
      </c>
    </row>
    <row r="3909" ht="15.75" customHeight="1">
      <c r="A3909" s="1" t="s">
        <v>3946</v>
      </c>
      <c r="B3909" s="1" t="s">
        <v>32</v>
      </c>
      <c r="C3909" s="1">
        <v>0.0</v>
      </c>
      <c r="D3909" s="1" t="s">
        <v>26</v>
      </c>
      <c r="E3909" s="1" t="s">
        <v>26</v>
      </c>
      <c r="F3909" s="1">
        <v>19.0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1">
        <v>89.95</v>
      </c>
      <c r="T3909" s="1">
        <v>1682.4</v>
      </c>
      <c r="U3909" s="1">
        <v>0.0</v>
      </c>
      <c r="V3909" s="1">
        <v>0.0</v>
      </c>
      <c r="W3909" s="1" t="s">
        <v>26</v>
      </c>
    </row>
    <row r="3910" ht="15.75" customHeight="1">
      <c r="A3910" s="1" t="s">
        <v>3947</v>
      </c>
      <c r="B3910" s="1" t="s">
        <v>24</v>
      </c>
      <c r="C3910" s="1">
        <v>1.0</v>
      </c>
      <c r="D3910" s="1" t="s">
        <v>25</v>
      </c>
      <c r="E3910" s="1" t="s">
        <v>26</v>
      </c>
      <c r="F3910" s="1">
        <v>60.0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1">
        <v>116.05</v>
      </c>
      <c r="T3910" s="1">
        <v>6925.9</v>
      </c>
      <c r="U3910" s="1">
        <v>0.0</v>
      </c>
      <c r="V3910" s="1">
        <v>0.0</v>
      </c>
      <c r="W3910" s="1" t="s">
        <v>26</v>
      </c>
    </row>
    <row r="3911" ht="15.75" customHeight="1">
      <c r="A3911" s="1" t="s">
        <v>3948</v>
      </c>
      <c r="B3911" s="1" t="s">
        <v>32</v>
      </c>
      <c r="C3911" s="1">
        <v>0.0</v>
      </c>
      <c r="D3911" s="1" t="s">
        <v>26</v>
      </c>
      <c r="E3911" s="1" t="s">
        <v>26</v>
      </c>
      <c r="F3911" s="1">
        <v>11.0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1">
        <v>19.55</v>
      </c>
      <c r="T3911" s="1">
        <v>223.15</v>
      </c>
      <c r="U3911" s="1">
        <v>0.0</v>
      </c>
      <c r="V3911" s="1">
        <v>1.0</v>
      </c>
      <c r="W3911" s="1" t="s">
        <v>26</v>
      </c>
    </row>
    <row r="3912" ht="15.75" customHeight="1">
      <c r="A3912" s="1" t="s">
        <v>3949</v>
      </c>
      <c r="B3912" s="1" t="s">
        <v>24</v>
      </c>
      <c r="C3912" s="1">
        <v>0.0</v>
      </c>
      <c r="D3912" s="1" t="s">
        <v>26</v>
      </c>
      <c r="E3912" s="1" t="s">
        <v>26</v>
      </c>
      <c r="F3912" s="1">
        <v>47.0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1">
        <v>106.4</v>
      </c>
      <c r="T3912" s="1">
        <v>5127.95</v>
      </c>
      <c r="U3912" s="1">
        <v>0.0</v>
      </c>
      <c r="V3912" s="1">
        <v>3.0</v>
      </c>
      <c r="W3912" s="1" t="s">
        <v>25</v>
      </c>
    </row>
    <row r="3913" ht="15.75" customHeight="1">
      <c r="A3913" s="1" t="s">
        <v>3950</v>
      </c>
      <c r="B3913" s="1" t="s">
        <v>32</v>
      </c>
      <c r="C3913" s="1">
        <v>0.0</v>
      </c>
      <c r="D3913" s="1" t="s">
        <v>26</v>
      </c>
      <c r="E3913" s="1" t="s">
        <v>26</v>
      </c>
      <c r="F3913" s="1">
        <v>18.0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1">
        <v>49.4</v>
      </c>
      <c r="T3913" s="1">
        <v>874.8</v>
      </c>
      <c r="U3913" s="1">
        <v>3.0</v>
      </c>
      <c r="V3913" s="1">
        <v>0.0</v>
      </c>
      <c r="W3913" s="1" t="s">
        <v>25</v>
      </c>
    </row>
    <row r="3914" ht="15.75" customHeight="1">
      <c r="A3914" s="1" t="s">
        <v>3951</v>
      </c>
      <c r="B3914" s="1" t="s">
        <v>24</v>
      </c>
      <c r="C3914" s="1">
        <v>0.0</v>
      </c>
      <c r="D3914" s="1" t="s">
        <v>25</v>
      </c>
      <c r="E3914" s="1" t="s">
        <v>25</v>
      </c>
      <c r="F3914" s="1">
        <v>60.0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1">
        <v>115.25</v>
      </c>
      <c r="T3914" s="1">
        <v>6758.45</v>
      </c>
      <c r="U3914" s="1">
        <v>0.0</v>
      </c>
      <c r="V3914" s="1">
        <v>0.0</v>
      </c>
      <c r="W3914" s="1" t="s">
        <v>26</v>
      </c>
    </row>
    <row r="3915" ht="15.75" customHeight="1">
      <c r="A3915" s="1" t="s">
        <v>3952</v>
      </c>
      <c r="B3915" s="1" t="s">
        <v>32</v>
      </c>
      <c r="C3915" s="1">
        <v>0.0</v>
      </c>
      <c r="D3915" s="1" t="s">
        <v>25</v>
      </c>
      <c r="E3915" s="1" t="s">
        <v>26</v>
      </c>
      <c r="F3915" s="1">
        <v>72.0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1">
        <v>24.8</v>
      </c>
      <c r="T3915" s="1">
        <v>1874.3</v>
      </c>
      <c r="U3915" s="1">
        <v>0.0</v>
      </c>
      <c r="V3915" s="1">
        <v>0.0</v>
      </c>
      <c r="W3915" s="1" t="s">
        <v>26</v>
      </c>
    </row>
    <row r="3916" ht="15.75" customHeight="1">
      <c r="A3916" s="1" t="s">
        <v>3953</v>
      </c>
      <c r="B3916" s="1" t="s">
        <v>32</v>
      </c>
      <c r="C3916" s="1">
        <v>0.0</v>
      </c>
      <c r="D3916" s="1" t="s">
        <v>26</v>
      </c>
      <c r="E3916" s="1" t="s">
        <v>26</v>
      </c>
      <c r="F3916" s="1">
        <v>39.0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1">
        <v>19.9</v>
      </c>
      <c r="T3916" s="1">
        <v>791.15</v>
      </c>
      <c r="U3916" s="1">
        <v>0.0</v>
      </c>
      <c r="V3916" s="1">
        <v>0.0</v>
      </c>
      <c r="W3916" s="1" t="s">
        <v>26</v>
      </c>
    </row>
    <row r="3917" ht="15.75" customHeight="1">
      <c r="A3917" s="1" t="s">
        <v>3954</v>
      </c>
      <c r="B3917" s="1" t="s">
        <v>24</v>
      </c>
      <c r="C3917" s="1">
        <v>0.0</v>
      </c>
      <c r="D3917" s="1" t="s">
        <v>25</v>
      </c>
      <c r="E3917" s="1" t="s">
        <v>26</v>
      </c>
      <c r="F3917" s="1">
        <v>59.0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1">
        <v>81.25</v>
      </c>
      <c r="T3917" s="1">
        <v>4639.45</v>
      </c>
      <c r="U3917" s="1">
        <v>0.0</v>
      </c>
      <c r="V3917" s="1">
        <v>0.0</v>
      </c>
      <c r="W3917" s="1" t="s">
        <v>26</v>
      </c>
    </row>
    <row r="3918" ht="15.75" customHeight="1">
      <c r="A3918" s="1" t="s">
        <v>3955</v>
      </c>
      <c r="B3918" s="1" t="s">
        <v>32</v>
      </c>
      <c r="C3918" s="1">
        <v>0.0</v>
      </c>
      <c r="D3918" s="1" t="s">
        <v>25</v>
      </c>
      <c r="E3918" s="1" t="s">
        <v>25</v>
      </c>
      <c r="F3918" s="1">
        <v>2.0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1">
        <v>69.95</v>
      </c>
      <c r="T3918" s="1">
        <v>143.9</v>
      </c>
      <c r="U3918" s="1">
        <v>0.0</v>
      </c>
      <c r="V3918" s="1">
        <v>0.0</v>
      </c>
      <c r="W3918" s="1" t="s">
        <v>26</v>
      </c>
    </row>
    <row r="3919" ht="15.75" customHeight="1">
      <c r="A3919" s="1" t="s">
        <v>3956</v>
      </c>
      <c r="B3919" s="1" t="s">
        <v>32</v>
      </c>
      <c r="C3919" s="1">
        <v>1.0</v>
      </c>
      <c r="D3919" s="1" t="s">
        <v>26</v>
      </c>
      <c r="E3919" s="1" t="s">
        <v>26</v>
      </c>
      <c r="F3919" s="1">
        <v>1.0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1">
        <v>69.1</v>
      </c>
      <c r="T3919" s="1">
        <v>69.1</v>
      </c>
      <c r="U3919" s="1">
        <v>0.0</v>
      </c>
      <c r="V3919" s="1">
        <v>0.0</v>
      </c>
      <c r="W3919" s="1" t="s">
        <v>25</v>
      </c>
    </row>
    <row r="3920" ht="15.75" customHeight="1">
      <c r="A3920" s="1" t="s">
        <v>3957</v>
      </c>
      <c r="B3920" s="1" t="s">
        <v>32</v>
      </c>
      <c r="C3920" s="1">
        <v>0.0</v>
      </c>
      <c r="D3920" s="1" t="s">
        <v>25</v>
      </c>
      <c r="E3920" s="1" t="s">
        <v>25</v>
      </c>
      <c r="F3920" s="1">
        <v>20.0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1">
        <v>90.2</v>
      </c>
      <c r="T3920" s="1">
        <v>1776.55</v>
      </c>
      <c r="U3920" s="1">
        <v>0.0</v>
      </c>
      <c r="V3920" s="1">
        <v>3.0</v>
      </c>
      <c r="W3920" s="1" t="s">
        <v>25</v>
      </c>
    </row>
    <row r="3921" ht="15.75" customHeight="1">
      <c r="A3921" s="1" t="s">
        <v>3958</v>
      </c>
      <c r="B3921" s="1" t="s">
        <v>24</v>
      </c>
      <c r="C3921" s="1">
        <v>0.0</v>
      </c>
      <c r="D3921" s="1" t="s">
        <v>26</v>
      </c>
      <c r="E3921" s="1" t="s">
        <v>26</v>
      </c>
      <c r="F3921" s="1">
        <v>6.0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1">
        <v>93.55</v>
      </c>
      <c r="T3921" s="1">
        <v>536.4</v>
      </c>
      <c r="U3921" s="1">
        <v>0.0</v>
      </c>
      <c r="V3921" s="1">
        <v>2.0</v>
      </c>
      <c r="W3921" s="1" t="s">
        <v>25</v>
      </c>
    </row>
    <row r="3922" ht="15.75" customHeight="1">
      <c r="A3922" s="1" t="s">
        <v>3959</v>
      </c>
      <c r="B3922" s="1" t="s">
        <v>32</v>
      </c>
      <c r="C3922" s="1">
        <v>0.0</v>
      </c>
      <c r="D3922" s="1" t="s">
        <v>26</v>
      </c>
      <c r="E3922" s="1" t="s">
        <v>26</v>
      </c>
      <c r="F3922" s="1">
        <v>71.0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1">
        <v>86.4</v>
      </c>
      <c r="T3922" s="1">
        <v>6172.0</v>
      </c>
      <c r="U3922" s="1">
        <v>0.0</v>
      </c>
      <c r="V3922" s="1">
        <v>0.0</v>
      </c>
      <c r="W3922" s="1" t="s">
        <v>26</v>
      </c>
    </row>
    <row r="3923" ht="15.75" customHeight="1">
      <c r="A3923" s="1" t="s">
        <v>3960</v>
      </c>
      <c r="B3923" s="1" t="s">
        <v>24</v>
      </c>
      <c r="C3923" s="1">
        <v>0.0</v>
      </c>
      <c r="D3923" s="1" t="s">
        <v>25</v>
      </c>
      <c r="E3923" s="1" t="s">
        <v>26</v>
      </c>
      <c r="F3923" s="1">
        <v>24.0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1">
        <v>66.3</v>
      </c>
      <c r="T3923" s="1">
        <v>1559.45</v>
      </c>
      <c r="U3923" s="1">
        <v>0.0</v>
      </c>
      <c r="V3923" s="1">
        <v>0.0</v>
      </c>
      <c r="W3923" s="1" t="s">
        <v>26</v>
      </c>
    </row>
    <row r="3924" ht="15.75" customHeight="1">
      <c r="A3924" s="1" t="s">
        <v>3961</v>
      </c>
      <c r="B3924" s="1" t="s">
        <v>32</v>
      </c>
      <c r="C3924" s="1">
        <v>1.0</v>
      </c>
      <c r="D3924" s="1" t="s">
        <v>25</v>
      </c>
      <c r="E3924" s="1" t="s">
        <v>26</v>
      </c>
      <c r="F3924" s="1">
        <v>67.0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1">
        <v>94.65</v>
      </c>
      <c r="T3924" s="1">
        <v>6079.0</v>
      </c>
      <c r="U3924" s="1">
        <v>0.0</v>
      </c>
      <c r="V3924" s="1">
        <v>0.0</v>
      </c>
      <c r="W3924" s="1" t="s">
        <v>26</v>
      </c>
    </row>
    <row r="3925" ht="15.75" customHeight="1">
      <c r="A3925" s="1" t="s">
        <v>3962</v>
      </c>
      <c r="B3925" s="1" t="s">
        <v>32</v>
      </c>
      <c r="C3925" s="1">
        <v>0.0</v>
      </c>
      <c r="D3925" s="1" t="s">
        <v>26</v>
      </c>
      <c r="E3925" s="1" t="s">
        <v>26</v>
      </c>
      <c r="F3925" s="1">
        <v>1.0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1">
        <v>80.85</v>
      </c>
      <c r="T3925" s="1">
        <v>80.85</v>
      </c>
      <c r="U3925" s="1">
        <v>0.0</v>
      </c>
      <c r="V3925" s="1">
        <v>0.0</v>
      </c>
      <c r="W3925" s="1" t="s">
        <v>25</v>
      </c>
    </row>
    <row r="3926" ht="15.75" customHeight="1">
      <c r="A3926" s="1" t="s">
        <v>3963</v>
      </c>
      <c r="B3926" s="1" t="s">
        <v>24</v>
      </c>
      <c r="C3926" s="1">
        <v>0.0</v>
      </c>
      <c r="D3926" s="1" t="s">
        <v>25</v>
      </c>
      <c r="E3926" s="1" t="s">
        <v>25</v>
      </c>
      <c r="F3926" s="1">
        <v>48.0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1">
        <v>82.05</v>
      </c>
      <c r="T3926" s="1">
        <v>4029.95</v>
      </c>
      <c r="U3926" s="1">
        <v>0.0</v>
      </c>
      <c r="V3926" s="1">
        <v>0.0</v>
      </c>
      <c r="W3926" s="1" t="s">
        <v>25</v>
      </c>
    </row>
    <row r="3927" ht="15.75" customHeight="1">
      <c r="A3927" s="1" t="s">
        <v>3964</v>
      </c>
      <c r="B3927" s="1" t="s">
        <v>24</v>
      </c>
      <c r="C3927" s="1">
        <v>0.0</v>
      </c>
      <c r="D3927" s="1" t="s">
        <v>25</v>
      </c>
      <c r="E3927" s="1" t="s">
        <v>26</v>
      </c>
      <c r="F3927" s="1">
        <v>37.0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1">
        <v>72.1</v>
      </c>
      <c r="T3927" s="1">
        <v>2658.4</v>
      </c>
      <c r="U3927" s="1">
        <v>4.0</v>
      </c>
      <c r="V3927" s="1">
        <v>0.0</v>
      </c>
      <c r="W3927" s="1" t="s">
        <v>26</v>
      </c>
    </row>
    <row r="3928" ht="15.75" customHeight="1">
      <c r="A3928" s="1" t="s">
        <v>3965</v>
      </c>
      <c r="B3928" s="1" t="s">
        <v>32</v>
      </c>
      <c r="C3928" s="1">
        <v>0.0</v>
      </c>
      <c r="D3928" s="1" t="s">
        <v>26</v>
      </c>
      <c r="E3928" s="1" t="s">
        <v>26</v>
      </c>
      <c r="F3928" s="1">
        <v>11.0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1">
        <v>34.7</v>
      </c>
      <c r="T3928" s="1">
        <v>383.55</v>
      </c>
      <c r="U3928" s="1">
        <v>0.0</v>
      </c>
      <c r="V3928" s="1">
        <v>0.0</v>
      </c>
      <c r="W3928" s="1" t="s">
        <v>26</v>
      </c>
    </row>
    <row r="3929" ht="15.75" customHeight="1">
      <c r="A3929" s="1" t="s">
        <v>3966</v>
      </c>
      <c r="B3929" s="1" t="s">
        <v>32</v>
      </c>
      <c r="C3929" s="1">
        <v>0.0</v>
      </c>
      <c r="D3929" s="1" t="s">
        <v>25</v>
      </c>
      <c r="E3929" s="1" t="s">
        <v>26</v>
      </c>
      <c r="F3929" s="1">
        <v>3.0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1">
        <v>20.55</v>
      </c>
      <c r="T3929" s="1">
        <v>51.15</v>
      </c>
      <c r="U3929" s="1">
        <v>0.0</v>
      </c>
      <c r="V3929" s="1">
        <v>0.0</v>
      </c>
      <c r="W3929" s="1" t="s">
        <v>25</v>
      </c>
    </row>
    <row r="3930" ht="15.75" customHeight="1">
      <c r="A3930" s="1" t="s">
        <v>3967</v>
      </c>
      <c r="B3930" s="1" t="s">
        <v>24</v>
      </c>
      <c r="C3930" s="1">
        <v>0.0</v>
      </c>
      <c r="D3930" s="1" t="s">
        <v>25</v>
      </c>
      <c r="E3930" s="1" t="s">
        <v>26</v>
      </c>
      <c r="F3930" s="1">
        <v>18.0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1">
        <v>95.95</v>
      </c>
      <c r="T3930" s="1">
        <v>1745.5</v>
      </c>
      <c r="U3930" s="1">
        <v>0.0</v>
      </c>
      <c r="V3930" s="1">
        <v>0.0</v>
      </c>
      <c r="W3930" s="1" t="s">
        <v>26</v>
      </c>
    </row>
    <row r="3931" ht="15.75" customHeight="1">
      <c r="A3931" s="1" t="s">
        <v>3968</v>
      </c>
      <c r="B3931" s="1" t="s">
        <v>32</v>
      </c>
      <c r="C3931" s="1">
        <v>0.0</v>
      </c>
      <c r="D3931" s="1" t="s">
        <v>25</v>
      </c>
      <c r="E3931" s="1" t="s">
        <v>25</v>
      </c>
      <c r="F3931" s="1">
        <v>50.0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1">
        <v>44.8</v>
      </c>
      <c r="T3931" s="1">
        <v>2230.85</v>
      </c>
      <c r="U3931" s="1">
        <v>0.0</v>
      </c>
      <c r="V3931" s="1">
        <v>0.0</v>
      </c>
      <c r="W3931" s="1" t="s">
        <v>26</v>
      </c>
    </row>
    <row r="3932" ht="15.75" customHeight="1">
      <c r="A3932" s="1" t="s">
        <v>3969</v>
      </c>
      <c r="B3932" s="1" t="s">
        <v>24</v>
      </c>
      <c r="C3932" s="1">
        <v>0.0</v>
      </c>
      <c r="D3932" s="1" t="s">
        <v>25</v>
      </c>
      <c r="E3932" s="1" t="s">
        <v>25</v>
      </c>
      <c r="F3932" s="1">
        <v>67.0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1">
        <v>109.4</v>
      </c>
      <c r="T3932" s="1">
        <v>7281.6</v>
      </c>
      <c r="U3932" s="1">
        <v>0.0</v>
      </c>
      <c r="V3932" s="1">
        <v>0.0</v>
      </c>
      <c r="W3932" s="1" t="s">
        <v>26</v>
      </c>
    </row>
    <row r="3933" ht="15.75" customHeight="1">
      <c r="A3933" s="1" t="s">
        <v>3970</v>
      </c>
      <c r="B3933" s="1" t="s">
        <v>24</v>
      </c>
      <c r="C3933" s="1">
        <v>0.0</v>
      </c>
      <c r="D3933" s="1" t="s">
        <v>25</v>
      </c>
      <c r="E3933" s="1" t="s">
        <v>26</v>
      </c>
      <c r="F3933" s="1">
        <v>25.0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1">
        <v>71.05</v>
      </c>
      <c r="T3933" s="1">
        <v>1837.7</v>
      </c>
      <c r="U3933" s="1">
        <v>0.0</v>
      </c>
      <c r="V3933" s="1">
        <v>0.0</v>
      </c>
      <c r="W3933" s="1" t="s">
        <v>26</v>
      </c>
    </row>
    <row r="3934" ht="15.75" customHeight="1">
      <c r="A3934" s="1" t="s">
        <v>3971</v>
      </c>
      <c r="B3934" s="1" t="s">
        <v>24</v>
      </c>
      <c r="C3934" s="1">
        <v>1.0</v>
      </c>
      <c r="D3934" s="1" t="s">
        <v>26</v>
      </c>
      <c r="E3934" s="1" t="s">
        <v>26</v>
      </c>
      <c r="F3934" s="1">
        <v>2.0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1">
        <v>78.55</v>
      </c>
      <c r="T3934" s="1">
        <v>149.55</v>
      </c>
      <c r="U3934" s="1">
        <v>0.0</v>
      </c>
      <c r="V3934" s="1">
        <v>0.0</v>
      </c>
      <c r="W3934" s="1" t="s">
        <v>25</v>
      </c>
    </row>
    <row r="3935" ht="15.75" customHeight="1">
      <c r="A3935" s="1" t="s">
        <v>3972</v>
      </c>
      <c r="B3935" s="1" t="s">
        <v>32</v>
      </c>
      <c r="C3935" s="1">
        <v>0.0</v>
      </c>
      <c r="D3935" s="1" t="s">
        <v>26</v>
      </c>
      <c r="E3935" s="1" t="s">
        <v>26</v>
      </c>
      <c r="F3935" s="1">
        <v>9.0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1">
        <v>19.7</v>
      </c>
      <c r="T3935" s="1">
        <v>180.7</v>
      </c>
      <c r="U3935" s="1">
        <v>0.0</v>
      </c>
      <c r="V3935" s="1">
        <v>0.0</v>
      </c>
      <c r="W3935" s="1" t="s">
        <v>26</v>
      </c>
    </row>
    <row r="3936" ht="15.75" customHeight="1">
      <c r="A3936" s="1" t="s">
        <v>3973</v>
      </c>
      <c r="B3936" s="1" t="s">
        <v>24</v>
      </c>
      <c r="C3936" s="1">
        <v>0.0</v>
      </c>
      <c r="D3936" s="1" t="s">
        <v>26</v>
      </c>
      <c r="E3936" s="1" t="s">
        <v>25</v>
      </c>
      <c r="F3936" s="1">
        <v>10.0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1">
        <v>40.25</v>
      </c>
      <c r="T3936" s="1">
        <v>411.45</v>
      </c>
      <c r="U3936" s="1">
        <v>4.0</v>
      </c>
      <c r="V3936" s="1">
        <v>0.0</v>
      </c>
      <c r="W3936" s="1" t="s">
        <v>26</v>
      </c>
    </row>
    <row r="3937" ht="15.75" customHeight="1">
      <c r="A3937" s="1" t="s">
        <v>3974</v>
      </c>
      <c r="B3937" s="1" t="s">
        <v>24</v>
      </c>
      <c r="C3937" s="1">
        <v>0.0</v>
      </c>
      <c r="D3937" s="1" t="s">
        <v>25</v>
      </c>
      <c r="E3937" s="1" t="s">
        <v>26</v>
      </c>
      <c r="F3937" s="1">
        <v>70.0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1">
        <v>19.85</v>
      </c>
      <c r="T3937" s="1">
        <v>1328.35</v>
      </c>
      <c r="U3937" s="1">
        <v>4.0</v>
      </c>
      <c r="V3937" s="1">
        <v>0.0</v>
      </c>
      <c r="W3937" s="1" t="s">
        <v>26</v>
      </c>
    </row>
    <row r="3938" ht="15.75" customHeight="1">
      <c r="A3938" s="1" t="s">
        <v>3975</v>
      </c>
      <c r="B3938" s="1" t="s">
        <v>32</v>
      </c>
      <c r="C3938" s="1">
        <v>0.0</v>
      </c>
      <c r="D3938" s="1" t="s">
        <v>26</v>
      </c>
      <c r="E3938" s="1" t="s">
        <v>26</v>
      </c>
      <c r="F3938" s="1">
        <v>9.0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1">
        <v>68.25</v>
      </c>
      <c r="T3938" s="1">
        <v>576.95</v>
      </c>
      <c r="U3938" s="1">
        <v>0.0</v>
      </c>
      <c r="V3938" s="1">
        <v>0.0</v>
      </c>
      <c r="W3938" s="1" t="s">
        <v>26</v>
      </c>
    </row>
    <row r="3939" ht="15.75" customHeight="1">
      <c r="A3939" s="1" t="s">
        <v>3976</v>
      </c>
      <c r="B3939" s="1" t="s">
        <v>24</v>
      </c>
      <c r="C3939" s="1">
        <v>0.0</v>
      </c>
      <c r="D3939" s="1" t="s">
        <v>26</v>
      </c>
      <c r="E3939" s="1" t="s">
        <v>26</v>
      </c>
      <c r="F3939" s="1">
        <v>4.0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1">
        <v>20.15</v>
      </c>
      <c r="T3939" s="1">
        <v>68.45</v>
      </c>
      <c r="U3939" s="1">
        <v>1.0</v>
      </c>
      <c r="V3939" s="1">
        <v>0.0</v>
      </c>
      <c r="W3939" s="1" t="s">
        <v>26</v>
      </c>
    </row>
    <row r="3940" ht="15.75" customHeight="1">
      <c r="A3940" s="1" t="s">
        <v>3977</v>
      </c>
      <c r="B3940" s="1" t="s">
        <v>24</v>
      </c>
      <c r="C3940" s="1">
        <v>0.0</v>
      </c>
      <c r="D3940" s="1" t="s">
        <v>26</v>
      </c>
      <c r="E3940" s="1" t="s">
        <v>26</v>
      </c>
      <c r="F3940" s="1">
        <v>2.0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1">
        <v>50.95</v>
      </c>
      <c r="T3940" s="1">
        <v>123.05</v>
      </c>
      <c r="U3940" s="1">
        <v>0.0</v>
      </c>
      <c r="V3940" s="1">
        <v>0.0</v>
      </c>
      <c r="W3940" s="1" t="s">
        <v>26</v>
      </c>
    </row>
    <row r="3941" ht="15.75" customHeight="1">
      <c r="A3941" s="1" t="s">
        <v>3978</v>
      </c>
      <c r="B3941" s="1" t="s">
        <v>24</v>
      </c>
      <c r="C3941" s="1">
        <v>0.0</v>
      </c>
      <c r="D3941" s="1" t="s">
        <v>26</v>
      </c>
      <c r="E3941" s="1" t="s">
        <v>25</v>
      </c>
      <c r="F3941" s="1">
        <v>1.0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1">
        <v>78.65</v>
      </c>
      <c r="T3941" s="1">
        <v>78.65</v>
      </c>
      <c r="U3941" s="1">
        <v>0.0</v>
      </c>
      <c r="V3941" s="1">
        <v>0.0</v>
      </c>
      <c r="W3941" s="1" t="s">
        <v>25</v>
      </c>
    </row>
    <row r="3942" ht="15.75" customHeight="1">
      <c r="A3942" s="1" t="s">
        <v>3979</v>
      </c>
      <c r="B3942" s="1" t="s">
        <v>32</v>
      </c>
      <c r="C3942" s="1">
        <v>0.0</v>
      </c>
      <c r="D3942" s="1" t="s">
        <v>26</v>
      </c>
      <c r="E3942" s="1" t="s">
        <v>26</v>
      </c>
      <c r="F3942" s="1">
        <v>19.0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1">
        <v>25.15</v>
      </c>
      <c r="T3942" s="1">
        <v>468.35</v>
      </c>
      <c r="U3942" s="1">
        <v>4.0</v>
      </c>
      <c r="V3942" s="1">
        <v>0.0</v>
      </c>
      <c r="W3942" s="1" t="s">
        <v>26</v>
      </c>
    </row>
    <row r="3943" ht="15.75" customHeight="1">
      <c r="A3943" s="1" t="s">
        <v>3980</v>
      </c>
      <c r="B3943" s="1" t="s">
        <v>32</v>
      </c>
      <c r="C3943" s="1">
        <v>0.0</v>
      </c>
      <c r="D3943" s="1" t="s">
        <v>25</v>
      </c>
      <c r="E3943" s="1" t="s">
        <v>25</v>
      </c>
      <c r="F3943" s="1">
        <v>7.0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1">
        <v>20.25</v>
      </c>
      <c r="T3943" s="1">
        <v>174.7</v>
      </c>
      <c r="U3943" s="1">
        <v>0.0</v>
      </c>
      <c r="V3943" s="1">
        <v>0.0</v>
      </c>
      <c r="W3943" s="1" t="s">
        <v>26</v>
      </c>
    </row>
    <row r="3944" ht="15.75" customHeight="1">
      <c r="A3944" s="1" t="s">
        <v>3981</v>
      </c>
      <c r="B3944" s="1" t="s">
        <v>32</v>
      </c>
      <c r="C3944" s="1">
        <v>0.0</v>
      </c>
      <c r="D3944" s="1" t="s">
        <v>26</v>
      </c>
      <c r="E3944" s="1" t="s">
        <v>26</v>
      </c>
      <c r="F3944" s="1">
        <v>1.0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1">
        <v>42.9</v>
      </c>
      <c r="T3944" s="1">
        <v>42.9</v>
      </c>
      <c r="U3944" s="1">
        <v>0.0</v>
      </c>
      <c r="V3944" s="1">
        <v>0.0</v>
      </c>
      <c r="W3944" s="1" t="s">
        <v>25</v>
      </c>
    </row>
    <row r="3945" ht="15.75" customHeight="1">
      <c r="A3945" s="1" t="s">
        <v>3982</v>
      </c>
      <c r="B3945" s="1" t="s">
        <v>32</v>
      </c>
      <c r="C3945" s="1">
        <v>1.0</v>
      </c>
      <c r="D3945" s="1" t="s">
        <v>26</v>
      </c>
      <c r="E3945" s="1" t="s">
        <v>26</v>
      </c>
      <c r="F3945" s="1">
        <v>1.0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1">
        <v>44.0</v>
      </c>
      <c r="T3945" s="1">
        <v>44.0</v>
      </c>
      <c r="U3945" s="1">
        <v>0.0</v>
      </c>
      <c r="V3945" s="1">
        <v>0.0</v>
      </c>
      <c r="W3945" s="1" t="s">
        <v>26</v>
      </c>
    </row>
    <row r="3946" ht="15.75" customHeight="1">
      <c r="A3946" s="1" t="s">
        <v>3983</v>
      </c>
      <c r="B3946" s="1" t="s">
        <v>24</v>
      </c>
      <c r="C3946" s="1">
        <v>0.0</v>
      </c>
      <c r="D3946" s="1" t="s">
        <v>25</v>
      </c>
      <c r="E3946" s="1" t="s">
        <v>25</v>
      </c>
      <c r="F3946" s="1">
        <v>9.0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1">
        <v>20.25</v>
      </c>
      <c r="T3946" s="1">
        <v>172.35</v>
      </c>
      <c r="U3946" s="1">
        <v>0.0</v>
      </c>
      <c r="V3946" s="1">
        <v>0.0</v>
      </c>
      <c r="W3946" s="1" t="s">
        <v>26</v>
      </c>
    </row>
    <row r="3947" ht="15.75" customHeight="1">
      <c r="A3947" s="1" t="s">
        <v>3984</v>
      </c>
      <c r="B3947" s="1" t="s">
        <v>24</v>
      </c>
      <c r="C3947" s="1">
        <v>0.0</v>
      </c>
      <c r="D3947" s="1" t="s">
        <v>26</v>
      </c>
      <c r="E3947" s="1" t="s">
        <v>26</v>
      </c>
      <c r="F3947" s="1">
        <v>3.0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1">
        <v>34.25</v>
      </c>
      <c r="T3947" s="1">
        <v>139.35</v>
      </c>
      <c r="U3947" s="1">
        <v>0.0</v>
      </c>
      <c r="V3947" s="1">
        <v>0.0</v>
      </c>
      <c r="W3947" s="1" t="s">
        <v>25</v>
      </c>
    </row>
    <row r="3948" ht="15.75" customHeight="1">
      <c r="A3948" s="1" t="s">
        <v>3985</v>
      </c>
      <c r="B3948" s="1" t="s">
        <v>24</v>
      </c>
      <c r="C3948" s="1">
        <v>0.0</v>
      </c>
      <c r="D3948" s="1" t="s">
        <v>26</v>
      </c>
      <c r="E3948" s="1" t="s">
        <v>26</v>
      </c>
      <c r="F3948" s="1">
        <v>9.0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1">
        <v>58.5</v>
      </c>
      <c r="T3948" s="1">
        <v>539.85</v>
      </c>
      <c r="U3948" s="1">
        <v>4.0</v>
      </c>
      <c r="V3948" s="1">
        <v>1.0</v>
      </c>
      <c r="W3948" s="1" t="s">
        <v>25</v>
      </c>
    </row>
    <row r="3949" ht="15.75" customHeight="1">
      <c r="A3949" s="1" t="s">
        <v>3986</v>
      </c>
      <c r="B3949" s="1" t="s">
        <v>24</v>
      </c>
      <c r="C3949" s="1">
        <v>0.0</v>
      </c>
      <c r="D3949" s="1" t="s">
        <v>26</v>
      </c>
      <c r="E3949" s="1" t="s">
        <v>26</v>
      </c>
      <c r="F3949" s="1">
        <v>5.0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1">
        <v>55.8</v>
      </c>
      <c r="T3949" s="1">
        <v>300.4</v>
      </c>
      <c r="U3949" s="1">
        <v>0.0</v>
      </c>
      <c r="V3949" s="1">
        <v>0.0</v>
      </c>
      <c r="W3949" s="1" t="s">
        <v>26</v>
      </c>
    </row>
    <row r="3950" ht="15.75" customHeight="1">
      <c r="A3950" s="1" t="s">
        <v>3987</v>
      </c>
      <c r="B3950" s="1" t="s">
        <v>24</v>
      </c>
      <c r="C3950" s="1">
        <v>0.0</v>
      </c>
      <c r="D3950" s="1" t="s">
        <v>25</v>
      </c>
      <c r="E3950" s="1" t="s">
        <v>25</v>
      </c>
      <c r="F3950" s="1">
        <v>56.0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1">
        <v>88.9</v>
      </c>
      <c r="T3950" s="1">
        <v>4968.0</v>
      </c>
      <c r="U3950" s="1">
        <v>0.0</v>
      </c>
      <c r="V3950" s="1">
        <v>0.0</v>
      </c>
      <c r="W3950" s="1" t="s">
        <v>26</v>
      </c>
    </row>
    <row r="3951" ht="15.75" customHeight="1">
      <c r="A3951" s="1" t="s">
        <v>3988</v>
      </c>
      <c r="B3951" s="1" t="s">
        <v>24</v>
      </c>
      <c r="C3951" s="1">
        <v>0.0</v>
      </c>
      <c r="D3951" s="1" t="s">
        <v>26</v>
      </c>
      <c r="E3951" s="1" t="s">
        <v>25</v>
      </c>
      <c r="F3951" s="1">
        <v>18.0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1">
        <v>57.65</v>
      </c>
      <c r="T3951" s="1">
        <v>992.7</v>
      </c>
      <c r="U3951" s="1">
        <v>3.0</v>
      </c>
      <c r="V3951" s="1">
        <v>0.0</v>
      </c>
      <c r="W3951" s="1" t="s">
        <v>26</v>
      </c>
    </row>
    <row r="3952" ht="15.75" customHeight="1">
      <c r="A3952" s="1" t="s">
        <v>3989</v>
      </c>
      <c r="B3952" s="1" t="s">
        <v>32</v>
      </c>
      <c r="C3952" s="1">
        <v>1.0</v>
      </c>
      <c r="D3952" s="1" t="s">
        <v>26</v>
      </c>
      <c r="E3952" s="1" t="s">
        <v>26</v>
      </c>
      <c r="F3952" s="1">
        <v>49.0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1">
        <v>96.2</v>
      </c>
      <c r="T3952" s="1">
        <v>4718.25</v>
      </c>
      <c r="U3952" s="1">
        <v>0.0</v>
      </c>
      <c r="V3952" s="1">
        <v>4.0</v>
      </c>
      <c r="W3952" s="1" t="s">
        <v>25</v>
      </c>
    </row>
    <row r="3953" ht="15.75" customHeight="1">
      <c r="A3953" s="1" t="s">
        <v>3990</v>
      </c>
      <c r="B3953" s="1" t="s">
        <v>32</v>
      </c>
      <c r="C3953" s="1">
        <v>0.0</v>
      </c>
      <c r="D3953" s="1" t="s">
        <v>25</v>
      </c>
      <c r="E3953" s="1" t="s">
        <v>26</v>
      </c>
      <c r="F3953" s="1">
        <v>70.0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1">
        <v>79.15</v>
      </c>
      <c r="T3953" s="1">
        <v>5536.5</v>
      </c>
      <c r="U3953" s="1">
        <v>0.0</v>
      </c>
      <c r="V3953" s="1">
        <v>0.0</v>
      </c>
      <c r="W3953" s="1" t="s">
        <v>26</v>
      </c>
    </row>
    <row r="3954" ht="15.75" customHeight="1">
      <c r="A3954" s="1" t="s">
        <v>3991</v>
      </c>
      <c r="B3954" s="1" t="s">
        <v>24</v>
      </c>
      <c r="C3954" s="1">
        <v>0.0</v>
      </c>
      <c r="D3954" s="1" t="s">
        <v>26</v>
      </c>
      <c r="E3954" s="1" t="s">
        <v>26</v>
      </c>
      <c r="F3954" s="1">
        <v>72.0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1">
        <v>108.05</v>
      </c>
      <c r="T3954" s="1">
        <v>7806.6</v>
      </c>
      <c r="U3954" s="1">
        <v>0.0</v>
      </c>
      <c r="V3954" s="1">
        <v>0.0</v>
      </c>
      <c r="W3954" s="1" t="s">
        <v>26</v>
      </c>
    </row>
    <row r="3955" ht="15.75" customHeight="1">
      <c r="A3955" s="1" t="s">
        <v>3992</v>
      </c>
      <c r="B3955" s="1" t="s">
        <v>24</v>
      </c>
      <c r="C3955" s="1">
        <v>1.0</v>
      </c>
      <c r="D3955" s="1" t="s">
        <v>26</v>
      </c>
      <c r="E3955" s="1" t="s">
        <v>26</v>
      </c>
      <c r="F3955" s="1">
        <v>6.0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1">
        <v>74.4</v>
      </c>
      <c r="T3955" s="1">
        <v>434.1</v>
      </c>
      <c r="U3955" s="1">
        <v>0.0</v>
      </c>
      <c r="V3955" s="1">
        <v>0.0</v>
      </c>
      <c r="W3955" s="1" t="s">
        <v>25</v>
      </c>
    </row>
    <row r="3956" ht="15.75" customHeight="1">
      <c r="A3956" s="1" t="s">
        <v>3993</v>
      </c>
      <c r="B3956" s="1" t="s">
        <v>32</v>
      </c>
      <c r="C3956" s="1">
        <v>1.0</v>
      </c>
      <c r="D3956" s="1" t="s">
        <v>25</v>
      </c>
      <c r="E3956" s="1" t="s">
        <v>26</v>
      </c>
      <c r="F3956" s="1">
        <v>17.0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1">
        <v>94.8</v>
      </c>
      <c r="T3956" s="1">
        <v>1563.9</v>
      </c>
      <c r="U3956" s="1">
        <v>0.0</v>
      </c>
      <c r="V3956" s="1">
        <v>1.0</v>
      </c>
      <c r="W3956" s="1" t="s">
        <v>26</v>
      </c>
    </row>
    <row r="3957" ht="15.75" customHeight="1">
      <c r="A3957" s="1" t="s">
        <v>3994</v>
      </c>
      <c r="B3957" s="1" t="s">
        <v>32</v>
      </c>
      <c r="C3957" s="1">
        <v>0.0</v>
      </c>
      <c r="D3957" s="1" t="s">
        <v>25</v>
      </c>
      <c r="E3957" s="1" t="s">
        <v>26</v>
      </c>
      <c r="F3957" s="1">
        <v>29.0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1">
        <v>45.9</v>
      </c>
      <c r="T3957" s="1">
        <v>1332.4</v>
      </c>
      <c r="U3957" s="1">
        <v>0.0</v>
      </c>
      <c r="V3957" s="1">
        <v>0.0</v>
      </c>
      <c r="W3957" s="1" t="s">
        <v>26</v>
      </c>
    </row>
    <row r="3958" ht="15.75" customHeight="1">
      <c r="A3958" s="1" t="s">
        <v>3995</v>
      </c>
      <c r="B3958" s="1" t="s">
        <v>24</v>
      </c>
      <c r="C3958" s="1">
        <v>0.0</v>
      </c>
      <c r="D3958" s="1" t="s">
        <v>25</v>
      </c>
      <c r="E3958" s="1" t="s">
        <v>26</v>
      </c>
      <c r="F3958" s="1">
        <v>6.0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1">
        <v>105.3</v>
      </c>
      <c r="T3958" s="1">
        <v>545.2</v>
      </c>
      <c r="U3958" s="1">
        <v>0.0</v>
      </c>
      <c r="V3958" s="1">
        <v>0.0</v>
      </c>
      <c r="W3958" s="1" t="s">
        <v>25</v>
      </c>
    </row>
    <row r="3959" ht="15.75" customHeight="1">
      <c r="A3959" s="1" t="s">
        <v>3996</v>
      </c>
      <c r="B3959" s="1" t="s">
        <v>32</v>
      </c>
      <c r="C3959" s="1">
        <v>0.0</v>
      </c>
      <c r="D3959" s="1" t="s">
        <v>25</v>
      </c>
      <c r="E3959" s="1" t="s">
        <v>26</v>
      </c>
      <c r="F3959" s="1">
        <v>63.0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1">
        <v>102.6</v>
      </c>
      <c r="T3959" s="1">
        <v>6296.75</v>
      </c>
      <c r="U3959" s="1">
        <v>0.0</v>
      </c>
      <c r="V3959" s="1">
        <v>0.0</v>
      </c>
      <c r="W3959" s="1" t="s">
        <v>26</v>
      </c>
    </row>
    <row r="3960" ht="15.75" customHeight="1">
      <c r="A3960" s="1" t="s">
        <v>3997</v>
      </c>
      <c r="B3960" s="1" t="s">
        <v>32</v>
      </c>
      <c r="C3960" s="1">
        <v>0.0</v>
      </c>
      <c r="D3960" s="1" t="s">
        <v>25</v>
      </c>
      <c r="E3960" s="1" t="s">
        <v>26</v>
      </c>
      <c r="F3960" s="1">
        <v>16.0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1">
        <v>73.85</v>
      </c>
      <c r="T3960" s="1">
        <v>1284.2</v>
      </c>
      <c r="U3960" s="1">
        <v>0.0</v>
      </c>
      <c r="V3960" s="1">
        <v>1.0</v>
      </c>
      <c r="W3960" s="1" t="s">
        <v>25</v>
      </c>
    </row>
    <row r="3961" ht="15.75" customHeight="1">
      <c r="A3961" s="1" t="s">
        <v>3998</v>
      </c>
      <c r="B3961" s="1" t="s">
        <v>32</v>
      </c>
      <c r="C3961" s="1">
        <v>0.0</v>
      </c>
      <c r="D3961" s="1" t="s">
        <v>26</v>
      </c>
      <c r="E3961" s="1" t="s">
        <v>26</v>
      </c>
      <c r="F3961" s="1">
        <v>59.0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1">
        <v>61.35</v>
      </c>
      <c r="T3961" s="1">
        <v>3645.5</v>
      </c>
      <c r="U3961" s="1">
        <v>0.0</v>
      </c>
      <c r="V3961" s="1">
        <v>0.0</v>
      </c>
      <c r="W3961" s="1" t="s">
        <v>26</v>
      </c>
    </row>
    <row r="3962" ht="15.75" customHeight="1">
      <c r="A3962" s="1" t="s">
        <v>3999</v>
      </c>
      <c r="B3962" s="1" t="s">
        <v>24</v>
      </c>
      <c r="C3962" s="1">
        <v>0.0</v>
      </c>
      <c r="D3962" s="1" t="s">
        <v>26</v>
      </c>
      <c r="E3962" s="1" t="s">
        <v>26</v>
      </c>
      <c r="F3962" s="1">
        <v>3.0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1">
        <v>57.55</v>
      </c>
      <c r="T3962" s="1">
        <v>161.45</v>
      </c>
      <c r="U3962" s="1">
        <v>1.0</v>
      </c>
      <c r="V3962" s="1">
        <v>0.0</v>
      </c>
      <c r="W3962" s="1" t="s">
        <v>26</v>
      </c>
    </row>
    <row r="3963" ht="15.75" customHeight="1">
      <c r="A3963" s="1" t="s">
        <v>4000</v>
      </c>
      <c r="B3963" s="1" t="s">
        <v>24</v>
      </c>
      <c r="C3963" s="1">
        <v>0.0</v>
      </c>
      <c r="D3963" s="1" t="s">
        <v>26</v>
      </c>
      <c r="E3963" s="1" t="s">
        <v>26</v>
      </c>
      <c r="F3963" s="1">
        <v>8.0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1">
        <v>29.25</v>
      </c>
      <c r="T3963" s="1">
        <v>226.95</v>
      </c>
      <c r="U3963" s="1">
        <v>0.0</v>
      </c>
      <c r="V3963" s="1">
        <v>0.0</v>
      </c>
      <c r="W3963" s="1" t="s">
        <v>26</v>
      </c>
    </row>
    <row r="3964" ht="15.75" customHeight="1">
      <c r="A3964" s="1" t="s">
        <v>4001</v>
      </c>
      <c r="B3964" s="1" t="s">
        <v>24</v>
      </c>
      <c r="C3964" s="1">
        <v>1.0</v>
      </c>
      <c r="D3964" s="1" t="s">
        <v>25</v>
      </c>
      <c r="E3964" s="1" t="s">
        <v>26</v>
      </c>
      <c r="F3964" s="1">
        <v>7.0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1">
        <v>84.55</v>
      </c>
      <c r="T3964" s="1">
        <v>646.85</v>
      </c>
      <c r="U3964" s="1">
        <v>0.0</v>
      </c>
      <c r="V3964" s="1">
        <v>0.0</v>
      </c>
      <c r="W3964" s="1" t="s">
        <v>25</v>
      </c>
    </row>
    <row r="3965" ht="15.75" customHeight="1">
      <c r="A3965" s="1" t="s">
        <v>4002</v>
      </c>
      <c r="B3965" s="1" t="s">
        <v>24</v>
      </c>
      <c r="C3965" s="1">
        <v>0.0</v>
      </c>
      <c r="D3965" s="1" t="s">
        <v>26</v>
      </c>
      <c r="E3965" s="1" t="s">
        <v>26</v>
      </c>
      <c r="F3965" s="1">
        <v>68.0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1">
        <v>19.6</v>
      </c>
      <c r="T3965" s="1">
        <v>1441.65</v>
      </c>
      <c r="U3965" s="1">
        <v>0.0</v>
      </c>
      <c r="V3965" s="1">
        <v>0.0</v>
      </c>
      <c r="W3965" s="1" t="s">
        <v>26</v>
      </c>
    </row>
    <row r="3966" ht="15.75" customHeight="1">
      <c r="A3966" s="1" t="s">
        <v>4003</v>
      </c>
      <c r="B3966" s="1" t="s">
        <v>24</v>
      </c>
      <c r="C3966" s="1">
        <v>0.0</v>
      </c>
      <c r="D3966" s="1" t="s">
        <v>25</v>
      </c>
      <c r="E3966" s="1" t="s">
        <v>25</v>
      </c>
      <c r="F3966" s="1">
        <v>68.0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1">
        <v>111.75</v>
      </c>
      <c r="T3966" s="1">
        <v>7511.3</v>
      </c>
      <c r="U3966" s="1">
        <v>0.0</v>
      </c>
      <c r="V3966" s="1">
        <v>0.0</v>
      </c>
      <c r="W3966" s="1" t="s">
        <v>26</v>
      </c>
    </row>
    <row r="3967" ht="15.75" customHeight="1">
      <c r="A3967" s="1" t="s">
        <v>4004</v>
      </c>
      <c r="B3967" s="1" t="s">
        <v>24</v>
      </c>
      <c r="C3967" s="1">
        <v>1.0</v>
      </c>
      <c r="D3967" s="1" t="s">
        <v>25</v>
      </c>
      <c r="E3967" s="1" t="s">
        <v>26</v>
      </c>
      <c r="F3967" s="1">
        <v>52.0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1">
        <v>106.5</v>
      </c>
      <c r="T3967" s="1">
        <v>5621.85</v>
      </c>
      <c r="U3967" s="1">
        <v>4.0</v>
      </c>
      <c r="V3967" s="1">
        <v>0.0</v>
      </c>
      <c r="W3967" s="1" t="s">
        <v>26</v>
      </c>
    </row>
    <row r="3968" ht="15.75" customHeight="1">
      <c r="A3968" s="1" t="s">
        <v>4005</v>
      </c>
      <c r="B3968" s="1" t="s">
        <v>32</v>
      </c>
      <c r="C3968" s="1">
        <v>0.0</v>
      </c>
      <c r="D3968" s="1" t="s">
        <v>25</v>
      </c>
      <c r="E3968" s="1" t="s">
        <v>25</v>
      </c>
      <c r="F3968" s="1">
        <v>72.0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1">
        <v>107.7</v>
      </c>
      <c r="T3968" s="1">
        <v>7919.8</v>
      </c>
      <c r="U3968" s="1">
        <v>0.0</v>
      </c>
      <c r="V3968" s="1">
        <v>0.0</v>
      </c>
      <c r="W3968" s="1" t="s">
        <v>26</v>
      </c>
    </row>
    <row r="3969" ht="15.75" customHeight="1">
      <c r="A3969" s="1" t="s">
        <v>4006</v>
      </c>
      <c r="B3969" s="1" t="s">
        <v>24</v>
      </c>
      <c r="C3969" s="1">
        <v>0.0</v>
      </c>
      <c r="D3969" s="1" t="s">
        <v>25</v>
      </c>
      <c r="E3969" s="1" t="s">
        <v>26</v>
      </c>
      <c r="F3969" s="1">
        <v>32.0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1">
        <v>19.3</v>
      </c>
      <c r="T3969" s="1">
        <v>593.2</v>
      </c>
      <c r="U3969" s="1">
        <v>1.0</v>
      </c>
      <c r="V3969" s="1">
        <v>0.0</v>
      </c>
      <c r="W3969" s="1" t="s">
        <v>26</v>
      </c>
    </row>
    <row r="3970" ht="15.75" customHeight="1">
      <c r="A3970" s="1" t="s">
        <v>4007</v>
      </c>
      <c r="B3970" s="1" t="s">
        <v>24</v>
      </c>
      <c r="C3970" s="1">
        <v>0.0</v>
      </c>
      <c r="D3970" s="1" t="s">
        <v>25</v>
      </c>
      <c r="E3970" s="1" t="s">
        <v>26</v>
      </c>
      <c r="F3970" s="1">
        <v>72.0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1">
        <v>20.05</v>
      </c>
      <c r="T3970" s="1">
        <v>1423.65</v>
      </c>
      <c r="U3970" s="1">
        <v>1.0</v>
      </c>
      <c r="V3970" s="1">
        <v>0.0</v>
      </c>
      <c r="W3970" s="1" t="s">
        <v>26</v>
      </c>
    </row>
    <row r="3971" ht="15.75" customHeight="1">
      <c r="A3971" s="1" t="s">
        <v>4008</v>
      </c>
      <c r="B3971" s="1" t="s">
        <v>32</v>
      </c>
      <c r="C3971" s="1">
        <v>0.0</v>
      </c>
      <c r="D3971" s="1" t="s">
        <v>25</v>
      </c>
      <c r="E3971" s="1" t="s">
        <v>25</v>
      </c>
      <c r="F3971" s="1">
        <v>1.0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1">
        <v>69.95</v>
      </c>
      <c r="T3971" s="1">
        <v>69.95</v>
      </c>
      <c r="U3971" s="1">
        <v>0.0</v>
      </c>
      <c r="V3971" s="1">
        <v>0.0</v>
      </c>
      <c r="W3971" s="1" t="s">
        <v>26</v>
      </c>
    </row>
    <row r="3972" ht="15.75" customHeight="1">
      <c r="A3972" s="1" t="s">
        <v>4009</v>
      </c>
      <c r="B3972" s="1" t="s">
        <v>32</v>
      </c>
      <c r="C3972" s="1">
        <v>0.0</v>
      </c>
      <c r="D3972" s="1" t="s">
        <v>25</v>
      </c>
      <c r="E3972" s="1" t="s">
        <v>25</v>
      </c>
      <c r="F3972" s="1">
        <v>42.0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1">
        <v>63.7</v>
      </c>
      <c r="T3972" s="1">
        <v>2763.35</v>
      </c>
      <c r="U3972" s="1">
        <v>0.0</v>
      </c>
      <c r="V3972" s="1">
        <v>0.0</v>
      </c>
      <c r="W3972" s="1" t="s">
        <v>26</v>
      </c>
    </row>
    <row r="3973" ht="15.75" customHeight="1">
      <c r="A3973" s="1" t="s">
        <v>4010</v>
      </c>
      <c r="B3973" s="1" t="s">
        <v>24</v>
      </c>
      <c r="C3973" s="1">
        <v>0.0</v>
      </c>
      <c r="D3973" s="1" t="s">
        <v>26</v>
      </c>
      <c r="E3973" s="1" t="s">
        <v>26</v>
      </c>
      <c r="F3973" s="1">
        <v>25.0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1">
        <v>24.75</v>
      </c>
      <c r="T3973" s="1">
        <v>692.1</v>
      </c>
      <c r="U3973" s="1">
        <v>3.0</v>
      </c>
      <c r="V3973" s="1">
        <v>0.0</v>
      </c>
      <c r="W3973" s="1" t="s">
        <v>25</v>
      </c>
    </row>
    <row r="3974" ht="15.75" customHeight="1">
      <c r="A3974" s="1" t="s">
        <v>4011</v>
      </c>
      <c r="B3974" s="1" t="s">
        <v>32</v>
      </c>
      <c r="C3974" s="1">
        <v>0.0</v>
      </c>
      <c r="D3974" s="1" t="s">
        <v>26</v>
      </c>
      <c r="E3974" s="1" t="s">
        <v>26</v>
      </c>
      <c r="F3974" s="1">
        <v>45.0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1">
        <v>50.9</v>
      </c>
      <c r="T3974" s="1">
        <v>2298.55</v>
      </c>
      <c r="U3974" s="1">
        <v>3.0</v>
      </c>
      <c r="V3974" s="1">
        <v>1.0</v>
      </c>
      <c r="W3974" s="1" t="s">
        <v>26</v>
      </c>
    </row>
    <row r="3975" ht="15.75" customHeight="1">
      <c r="A3975" s="1" t="s">
        <v>4012</v>
      </c>
      <c r="B3975" s="1" t="s">
        <v>24</v>
      </c>
      <c r="C3975" s="1">
        <v>0.0</v>
      </c>
      <c r="D3975" s="1" t="s">
        <v>25</v>
      </c>
      <c r="E3975" s="1" t="s">
        <v>25</v>
      </c>
      <c r="F3975" s="1">
        <v>43.0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1">
        <v>60.4</v>
      </c>
      <c r="T3975" s="1">
        <v>2640.55</v>
      </c>
      <c r="U3975" s="1">
        <v>0.0</v>
      </c>
      <c r="V3975" s="1">
        <v>3.0</v>
      </c>
      <c r="W3975" s="1" t="s">
        <v>26</v>
      </c>
    </row>
    <row r="3976" ht="15.75" customHeight="1">
      <c r="A3976" s="1" t="s">
        <v>4013</v>
      </c>
      <c r="B3976" s="1" t="s">
        <v>32</v>
      </c>
      <c r="C3976" s="1">
        <v>0.0</v>
      </c>
      <c r="D3976" s="1" t="s">
        <v>25</v>
      </c>
      <c r="E3976" s="1" t="s">
        <v>26</v>
      </c>
      <c r="F3976" s="1">
        <v>37.0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1">
        <v>79.25</v>
      </c>
      <c r="T3976" s="1">
        <v>2911.8</v>
      </c>
      <c r="U3976" s="1">
        <v>0.0</v>
      </c>
      <c r="V3976" s="1">
        <v>0.0</v>
      </c>
      <c r="W3976" s="1" t="s">
        <v>26</v>
      </c>
    </row>
    <row r="3977" ht="15.75" customHeight="1">
      <c r="A3977" s="1" t="s">
        <v>4014</v>
      </c>
      <c r="B3977" s="1" t="s">
        <v>24</v>
      </c>
      <c r="C3977" s="1">
        <v>1.0</v>
      </c>
      <c r="D3977" s="1" t="s">
        <v>26</v>
      </c>
      <c r="E3977" s="1" t="s">
        <v>26</v>
      </c>
      <c r="F3977" s="1">
        <v>20.0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1">
        <v>85.8</v>
      </c>
      <c r="T3977" s="1">
        <v>1727.5</v>
      </c>
      <c r="U3977" s="1">
        <v>0.0</v>
      </c>
      <c r="V3977" s="1">
        <v>0.0</v>
      </c>
      <c r="W3977" s="1" t="s">
        <v>25</v>
      </c>
    </row>
    <row r="3978" ht="15.75" customHeight="1">
      <c r="A3978" s="1" t="s">
        <v>4015</v>
      </c>
      <c r="B3978" s="1" t="s">
        <v>24</v>
      </c>
      <c r="C3978" s="1">
        <v>0.0</v>
      </c>
      <c r="D3978" s="1" t="s">
        <v>26</v>
      </c>
      <c r="E3978" s="1" t="s">
        <v>26</v>
      </c>
      <c r="F3978" s="1">
        <v>4.0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1">
        <v>24.45</v>
      </c>
      <c r="T3978" s="1">
        <v>86.6</v>
      </c>
      <c r="U3978" s="1">
        <v>0.0</v>
      </c>
      <c r="V3978" s="1">
        <v>0.0</v>
      </c>
      <c r="W3978" s="1" t="s">
        <v>25</v>
      </c>
    </row>
    <row r="3979" ht="15.75" customHeight="1">
      <c r="A3979" s="1" t="s">
        <v>4016</v>
      </c>
      <c r="B3979" s="1" t="s">
        <v>32</v>
      </c>
      <c r="C3979" s="1">
        <v>0.0</v>
      </c>
      <c r="D3979" s="1" t="s">
        <v>25</v>
      </c>
      <c r="E3979" s="1" t="s">
        <v>26</v>
      </c>
      <c r="F3979" s="1">
        <v>63.0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1">
        <v>110.1</v>
      </c>
      <c r="T3979" s="1">
        <v>6705.7</v>
      </c>
      <c r="U3979" s="1">
        <v>0.0</v>
      </c>
      <c r="V3979" s="1">
        <v>0.0</v>
      </c>
      <c r="W3979" s="1" t="s">
        <v>26</v>
      </c>
    </row>
    <row r="3980" ht="15.75" customHeight="1">
      <c r="A3980" s="1" t="s">
        <v>4017</v>
      </c>
      <c r="B3980" s="1" t="s">
        <v>32</v>
      </c>
      <c r="C3980" s="1">
        <v>0.0</v>
      </c>
      <c r="D3980" s="1" t="s">
        <v>26</v>
      </c>
      <c r="E3980" s="1" t="s">
        <v>26</v>
      </c>
      <c r="F3980" s="1">
        <v>3.0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1">
        <v>90.7</v>
      </c>
      <c r="T3980" s="1">
        <v>237.65</v>
      </c>
      <c r="U3980" s="1">
        <v>0.0</v>
      </c>
      <c r="V3980" s="1">
        <v>0.0</v>
      </c>
      <c r="W3980" s="1" t="s">
        <v>26</v>
      </c>
    </row>
    <row r="3981" ht="15.75" customHeight="1">
      <c r="A3981" s="1" t="s">
        <v>4018</v>
      </c>
      <c r="B3981" s="1" t="s">
        <v>32</v>
      </c>
      <c r="C3981" s="1">
        <v>0.0</v>
      </c>
      <c r="D3981" s="1" t="s">
        <v>25</v>
      </c>
      <c r="E3981" s="1" t="s">
        <v>25</v>
      </c>
      <c r="F3981" s="1">
        <v>66.0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1">
        <v>25.3</v>
      </c>
      <c r="T3981" s="1">
        <v>1672.35</v>
      </c>
      <c r="U3981" s="1">
        <v>0.0</v>
      </c>
      <c r="V3981" s="1">
        <v>0.0</v>
      </c>
      <c r="W3981" s="1" t="s">
        <v>26</v>
      </c>
    </row>
    <row r="3982" ht="15.75" customHeight="1">
      <c r="A3982" s="1" t="s">
        <v>4019</v>
      </c>
      <c r="B3982" s="1" t="s">
        <v>32</v>
      </c>
      <c r="C3982" s="1">
        <v>0.0</v>
      </c>
      <c r="D3982" s="1" t="s">
        <v>26</v>
      </c>
      <c r="E3982" s="1" t="s">
        <v>26</v>
      </c>
      <c r="F3982" s="1">
        <v>28.0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1">
        <v>105.7</v>
      </c>
      <c r="T3982" s="1">
        <v>2979.5</v>
      </c>
      <c r="U3982" s="1">
        <v>3.0</v>
      </c>
      <c r="V3982" s="1">
        <v>2.0</v>
      </c>
      <c r="W3982" s="1" t="s">
        <v>25</v>
      </c>
    </row>
    <row r="3983" ht="15.75" customHeight="1">
      <c r="A3983" s="1" t="s">
        <v>4020</v>
      </c>
      <c r="B3983" s="1" t="s">
        <v>24</v>
      </c>
      <c r="C3983" s="1">
        <v>1.0</v>
      </c>
      <c r="D3983" s="1" t="s">
        <v>26</v>
      </c>
      <c r="E3983" s="1" t="s">
        <v>26</v>
      </c>
      <c r="F3983" s="1">
        <v>8.0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1">
        <v>85.2</v>
      </c>
      <c r="T3983" s="1">
        <v>695.75</v>
      </c>
      <c r="U3983" s="1">
        <v>0.0</v>
      </c>
      <c r="V3983" s="1">
        <v>0.0</v>
      </c>
      <c r="W3983" s="1" t="s">
        <v>26</v>
      </c>
    </row>
    <row r="3984" ht="15.75" customHeight="1">
      <c r="A3984" s="1" t="s">
        <v>4021</v>
      </c>
      <c r="B3984" s="1" t="s">
        <v>32</v>
      </c>
      <c r="C3984" s="1">
        <v>0.0</v>
      </c>
      <c r="D3984" s="1" t="s">
        <v>26</v>
      </c>
      <c r="E3984" s="1" t="s">
        <v>25</v>
      </c>
      <c r="F3984" s="1">
        <v>71.0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1">
        <v>24.35</v>
      </c>
      <c r="T3984" s="1">
        <v>1654.6</v>
      </c>
      <c r="U3984" s="1">
        <v>0.0</v>
      </c>
      <c r="V3984" s="1">
        <v>0.0</v>
      </c>
      <c r="W3984" s="1" t="s">
        <v>26</v>
      </c>
    </row>
    <row r="3985" ht="15.75" customHeight="1">
      <c r="A3985" s="1" t="s">
        <v>4022</v>
      </c>
      <c r="B3985" s="1" t="s">
        <v>32</v>
      </c>
      <c r="C3985" s="1">
        <v>0.0</v>
      </c>
      <c r="D3985" s="1" t="s">
        <v>26</v>
      </c>
      <c r="E3985" s="1" t="s">
        <v>26</v>
      </c>
      <c r="F3985" s="1">
        <v>1.0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1">
        <v>24.25</v>
      </c>
      <c r="T3985" s="1">
        <v>24.25</v>
      </c>
      <c r="U3985" s="1">
        <v>1.0</v>
      </c>
      <c r="V3985" s="1">
        <v>0.0</v>
      </c>
      <c r="W3985" s="1" t="s">
        <v>25</v>
      </c>
    </row>
    <row r="3986" ht="15.75" customHeight="1">
      <c r="A3986" s="1" t="s">
        <v>4023</v>
      </c>
      <c r="B3986" s="1" t="s">
        <v>24</v>
      </c>
      <c r="C3986" s="1">
        <v>0.0</v>
      </c>
      <c r="D3986" s="1" t="s">
        <v>25</v>
      </c>
      <c r="E3986" s="1" t="s">
        <v>25</v>
      </c>
      <c r="F3986" s="1">
        <v>72.0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1">
        <v>25.1</v>
      </c>
      <c r="T3986" s="1">
        <v>1857.85</v>
      </c>
      <c r="U3986" s="1">
        <v>4.0</v>
      </c>
      <c r="V3986" s="1">
        <v>0.0</v>
      </c>
      <c r="W3986" s="1" t="s">
        <v>26</v>
      </c>
    </row>
    <row r="3987" ht="15.75" customHeight="1">
      <c r="A3987" s="1" t="s">
        <v>4024</v>
      </c>
      <c r="B3987" s="1" t="s">
        <v>32</v>
      </c>
      <c r="C3987" s="1">
        <v>1.0</v>
      </c>
      <c r="D3987" s="1" t="s">
        <v>25</v>
      </c>
      <c r="E3987" s="1" t="s">
        <v>26</v>
      </c>
      <c r="F3987" s="1">
        <v>16.0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1">
        <v>54.55</v>
      </c>
      <c r="T3987" s="1">
        <v>825.1</v>
      </c>
      <c r="U3987" s="1">
        <v>0.0</v>
      </c>
      <c r="V3987" s="1">
        <v>0.0</v>
      </c>
      <c r="W3987" s="1" t="s">
        <v>26</v>
      </c>
    </row>
    <row r="3988" ht="15.75" customHeight="1">
      <c r="A3988" s="1" t="s">
        <v>4025</v>
      </c>
      <c r="B3988" s="1" t="s">
        <v>32</v>
      </c>
      <c r="C3988" s="1">
        <v>0.0</v>
      </c>
      <c r="D3988" s="1" t="s">
        <v>25</v>
      </c>
      <c r="E3988" s="1" t="s">
        <v>26</v>
      </c>
      <c r="F3988" s="1">
        <v>66.0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1">
        <v>96.6</v>
      </c>
      <c r="T3988" s="1">
        <v>6424.25</v>
      </c>
      <c r="U3988" s="1">
        <v>0.0</v>
      </c>
      <c r="V3988" s="1">
        <v>0.0</v>
      </c>
      <c r="W3988" s="1" t="s">
        <v>26</v>
      </c>
    </row>
    <row r="3989" ht="15.75" customHeight="1">
      <c r="A3989" s="1" t="s">
        <v>4026</v>
      </c>
      <c r="B3989" s="1" t="s">
        <v>24</v>
      </c>
      <c r="C3989" s="1">
        <v>0.0</v>
      </c>
      <c r="D3989" s="1" t="s">
        <v>26</v>
      </c>
      <c r="E3989" s="1" t="s">
        <v>26</v>
      </c>
      <c r="F3989" s="1">
        <v>11.0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1">
        <v>76.5</v>
      </c>
      <c r="T3989" s="1">
        <v>837.95</v>
      </c>
      <c r="U3989" s="1">
        <v>0.0</v>
      </c>
      <c r="V3989" s="1">
        <v>0.0</v>
      </c>
      <c r="W3989" s="1" t="s">
        <v>25</v>
      </c>
    </row>
    <row r="3990" ht="15.75" customHeight="1">
      <c r="A3990" s="1" t="s">
        <v>4027</v>
      </c>
      <c r="B3990" s="1" t="s">
        <v>32</v>
      </c>
      <c r="C3990" s="1">
        <v>0.0</v>
      </c>
      <c r="D3990" s="1" t="s">
        <v>26</v>
      </c>
      <c r="E3990" s="1" t="s">
        <v>26</v>
      </c>
      <c r="F3990" s="1">
        <v>51.0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1">
        <v>81.15</v>
      </c>
      <c r="T3990" s="1">
        <v>4126.2</v>
      </c>
      <c r="U3990" s="1">
        <v>0.0</v>
      </c>
      <c r="V3990" s="1">
        <v>0.0</v>
      </c>
      <c r="W3990" s="1" t="s">
        <v>26</v>
      </c>
    </row>
    <row r="3991" ht="15.75" customHeight="1">
      <c r="A3991" s="1" t="s">
        <v>4028</v>
      </c>
      <c r="B3991" s="1" t="s">
        <v>24</v>
      </c>
      <c r="C3991" s="1">
        <v>0.0</v>
      </c>
      <c r="D3991" s="1" t="s">
        <v>26</v>
      </c>
      <c r="E3991" s="1" t="s">
        <v>25</v>
      </c>
      <c r="F3991" s="1">
        <v>8.0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1">
        <v>38.5</v>
      </c>
      <c r="T3991" s="1">
        <v>330.8</v>
      </c>
      <c r="U3991" s="1">
        <v>0.0</v>
      </c>
      <c r="V3991" s="1">
        <v>0.0</v>
      </c>
      <c r="W3991" s="1" t="s">
        <v>26</v>
      </c>
    </row>
    <row r="3992" ht="15.75" customHeight="1">
      <c r="A3992" s="1" t="s">
        <v>4029</v>
      </c>
      <c r="B3992" s="1" t="s">
        <v>32</v>
      </c>
      <c r="C3992" s="1">
        <v>0.0</v>
      </c>
      <c r="D3992" s="1" t="s">
        <v>26</v>
      </c>
      <c r="E3992" s="1" t="s">
        <v>26</v>
      </c>
      <c r="F3992" s="1">
        <v>14.0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1">
        <v>92.9</v>
      </c>
      <c r="T3992" s="1">
        <v>1337.45</v>
      </c>
      <c r="U3992" s="1">
        <v>3.0</v>
      </c>
      <c r="V3992" s="1">
        <v>0.0</v>
      </c>
      <c r="W3992" s="1" t="s">
        <v>26</v>
      </c>
    </row>
    <row r="3993" ht="15.75" customHeight="1">
      <c r="A3993" s="1" t="s">
        <v>4030</v>
      </c>
      <c r="B3993" s="1" t="s">
        <v>24</v>
      </c>
      <c r="C3993" s="1">
        <v>0.0</v>
      </c>
      <c r="D3993" s="1" t="s">
        <v>26</v>
      </c>
      <c r="E3993" s="1" t="s">
        <v>26</v>
      </c>
      <c r="F3993" s="1">
        <v>4.0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1">
        <v>93.5</v>
      </c>
      <c r="T3993" s="1">
        <v>362.2</v>
      </c>
      <c r="U3993" s="1">
        <v>3.0</v>
      </c>
      <c r="V3993" s="1">
        <v>0.0</v>
      </c>
      <c r="W3993" s="1" t="s">
        <v>25</v>
      </c>
    </row>
    <row r="3994" ht="15.75" customHeight="1">
      <c r="A3994" s="1" t="s">
        <v>4031</v>
      </c>
      <c r="B3994" s="1" t="s">
        <v>24</v>
      </c>
      <c r="C3994" s="1">
        <v>0.0</v>
      </c>
      <c r="D3994" s="1" t="s">
        <v>26</v>
      </c>
      <c r="E3994" s="1" t="s">
        <v>26</v>
      </c>
      <c r="F3994" s="1">
        <v>70.0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1">
        <v>84.7</v>
      </c>
      <c r="T3994" s="1">
        <v>5991.05</v>
      </c>
      <c r="U3994" s="1">
        <v>0.0</v>
      </c>
      <c r="V3994" s="1">
        <v>0.0</v>
      </c>
      <c r="W3994" s="1" t="s">
        <v>26</v>
      </c>
    </row>
    <row r="3995" ht="15.75" customHeight="1">
      <c r="A3995" s="1" t="s">
        <v>4032</v>
      </c>
      <c r="B3995" s="1" t="s">
        <v>24</v>
      </c>
      <c r="C3995" s="1">
        <v>0.0</v>
      </c>
      <c r="D3995" s="1" t="s">
        <v>26</v>
      </c>
      <c r="E3995" s="1" t="s">
        <v>25</v>
      </c>
      <c r="F3995" s="1">
        <v>70.0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1">
        <v>66.0</v>
      </c>
      <c r="T3995" s="1">
        <v>4891.5</v>
      </c>
      <c r="U3995" s="1">
        <v>0.0</v>
      </c>
      <c r="V3995" s="1">
        <v>0.0</v>
      </c>
      <c r="W3995" s="1" t="s">
        <v>26</v>
      </c>
    </row>
    <row r="3996" ht="15.75" customHeight="1">
      <c r="A3996" s="1" t="s">
        <v>4033</v>
      </c>
      <c r="B3996" s="1" t="s">
        <v>24</v>
      </c>
      <c r="C3996" s="1">
        <v>1.0</v>
      </c>
      <c r="D3996" s="1" t="s">
        <v>25</v>
      </c>
      <c r="E3996" s="1" t="s">
        <v>26</v>
      </c>
      <c r="F3996" s="1">
        <v>54.0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1">
        <v>101.5</v>
      </c>
      <c r="T3996" s="1">
        <v>5373.1</v>
      </c>
      <c r="U3996" s="1">
        <v>0.0</v>
      </c>
      <c r="V3996" s="1">
        <v>5.0</v>
      </c>
      <c r="W3996" s="1" t="s">
        <v>25</v>
      </c>
    </row>
    <row r="3997" ht="15.75" customHeight="1">
      <c r="A3997" s="1" t="s">
        <v>4034</v>
      </c>
      <c r="B3997" s="1" t="s">
        <v>32</v>
      </c>
      <c r="C3997" s="1">
        <v>0.0</v>
      </c>
      <c r="D3997" s="1" t="s">
        <v>26</v>
      </c>
      <c r="E3997" s="1" t="s">
        <v>25</v>
      </c>
      <c r="F3997" s="1">
        <v>28.0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1">
        <v>74.9</v>
      </c>
      <c r="T3997" s="1">
        <v>2068.55</v>
      </c>
      <c r="U3997" s="1">
        <v>0.0</v>
      </c>
      <c r="V3997" s="1">
        <v>0.0</v>
      </c>
      <c r="W3997" s="1" t="s">
        <v>25</v>
      </c>
    </row>
    <row r="3998" ht="15.75" customHeight="1">
      <c r="A3998" s="1" t="s">
        <v>4035</v>
      </c>
      <c r="B3998" s="1" t="s">
        <v>32</v>
      </c>
      <c r="C3998" s="1">
        <v>0.0</v>
      </c>
      <c r="D3998" s="1" t="s">
        <v>26</v>
      </c>
      <c r="E3998" s="1" t="s">
        <v>26</v>
      </c>
      <c r="F3998" s="1">
        <v>24.0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1">
        <v>20.75</v>
      </c>
      <c r="T3998" s="1">
        <v>487.05</v>
      </c>
      <c r="U3998" s="1">
        <v>0.0</v>
      </c>
      <c r="V3998" s="1">
        <v>0.0</v>
      </c>
      <c r="W3998" s="1" t="s">
        <v>26</v>
      </c>
    </row>
    <row r="3999" ht="15.75" customHeight="1">
      <c r="A3999" s="1" t="s">
        <v>4036</v>
      </c>
      <c r="B3999" s="1" t="s">
        <v>24</v>
      </c>
      <c r="C3999" s="1">
        <v>0.0</v>
      </c>
      <c r="D3999" s="1" t="s">
        <v>25</v>
      </c>
      <c r="E3999" s="1" t="s">
        <v>26</v>
      </c>
      <c r="F3999" s="1">
        <v>69.0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1">
        <v>61.45</v>
      </c>
      <c r="T3999" s="1">
        <v>4131.2</v>
      </c>
      <c r="U3999" s="1">
        <v>3.0</v>
      </c>
      <c r="V3999" s="1">
        <v>0.0</v>
      </c>
      <c r="W3999" s="1" t="s">
        <v>26</v>
      </c>
    </row>
    <row r="4000" ht="15.75" customHeight="1">
      <c r="A4000" s="1" t="s">
        <v>4037</v>
      </c>
      <c r="B4000" s="1" t="s">
        <v>32</v>
      </c>
      <c r="C4000" s="1">
        <v>0.0</v>
      </c>
      <c r="D4000" s="1" t="s">
        <v>25</v>
      </c>
      <c r="E4000" s="1" t="s">
        <v>25</v>
      </c>
      <c r="F4000" s="1">
        <v>42.0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1">
        <v>54.5</v>
      </c>
      <c r="T4000" s="1">
        <v>2301.15</v>
      </c>
      <c r="U4000" s="1">
        <v>0.0</v>
      </c>
      <c r="V4000" s="1">
        <v>0.0</v>
      </c>
      <c r="W4000" s="1" t="s">
        <v>26</v>
      </c>
    </row>
    <row r="4001" ht="15.75" customHeight="1">
      <c r="A4001" s="1" t="s">
        <v>4038</v>
      </c>
      <c r="B4001" s="1" t="s">
        <v>24</v>
      </c>
      <c r="C4001" s="1">
        <v>1.0</v>
      </c>
      <c r="D4001" s="1" t="s">
        <v>26</v>
      </c>
      <c r="E4001" s="1" t="s">
        <v>26</v>
      </c>
      <c r="F4001" s="1">
        <v>2.0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1">
        <v>69.6</v>
      </c>
      <c r="T4001" s="1">
        <v>131.65</v>
      </c>
      <c r="U4001" s="1">
        <v>0.0</v>
      </c>
      <c r="V4001" s="1">
        <v>0.0</v>
      </c>
      <c r="W4001" s="1" t="s">
        <v>25</v>
      </c>
    </row>
    <row r="4002" ht="15.75" customHeight="1">
      <c r="A4002" s="1" t="s">
        <v>4039</v>
      </c>
      <c r="B4002" s="1" t="s">
        <v>24</v>
      </c>
      <c r="C4002" s="1">
        <v>1.0</v>
      </c>
      <c r="D4002" s="1" t="s">
        <v>26</v>
      </c>
      <c r="E4002" s="1" t="s">
        <v>26</v>
      </c>
      <c r="F4002" s="1">
        <v>39.0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1">
        <v>99.75</v>
      </c>
      <c r="T4002" s="1">
        <v>4036.0</v>
      </c>
      <c r="U4002" s="1">
        <v>0.0</v>
      </c>
      <c r="V4002" s="1">
        <v>0.0</v>
      </c>
      <c r="W4002" s="1" t="s">
        <v>26</v>
      </c>
    </row>
    <row r="4003" ht="15.75" customHeight="1">
      <c r="A4003" s="1" t="s">
        <v>4040</v>
      </c>
      <c r="B4003" s="1" t="s">
        <v>32</v>
      </c>
      <c r="C4003" s="1">
        <v>0.0</v>
      </c>
      <c r="D4003" s="1" t="s">
        <v>25</v>
      </c>
      <c r="E4003" s="1" t="s">
        <v>25</v>
      </c>
      <c r="F4003" s="1">
        <v>45.0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1">
        <v>109.75</v>
      </c>
      <c r="T4003" s="1">
        <v>4900.65</v>
      </c>
      <c r="U4003" s="1">
        <v>0.0</v>
      </c>
      <c r="V4003" s="1">
        <v>0.0</v>
      </c>
      <c r="W4003" s="1" t="s">
        <v>26</v>
      </c>
    </row>
    <row r="4004" ht="15.75" customHeight="1">
      <c r="A4004" s="1" t="s">
        <v>4041</v>
      </c>
      <c r="B4004" s="1" t="s">
        <v>32</v>
      </c>
      <c r="C4004" s="1">
        <v>0.0</v>
      </c>
      <c r="D4004" s="1" t="s">
        <v>25</v>
      </c>
      <c r="E4004" s="1" t="s">
        <v>25</v>
      </c>
      <c r="F4004" s="1">
        <v>72.0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1">
        <v>80.85</v>
      </c>
      <c r="T4004" s="1">
        <v>5727.45</v>
      </c>
      <c r="U4004" s="1">
        <v>0.0</v>
      </c>
      <c r="V4004" s="1">
        <v>3.0</v>
      </c>
      <c r="W4004" s="1" t="s">
        <v>26</v>
      </c>
    </row>
    <row r="4005" ht="15.75" customHeight="1">
      <c r="A4005" s="1" t="s">
        <v>4042</v>
      </c>
      <c r="B4005" s="1" t="s">
        <v>24</v>
      </c>
      <c r="C4005" s="1">
        <v>0.0</v>
      </c>
      <c r="D4005" s="1" t="s">
        <v>26</v>
      </c>
      <c r="E4005" s="1" t="s">
        <v>26</v>
      </c>
      <c r="F4005" s="1">
        <v>38.0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1">
        <v>20.3</v>
      </c>
      <c r="T4005" s="1">
        <v>743.05</v>
      </c>
      <c r="U4005" s="1">
        <v>0.0</v>
      </c>
      <c r="V4005" s="1">
        <v>0.0</v>
      </c>
      <c r="W4005" s="1" t="s">
        <v>26</v>
      </c>
    </row>
    <row r="4006" ht="15.75" customHeight="1">
      <c r="A4006" s="1" t="s">
        <v>4043</v>
      </c>
      <c r="B4006" s="1" t="s">
        <v>32</v>
      </c>
      <c r="C4006" s="1">
        <v>0.0</v>
      </c>
      <c r="D4006" s="1" t="s">
        <v>25</v>
      </c>
      <c r="E4006" s="1" t="s">
        <v>26</v>
      </c>
      <c r="F4006" s="1">
        <v>72.0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1">
        <v>67.8</v>
      </c>
      <c r="T4006" s="1">
        <v>4804.65</v>
      </c>
      <c r="U4006" s="1">
        <v>0.0</v>
      </c>
      <c r="V4006" s="1">
        <v>0.0</v>
      </c>
      <c r="W4006" s="1" t="s">
        <v>26</v>
      </c>
    </row>
    <row r="4007" ht="15.75" customHeight="1">
      <c r="A4007" s="1" t="s">
        <v>4044</v>
      </c>
      <c r="B4007" s="1" t="s">
        <v>32</v>
      </c>
      <c r="C4007" s="1">
        <v>0.0</v>
      </c>
      <c r="D4007" s="1" t="s">
        <v>26</v>
      </c>
      <c r="E4007" s="1" t="s">
        <v>26</v>
      </c>
      <c r="F4007" s="1">
        <v>1.0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1">
        <v>24.05</v>
      </c>
      <c r="T4007" s="1">
        <v>24.05</v>
      </c>
      <c r="U4007" s="1">
        <v>0.0</v>
      </c>
      <c r="V4007" s="1">
        <v>0.0</v>
      </c>
      <c r="W4007" s="1" t="s">
        <v>25</v>
      </c>
    </row>
    <row r="4008" ht="15.75" customHeight="1">
      <c r="A4008" s="1" t="s">
        <v>4045</v>
      </c>
      <c r="B4008" s="1" t="s">
        <v>32</v>
      </c>
      <c r="C4008" s="1">
        <v>0.0</v>
      </c>
      <c r="D4008" s="1" t="s">
        <v>25</v>
      </c>
      <c r="E4008" s="1" t="s">
        <v>25</v>
      </c>
      <c r="F4008" s="1">
        <v>72.0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1">
        <v>19.8</v>
      </c>
      <c r="T4008" s="1">
        <v>1414.65</v>
      </c>
      <c r="U4008" s="1">
        <v>5.0</v>
      </c>
      <c r="V4008" s="1">
        <v>0.0</v>
      </c>
      <c r="W4008" s="1" t="s">
        <v>26</v>
      </c>
    </row>
    <row r="4009" ht="15.75" customHeight="1">
      <c r="A4009" s="1" t="s">
        <v>4046</v>
      </c>
      <c r="B4009" s="1" t="s">
        <v>32</v>
      </c>
      <c r="C4009" s="1">
        <v>0.0</v>
      </c>
      <c r="D4009" s="1" t="s">
        <v>25</v>
      </c>
      <c r="E4009" s="1" t="s">
        <v>26</v>
      </c>
      <c r="F4009" s="1">
        <v>55.0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1">
        <v>25.7</v>
      </c>
      <c r="T4009" s="1">
        <v>1443.65</v>
      </c>
      <c r="U4009" s="1">
        <v>2.0</v>
      </c>
      <c r="V4009" s="1">
        <v>0.0</v>
      </c>
      <c r="W4009" s="1" t="s">
        <v>26</v>
      </c>
    </row>
    <row r="4010" ht="15.75" customHeight="1">
      <c r="A4010" s="1" t="s">
        <v>4047</v>
      </c>
      <c r="B4010" s="1" t="s">
        <v>24</v>
      </c>
      <c r="C4010" s="1">
        <v>0.0</v>
      </c>
      <c r="D4010" s="1" t="s">
        <v>25</v>
      </c>
      <c r="E4010" s="1" t="s">
        <v>25</v>
      </c>
      <c r="F4010" s="1">
        <v>51.0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1">
        <v>56.15</v>
      </c>
      <c r="T4010" s="1">
        <v>2898.95</v>
      </c>
      <c r="U4010" s="1">
        <v>2.0</v>
      </c>
      <c r="V4010" s="1">
        <v>0.0</v>
      </c>
      <c r="W4010" s="1" t="s">
        <v>26</v>
      </c>
    </row>
    <row r="4011" ht="15.75" customHeight="1">
      <c r="A4011" s="1" t="s">
        <v>4048</v>
      </c>
      <c r="B4011" s="1" t="s">
        <v>32</v>
      </c>
      <c r="C4011" s="1">
        <v>0.0</v>
      </c>
      <c r="D4011" s="1" t="s">
        <v>26</v>
      </c>
      <c r="E4011" s="1" t="s">
        <v>26</v>
      </c>
      <c r="F4011" s="1">
        <v>63.0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1">
        <v>86.7</v>
      </c>
      <c r="T4011" s="1">
        <v>5309.5</v>
      </c>
      <c r="U4011" s="1">
        <v>0.0</v>
      </c>
      <c r="V4011" s="1">
        <v>0.0</v>
      </c>
      <c r="W4011" s="1" t="s">
        <v>26</v>
      </c>
    </row>
    <row r="4012" ht="15.75" customHeight="1">
      <c r="A4012" s="1" t="s">
        <v>4049</v>
      </c>
      <c r="B4012" s="1" t="s">
        <v>24</v>
      </c>
      <c r="C4012" s="1">
        <v>0.0</v>
      </c>
      <c r="D4012" s="1" t="s">
        <v>26</v>
      </c>
      <c r="E4012" s="1" t="s">
        <v>26</v>
      </c>
      <c r="F4012" s="1">
        <v>1.0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1">
        <v>20.4</v>
      </c>
      <c r="T4012" s="1">
        <v>20.4</v>
      </c>
      <c r="U4012" s="1">
        <v>0.0</v>
      </c>
      <c r="V4012" s="1">
        <v>0.0</v>
      </c>
      <c r="W4012" s="1" t="s">
        <v>26</v>
      </c>
    </row>
    <row r="4013" ht="15.75" customHeight="1">
      <c r="A4013" s="1" t="s">
        <v>4050</v>
      </c>
      <c r="B4013" s="1" t="s">
        <v>24</v>
      </c>
      <c r="C4013" s="1">
        <v>0.0</v>
      </c>
      <c r="D4013" s="1" t="s">
        <v>25</v>
      </c>
      <c r="E4013" s="1" t="s">
        <v>25</v>
      </c>
      <c r="F4013" s="1">
        <v>23.0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1">
        <v>19.65</v>
      </c>
      <c r="T4013" s="1">
        <v>451.55</v>
      </c>
      <c r="U4013" s="1">
        <v>4.0</v>
      </c>
      <c r="V4013" s="1">
        <v>0.0</v>
      </c>
      <c r="W4013" s="1" t="s">
        <v>26</v>
      </c>
    </row>
    <row r="4014" ht="15.75" customHeight="1">
      <c r="A4014" s="1" t="s">
        <v>4051</v>
      </c>
      <c r="B4014" s="1" t="s">
        <v>24</v>
      </c>
      <c r="C4014" s="1">
        <v>0.0</v>
      </c>
      <c r="D4014" s="1" t="s">
        <v>26</v>
      </c>
      <c r="E4014" s="1" t="s">
        <v>26</v>
      </c>
      <c r="F4014" s="1">
        <v>1.0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1">
        <v>50.55</v>
      </c>
      <c r="T4014" s="1">
        <v>50.55</v>
      </c>
      <c r="U4014" s="1">
        <v>0.0</v>
      </c>
      <c r="V4014" s="1">
        <v>0.0</v>
      </c>
      <c r="W4014" s="1" t="s">
        <v>25</v>
      </c>
    </row>
    <row r="4015" ht="15.75" customHeight="1">
      <c r="A4015" s="1" t="s">
        <v>4052</v>
      </c>
      <c r="B4015" s="1" t="s">
        <v>24</v>
      </c>
      <c r="C4015" s="1">
        <v>0.0</v>
      </c>
      <c r="D4015" s="1" t="s">
        <v>26</v>
      </c>
      <c r="E4015" s="1" t="s">
        <v>26</v>
      </c>
      <c r="F4015" s="1">
        <v>2.0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1">
        <v>54.35</v>
      </c>
      <c r="T4015" s="1">
        <v>117.05</v>
      </c>
      <c r="U4015" s="1">
        <v>0.0</v>
      </c>
      <c r="V4015" s="1">
        <v>0.0</v>
      </c>
      <c r="W4015" s="1" t="s">
        <v>26</v>
      </c>
    </row>
    <row r="4016" ht="15.75" customHeight="1">
      <c r="A4016" s="1" t="s">
        <v>4053</v>
      </c>
      <c r="B4016" s="1" t="s">
        <v>24</v>
      </c>
      <c r="C4016" s="1">
        <v>1.0</v>
      </c>
      <c r="D4016" s="1" t="s">
        <v>26</v>
      </c>
      <c r="E4016" s="1" t="s">
        <v>26</v>
      </c>
      <c r="F4016" s="1">
        <v>52.0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1">
        <v>108.1</v>
      </c>
      <c r="T4016" s="1">
        <v>5839.3</v>
      </c>
      <c r="U4016" s="1">
        <v>0.0</v>
      </c>
      <c r="V4016" s="1">
        <v>0.0</v>
      </c>
      <c r="W4016" s="1" t="s">
        <v>26</v>
      </c>
    </row>
    <row r="4017" ht="15.75" customHeight="1">
      <c r="A4017" s="1" t="s">
        <v>4054</v>
      </c>
      <c r="B4017" s="1" t="s">
        <v>24</v>
      </c>
      <c r="C4017" s="1">
        <v>0.0</v>
      </c>
      <c r="D4017" s="1" t="s">
        <v>26</v>
      </c>
      <c r="E4017" s="1" t="s">
        <v>26</v>
      </c>
      <c r="F4017" s="1">
        <v>36.0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1">
        <v>54.45</v>
      </c>
      <c r="T4017" s="1">
        <v>1893.5</v>
      </c>
      <c r="U4017" s="1">
        <v>0.0</v>
      </c>
      <c r="V4017" s="1">
        <v>0.0</v>
      </c>
      <c r="W4017" s="1" t="s">
        <v>26</v>
      </c>
    </row>
    <row r="4018" ht="15.75" customHeight="1">
      <c r="A4018" s="1" t="s">
        <v>4055</v>
      </c>
      <c r="B4018" s="1" t="s">
        <v>24</v>
      </c>
      <c r="C4018" s="1">
        <v>0.0</v>
      </c>
      <c r="D4018" s="1" t="s">
        <v>26</v>
      </c>
      <c r="E4018" s="1" t="s">
        <v>26</v>
      </c>
      <c r="F4018" s="1">
        <v>1.0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1">
        <v>45.35</v>
      </c>
      <c r="T4018" s="1">
        <v>45.35</v>
      </c>
      <c r="U4018" s="1">
        <v>0.0</v>
      </c>
      <c r="V4018" s="1">
        <v>0.0</v>
      </c>
      <c r="W4018" s="1" t="s">
        <v>26</v>
      </c>
    </row>
    <row r="4019" ht="15.75" customHeight="1">
      <c r="A4019" s="1" t="s">
        <v>4056</v>
      </c>
      <c r="B4019" s="1" t="s">
        <v>24</v>
      </c>
      <c r="C4019" s="1">
        <v>0.0</v>
      </c>
      <c r="D4019" s="1" t="s">
        <v>26</v>
      </c>
      <c r="E4019" s="1" t="s">
        <v>26</v>
      </c>
      <c r="F4019" s="1">
        <v>28.0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1">
        <v>59.0</v>
      </c>
      <c r="T4019" s="1">
        <v>1654.45</v>
      </c>
      <c r="U4019" s="1">
        <v>1.0</v>
      </c>
      <c r="V4019" s="1">
        <v>0.0</v>
      </c>
      <c r="W4019" s="1" t="s">
        <v>26</v>
      </c>
    </row>
    <row r="4020" ht="15.75" customHeight="1">
      <c r="A4020" s="1" t="s">
        <v>4057</v>
      </c>
      <c r="B4020" s="1" t="s">
        <v>24</v>
      </c>
      <c r="C4020" s="1">
        <v>0.0</v>
      </c>
      <c r="D4020" s="1" t="s">
        <v>25</v>
      </c>
      <c r="E4020" s="1" t="s">
        <v>25</v>
      </c>
      <c r="F4020" s="1">
        <v>7.0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1">
        <v>69.45</v>
      </c>
      <c r="T4020" s="1">
        <v>477.05</v>
      </c>
      <c r="U4020" s="1">
        <v>0.0</v>
      </c>
      <c r="V4020" s="1">
        <v>0.0</v>
      </c>
      <c r="W4020" s="1" t="s">
        <v>26</v>
      </c>
    </row>
    <row r="4021" ht="15.75" customHeight="1">
      <c r="A4021" s="1" t="s">
        <v>4058</v>
      </c>
      <c r="B4021" s="1" t="s">
        <v>32</v>
      </c>
      <c r="C4021" s="1">
        <v>0.0</v>
      </c>
      <c r="D4021" s="1" t="s">
        <v>26</v>
      </c>
      <c r="E4021" s="1" t="s">
        <v>26</v>
      </c>
      <c r="F4021" s="1">
        <v>14.0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1">
        <v>100.55</v>
      </c>
      <c r="T4021" s="1">
        <v>1415.55</v>
      </c>
      <c r="U4021" s="1">
        <v>0.0</v>
      </c>
      <c r="V4021" s="1">
        <v>1.0</v>
      </c>
      <c r="W4021" s="1" t="s">
        <v>25</v>
      </c>
    </row>
    <row r="4022" ht="15.75" customHeight="1">
      <c r="A4022" s="1" t="s">
        <v>4059</v>
      </c>
      <c r="B4022" s="1" t="s">
        <v>32</v>
      </c>
      <c r="C4022" s="1">
        <v>1.0</v>
      </c>
      <c r="D4022" s="1" t="s">
        <v>25</v>
      </c>
      <c r="E4022" s="1" t="s">
        <v>26</v>
      </c>
      <c r="F4022" s="1">
        <v>72.0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1">
        <v>64.95</v>
      </c>
      <c r="T4022" s="1">
        <v>4546.0</v>
      </c>
      <c r="U4022" s="1">
        <v>0.0</v>
      </c>
      <c r="V4022" s="1">
        <v>2.0</v>
      </c>
      <c r="W4022" s="1" t="s">
        <v>26</v>
      </c>
    </row>
    <row r="4023" ht="15.75" customHeight="1">
      <c r="A4023" s="1" t="s">
        <v>4060</v>
      </c>
      <c r="B4023" s="1" t="s">
        <v>24</v>
      </c>
      <c r="C4023" s="1">
        <v>0.0</v>
      </c>
      <c r="D4023" s="1" t="s">
        <v>25</v>
      </c>
      <c r="E4023" s="1" t="s">
        <v>25</v>
      </c>
      <c r="F4023" s="1">
        <v>1.0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1">
        <v>20.5</v>
      </c>
      <c r="T4023" s="1">
        <v>20.5</v>
      </c>
      <c r="U4023" s="1">
        <v>0.0</v>
      </c>
      <c r="V4023" s="1">
        <v>0.0</v>
      </c>
      <c r="W4023" s="1" t="s">
        <v>25</v>
      </c>
    </row>
    <row r="4024" ht="15.75" customHeight="1">
      <c r="A4024" s="1" t="s">
        <v>4061</v>
      </c>
      <c r="B4024" s="1" t="s">
        <v>24</v>
      </c>
      <c r="C4024" s="1">
        <v>0.0</v>
      </c>
      <c r="D4024" s="1" t="s">
        <v>26</v>
      </c>
      <c r="E4024" s="1" t="s">
        <v>26</v>
      </c>
      <c r="F4024" s="1">
        <v>10.0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1">
        <v>18.85</v>
      </c>
      <c r="T4024" s="1">
        <v>163.2</v>
      </c>
      <c r="U4024" s="1">
        <v>4.0</v>
      </c>
      <c r="V4024" s="1">
        <v>0.0</v>
      </c>
      <c r="W4024" s="1" t="s">
        <v>26</v>
      </c>
    </row>
    <row r="4025" ht="15.75" customHeight="1">
      <c r="A4025" s="1" t="s">
        <v>4062</v>
      </c>
      <c r="B4025" s="1" t="s">
        <v>32</v>
      </c>
      <c r="C4025" s="1">
        <v>0.0</v>
      </c>
      <c r="D4025" s="1" t="s">
        <v>26</v>
      </c>
      <c r="E4025" s="1" t="s">
        <v>26</v>
      </c>
      <c r="F4025" s="1">
        <v>42.0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1">
        <v>19.8</v>
      </c>
      <c r="T4025" s="1">
        <v>849.9</v>
      </c>
      <c r="U4025" s="1">
        <v>0.0</v>
      </c>
      <c r="V4025" s="1">
        <v>0.0</v>
      </c>
      <c r="W4025" s="1" t="s">
        <v>26</v>
      </c>
    </row>
    <row r="4026" ht="15.75" customHeight="1">
      <c r="A4026" s="1" t="s">
        <v>4063</v>
      </c>
      <c r="B4026" s="1" t="s">
        <v>24</v>
      </c>
      <c r="C4026" s="1">
        <v>0.0</v>
      </c>
      <c r="D4026" s="1" t="s">
        <v>26</v>
      </c>
      <c r="E4026" s="1" t="s">
        <v>26</v>
      </c>
      <c r="F4026" s="1">
        <v>7.0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1">
        <v>25.05</v>
      </c>
      <c r="T4026" s="1">
        <v>189.95</v>
      </c>
      <c r="U4026" s="1">
        <v>0.0</v>
      </c>
      <c r="V4026" s="1">
        <v>0.0</v>
      </c>
      <c r="W4026" s="1" t="s">
        <v>26</v>
      </c>
    </row>
    <row r="4027" ht="15.75" customHeight="1">
      <c r="A4027" s="1" t="s">
        <v>4064</v>
      </c>
      <c r="B4027" s="1" t="s">
        <v>32</v>
      </c>
      <c r="C4027" s="1">
        <v>0.0</v>
      </c>
      <c r="D4027" s="1" t="s">
        <v>26</v>
      </c>
      <c r="E4027" s="1" t="s">
        <v>26</v>
      </c>
      <c r="F4027" s="1">
        <v>4.0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1">
        <v>74.8</v>
      </c>
      <c r="T4027" s="1">
        <v>321.9</v>
      </c>
      <c r="U4027" s="1">
        <v>0.0</v>
      </c>
      <c r="V4027" s="1">
        <v>0.0</v>
      </c>
      <c r="W4027" s="1" t="s">
        <v>25</v>
      </c>
    </row>
    <row r="4028" ht="15.75" customHeight="1">
      <c r="A4028" s="1" t="s">
        <v>4065</v>
      </c>
      <c r="B4028" s="1" t="s">
        <v>32</v>
      </c>
      <c r="C4028" s="1">
        <v>0.0</v>
      </c>
      <c r="D4028" s="1" t="s">
        <v>25</v>
      </c>
      <c r="E4028" s="1" t="s">
        <v>25</v>
      </c>
      <c r="F4028" s="1">
        <v>72.0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1">
        <v>114.3</v>
      </c>
      <c r="T4028" s="1">
        <v>8058.55</v>
      </c>
      <c r="U4028" s="1">
        <v>0.0</v>
      </c>
      <c r="V4028" s="1">
        <v>0.0</v>
      </c>
      <c r="W4028" s="1" t="s">
        <v>26</v>
      </c>
    </row>
    <row r="4029" ht="15.75" customHeight="1">
      <c r="A4029" s="1" t="s">
        <v>4066</v>
      </c>
      <c r="B4029" s="1" t="s">
        <v>24</v>
      </c>
      <c r="C4029" s="1">
        <v>0.0</v>
      </c>
      <c r="D4029" s="1" t="s">
        <v>25</v>
      </c>
      <c r="E4029" s="1" t="s">
        <v>26</v>
      </c>
      <c r="F4029" s="1">
        <v>20.0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1">
        <v>24.45</v>
      </c>
      <c r="T4029" s="1">
        <v>482.8</v>
      </c>
      <c r="U4029" s="1">
        <v>2.0</v>
      </c>
      <c r="V4029" s="1">
        <v>0.0</v>
      </c>
      <c r="W4029" s="1" t="s">
        <v>25</v>
      </c>
    </row>
    <row r="4030" ht="15.75" customHeight="1">
      <c r="A4030" s="1" t="s">
        <v>4067</v>
      </c>
      <c r="B4030" s="1" t="s">
        <v>32</v>
      </c>
      <c r="C4030" s="1">
        <v>0.0</v>
      </c>
      <c r="D4030" s="1" t="s">
        <v>26</v>
      </c>
      <c r="E4030" s="1" t="s">
        <v>26</v>
      </c>
      <c r="F4030" s="1">
        <v>63.0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1">
        <v>109.2</v>
      </c>
      <c r="T4030" s="1">
        <v>7049.75</v>
      </c>
      <c r="U4030" s="1">
        <v>0.0</v>
      </c>
      <c r="V4030" s="1">
        <v>0.0</v>
      </c>
      <c r="W4030" s="1" t="s">
        <v>26</v>
      </c>
    </row>
    <row r="4031" ht="15.75" customHeight="1">
      <c r="A4031" s="1" t="s">
        <v>4068</v>
      </c>
      <c r="B4031" s="1" t="s">
        <v>24</v>
      </c>
      <c r="C4031" s="1">
        <v>0.0</v>
      </c>
      <c r="D4031" s="1" t="s">
        <v>26</v>
      </c>
      <c r="E4031" s="1" t="s">
        <v>26</v>
      </c>
      <c r="F4031" s="1">
        <v>56.0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1">
        <v>45.05</v>
      </c>
      <c r="T4031" s="1">
        <v>2560.1</v>
      </c>
      <c r="U4031" s="1">
        <v>2.0</v>
      </c>
      <c r="V4031" s="1">
        <v>0.0</v>
      </c>
      <c r="W4031" s="1" t="s">
        <v>26</v>
      </c>
    </row>
    <row r="4032" ht="15.75" customHeight="1">
      <c r="A4032" s="1" t="s">
        <v>4069</v>
      </c>
      <c r="B4032" s="1" t="s">
        <v>24</v>
      </c>
      <c r="C4032" s="1">
        <v>0.0</v>
      </c>
      <c r="D4032" s="1" t="s">
        <v>26</v>
      </c>
      <c r="E4032" s="1" t="s">
        <v>25</v>
      </c>
      <c r="F4032" s="1">
        <v>5.0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1">
        <v>51.0</v>
      </c>
      <c r="T4032" s="1">
        <v>286.8</v>
      </c>
      <c r="U4032" s="1">
        <v>0.0</v>
      </c>
      <c r="V4032" s="1">
        <v>0.0</v>
      </c>
      <c r="W4032" s="1" t="s">
        <v>26</v>
      </c>
    </row>
    <row r="4033" ht="15.75" customHeight="1">
      <c r="A4033" s="1" t="s">
        <v>4070</v>
      </c>
      <c r="B4033" s="1" t="s">
        <v>24</v>
      </c>
      <c r="C4033" s="1">
        <v>0.0</v>
      </c>
      <c r="D4033" s="1" t="s">
        <v>25</v>
      </c>
      <c r="E4033" s="1" t="s">
        <v>26</v>
      </c>
      <c r="F4033" s="1">
        <v>72.0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1">
        <v>110.45</v>
      </c>
      <c r="T4033" s="1">
        <v>7982.5</v>
      </c>
      <c r="U4033" s="1">
        <v>3.0</v>
      </c>
      <c r="V4033" s="1">
        <v>0.0</v>
      </c>
      <c r="W4033" s="1" t="s">
        <v>26</v>
      </c>
    </row>
    <row r="4034" ht="15.75" customHeight="1">
      <c r="A4034" s="1" t="s">
        <v>4071</v>
      </c>
      <c r="B4034" s="1" t="s">
        <v>32</v>
      </c>
      <c r="C4034" s="1">
        <v>1.0</v>
      </c>
      <c r="D4034" s="1" t="s">
        <v>25</v>
      </c>
      <c r="E4034" s="1" t="s">
        <v>25</v>
      </c>
      <c r="F4034" s="1">
        <v>68.0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1">
        <v>84.65</v>
      </c>
      <c r="T4034" s="1">
        <v>5683.6</v>
      </c>
      <c r="U4034" s="1">
        <v>0.0</v>
      </c>
      <c r="V4034" s="1">
        <v>0.0</v>
      </c>
      <c r="W4034" s="1" t="s">
        <v>26</v>
      </c>
    </row>
    <row r="4035" ht="15.75" customHeight="1">
      <c r="A4035" s="1" t="s">
        <v>4072</v>
      </c>
      <c r="B4035" s="1" t="s">
        <v>32</v>
      </c>
      <c r="C4035" s="1">
        <v>0.0</v>
      </c>
      <c r="D4035" s="1" t="s">
        <v>25</v>
      </c>
      <c r="E4035" s="1" t="s">
        <v>25</v>
      </c>
      <c r="F4035" s="1">
        <v>67.0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1">
        <v>60.05</v>
      </c>
      <c r="T4035" s="1">
        <v>3994.05</v>
      </c>
      <c r="U4035" s="1">
        <v>0.0</v>
      </c>
      <c r="V4035" s="1">
        <v>0.0</v>
      </c>
      <c r="W4035" s="1" t="s">
        <v>26</v>
      </c>
    </row>
    <row r="4036" ht="15.75" customHeight="1">
      <c r="A4036" s="1" t="s">
        <v>4073</v>
      </c>
      <c r="B4036" s="1" t="s">
        <v>32</v>
      </c>
      <c r="C4036" s="1">
        <v>0.0</v>
      </c>
      <c r="D4036" s="1" t="s">
        <v>25</v>
      </c>
      <c r="E4036" s="1" t="s">
        <v>25</v>
      </c>
      <c r="F4036" s="1">
        <v>8.0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1">
        <v>44.65</v>
      </c>
      <c r="T4036" s="1">
        <v>369.15</v>
      </c>
      <c r="U4036" s="1">
        <v>0.0</v>
      </c>
      <c r="V4036" s="1">
        <v>0.0</v>
      </c>
      <c r="W4036" s="1" t="s">
        <v>26</v>
      </c>
    </row>
    <row r="4037" ht="15.75" customHeight="1">
      <c r="A4037" s="1" t="s">
        <v>4074</v>
      </c>
      <c r="B4037" s="1" t="s">
        <v>32</v>
      </c>
      <c r="C4037" s="1">
        <v>0.0</v>
      </c>
      <c r="D4037" s="1" t="s">
        <v>25</v>
      </c>
      <c r="E4037" s="1" t="s">
        <v>25</v>
      </c>
      <c r="F4037" s="1">
        <v>52.0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1">
        <v>93.25</v>
      </c>
      <c r="T4037" s="1">
        <v>4631.7</v>
      </c>
      <c r="U4037" s="1">
        <v>0.0</v>
      </c>
      <c r="V4037" s="1">
        <v>0.0</v>
      </c>
      <c r="W4037" s="1" t="s">
        <v>26</v>
      </c>
    </row>
    <row r="4038" ht="15.75" customHeight="1">
      <c r="A4038" s="1" t="s">
        <v>4075</v>
      </c>
      <c r="B4038" s="1" t="s">
        <v>24</v>
      </c>
      <c r="C4038" s="1">
        <v>0.0</v>
      </c>
      <c r="D4038" s="1" t="s">
        <v>25</v>
      </c>
      <c r="E4038" s="1" t="s">
        <v>25</v>
      </c>
      <c r="F4038" s="1">
        <v>18.0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1">
        <v>20.25</v>
      </c>
      <c r="T4038" s="1">
        <v>401.95</v>
      </c>
      <c r="U4038" s="1">
        <v>0.0</v>
      </c>
      <c r="V4038" s="1">
        <v>0.0</v>
      </c>
      <c r="W4038" s="1" t="s">
        <v>26</v>
      </c>
    </row>
    <row r="4039" ht="15.75" customHeight="1">
      <c r="A4039" s="1" t="s">
        <v>4076</v>
      </c>
      <c r="B4039" s="1" t="s">
        <v>24</v>
      </c>
      <c r="C4039" s="1">
        <v>0.0</v>
      </c>
      <c r="D4039" s="1" t="s">
        <v>25</v>
      </c>
      <c r="E4039" s="1" t="s">
        <v>25</v>
      </c>
      <c r="F4039" s="1">
        <v>59.0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1">
        <v>25.45</v>
      </c>
      <c r="T4039" s="1">
        <v>1534.05</v>
      </c>
      <c r="U4039" s="1">
        <v>0.0</v>
      </c>
      <c r="V4039" s="1">
        <v>0.0</v>
      </c>
      <c r="W4039" s="1" t="s">
        <v>26</v>
      </c>
    </row>
    <row r="4040" ht="15.75" customHeight="1">
      <c r="A4040" s="1" t="s">
        <v>4077</v>
      </c>
      <c r="B4040" s="1" t="s">
        <v>24</v>
      </c>
      <c r="C4040" s="1">
        <v>0.0</v>
      </c>
      <c r="D4040" s="1" t="s">
        <v>26</v>
      </c>
      <c r="E4040" s="1" t="s">
        <v>26</v>
      </c>
      <c r="F4040" s="1">
        <v>60.0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1">
        <v>20.6</v>
      </c>
      <c r="T4040" s="1">
        <v>1093.0</v>
      </c>
      <c r="U4040" s="1">
        <v>0.0</v>
      </c>
      <c r="V4040" s="1">
        <v>1.0</v>
      </c>
      <c r="W4040" s="1" t="s">
        <v>26</v>
      </c>
    </row>
    <row r="4041" ht="15.75" customHeight="1">
      <c r="A4041" s="1" t="s">
        <v>4078</v>
      </c>
      <c r="B4041" s="1" t="s">
        <v>32</v>
      </c>
      <c r="C4041" s="1">
        <v>0.0</v>
      </c>
      <c r="D4041" s="1" t="s">
        <v>26</v>
      </c>
      <c r="E4041" s="1" t="s">
        <v>26</v>
      </c>
      <c r="F4041" s="1">
        <v>7.0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1">
        <v>94.1</v>
      </c>
      <c r="T4041" s="1">
        <v>701.3</v>
      </c>
      <c r="U4041" s="1">
        <v>0.0</v>
      </c>
      <c r="V4041" s="1">
        <v>0.0</v>
      </c>
      <c r="W4041" s="1" t="s">
        <v>26</v>
      </c>
    </row>
    <row r="4042" ht="15.75" customHeight="1">
      <c r="A4042" s="1" t="s">
        <v>4079</v>
      </c>
      <c r="B4042" s="1" t="s">
        <v>32</v>
      </c>
      <c r="C4042" s="1">
        <v>0.0</v>
      </c>
      <c r="D4042" s="1" t="s">
        <v>25</v>
      </c>
      <c r="E4042" s="1" t="s">
        <v>25</v>
      </c>
      <c r="F4042" s="1">
        <v>59.0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1">
        <v>34.8</v>
      </c>
      <c r="T4042" s="1">
        <v>1980.3</v>
      </c>
      <c r="U4042" s="1">
        <v>5.0</v>
      </c>
      <c r="V4042" s="1">
        <v>0.0</v>
      </c>
      <c r="W4042" s="1" t="s">
        <v>26</v>
      </c>
    </row>
    <row r="4043" ht="15.75" customHeight="1">
      <c r="A4043" s="1" t="s">
        <v>4080</v>
      </c>
      <c r="B4043" s="1" t="s">
        <v>32</v>
      </c>
      <c r="C4043" s="1">
        <v>0.0</v>
      </c>
      <c r="D4043" s="1" t="s">
        <v>26</v>
      </c>
      <c r="E4043" s="1" t="s">
        <v>26</v>
      </c>
      <c r="F4043" s="1">
        <v>46.0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1">
        <v>60.75</v>
      </c>
      <c r="T4043" s="1">
        <v>2893.4</v>
      </c>
      <c r="U4043" s="1">
        <v>0.0</v>
      </c>
      <c r="V4043" s="1">
        <v>0.0</v>
      </c>
      <c r="W4043" s="1" t="s">
        <v>26</v>
      </c>
    </row>
    <row r="4044" ht="15.75" customHeight="1">
      <c r="A4044" s="1" t="s">
        <v>4081</v>
      </c>
      <c r="B4044" s="1" t="s">
        <v>32</v>
      </c>
      <c r="C4044" s="1">
        <v>0.0</v>
      </c>
      <c r="D4044" s="1" t="s">
        <v>26</v>
      </c>
      <c r="E4044" s="1" t="s">
        <v>26</v>
      </c>
      <c r="F4044" s="1">
        <v>5.0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1">
        <v>51.35</v>
      </c>
      <c r="T4044" s="1">
        <v>262.3</v>
      </c>
      <c r="U4044" s="1">
        <v>0.0</v>
      </c>
      <c r="V4044" s="1">
        <v>0.0</v>
      </c>
      <c r="W4044" s="1" t="s">
        <v>26</v>
      </c>
    </row>
    <row r="4045" ht="15.75" customHeight="1">
      <c r="A4045" s="1" t="s">
        <v>4082</v>
      </c>
      <c r="B4045" s="1" t="s">
        <v>32</v>
      </c>
      <c r="C4045" s="1">
        <v>1.0</v>
      </c>
      <c r="D4045" s="1" t="s">
        <v>25</v>
      </c>
      <c r="E4045" s="1" t="s">
        <v>26</v>
      </c>
      <c r="F4045" s="1">
        <v>59.0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1">
        <v>64.05</v>
      </c>
      <c r="T4045" s="1">
        <v>3886.85</v>
      </c>
      <c r="U4045" s="1">
        <v>0.0</v>
      </c>
      <c r="V4045" s="1">
        <v>0.0</v>
      </c>
      <c r="W4045" s="1" t="s">
        <v>26</v>
      </c>
    </row>
    <row r="4046" ht="15.75" customHeight="1">
      <c r="A4046" s="1" t="s">
        <v>4083</v>
      </c>
      <c r="B4046" s="1" t="s">
        <v>24</v>
      </c>
      <c r="C4046" s="1">
        <v>0.0</v>
      </c>
      <c r="D4046" s="1" t="s">
        <v>25</v>
      </c>
      <c r="E4046" s="1" t="s">
        <v>26</v>
      </c>
      <c r="F4046" s="1">
        <v>70.0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1">
        <v>84.8</v>
      </c>
      <c r="T4046" s="1">
        <v>5917.55</v>
      </c>
      <c r="U4046" s="1">
        <v>0.0</v>
      </c>
      <c r="V4046" s="1">
        <v>5.0</v>
      </c>
      <c r="W4046" s="1" t="s">
        <v>26</v>
      </c>
    </row>
    <row r="4047" ht="15.75" customHeight="1">
      <c r="A4047" s="1" t="s">
        <v>4084</v>
      </c>
      <c r="B4047" s="1" t="s">
        <v>24</v>
      </c>
      <c r="C4047" s="1">
        <v>0.0</v>
      </c>
      <c r="D4047" s="1" t="s">
        <v>26</v>
      </c>
      <c r="E4047" s="1" t="s">
        <v>26</v>
      </c>
      <c r="F4047" s="1">
        <v>14.0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1">
        <v>71.0</v>
      </c>
      <c r="T4047" s="1">
        <v>914.0</v>
      </c>
      <c r="U4047" s="1">
        <v>0.0</v>
      </c>
      <c r="V4047" s="1">
        <v>0.0</v>
      </c>
      <c r="W4047" s="1" t="s">
        <v>25</v>
      </c>
    </row>
    <row r="4048" ht="15.75" customHeight="1">
      <c r="A4048" s="1" t="s">
        <v>4085</v>
      </c>
      <c r="B4048" s="1" t="s">
        <v>24</v>
      </c>
      <c r="C4048" s="1">
        <v>0.0</v>
      </c>
      <c r="D4048" s="1" t="s">
        <v>26</v>
      </c>
      <c r="E4048" s="1" t="s">
        <v>26</v>
      </c>
      <c r="F4048" s="1">
        <v>44.0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1">
        <v>50.15</v>
      </c>
      <c r="T4048" s="1">
        <v>2139.1</v>
      </c>
      <c r="U4048" s="1">
        <v>0.0</v>
      </c>
      <c r="V4048" s="1">
        <v>0.0</v>
      </c>
      <c r="W4048" s="1" t="s">
        <v>26</v>
      </c>
    </row>
    <row r="4049" ht="15.75" customHeight="1">
      <c r="A4049" s="1" t="s">
        <v>4086</v>
      </c>
      <c r="B4049" s="1" t="s">
        <v>24</v>
      </c>
      <c r="C4049" s="1">
        <v>0.0</v>
      </c>
      <c r="D4049" s="1" t="s">
        <v>25</v>
      </c>
      <c r="E4049" s="1" t="s">
        <v>26</v>
      </c>
      <c r="F4049" s="1">
        <v>64.0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1">
        <v>94.6</v>
      </c>
      <c r="T4049" s="1">
        <v>5948.7</v>
      </c>
      <c r="U4049" s="1">
        <v>0.0</v>
      </c>
      <c r="V4049" s="1">
        <v>0.0</v>
      </c>
      <c r="W4049" s="1" t="s">
        <v>26</v>
      </c>
    </row>
    <row r="4050" ht="15.75" customHeight="1">
      <c r="A4050" s="1" t="s">
        <v>4087</v>
      </c>
      <c r="B4050" s="1" t="s">
        <v>24</v>
      </c>
      <c r="C4050" s="1">
        <v>0.0</v>
      </c>
      <c r="D4050" s="1" t="s">
        <v>25</v>
      </c>
      <c r="E4050" s="1" t="s">
        <v>25</v>
      </c>
      <c r="F4050" s="1">
        <v>58.0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1">
        <v>59.75</v>
      </c>
      <c r="T4050" s="1">
        <v>3624.35</v>
      </c>
      <c r="U4050" s="1">
        <v>0.0</v>
      </c>
      <c r="V4050" s="1">
        <v>0.0</v>
      </c>
      <c r="W4050" s="1" t="s">
        <v>26</v>
      </c>
    </row>
    <row r="4051" ht="15.75" customHeight="1">
      <c r="A4051" s="1" t="s">
        <v>4088</v>
      </c>
      <c r="B4051" s="1" t="s">
        <v>24</v>
      </c>
      <c r="C4051" s="1">
        <v>1.0</v>
      </c>
      <c r="D4051" s="1" t="s">
        <v>25</v>
      </c>
      <c r="E4051" s="1" t="s">
        <v>26</v>
      </c>
      <c r="F4051" s="1">
        <v>46.0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1">
        <v>100.25</v>
      </c>
      <c r="T4051" s="1">
        <v>4753.85</v>
      </c>
      <c r="U4051" s="1">
        <v>0.0</v>
      </c>
      <c r="V4051" s="1">
        <v>0.0</v>
      </c>
      <c r="W4051" s="1" t="s">
        <v>26</v>
      </c>
    </row>
    <row r="4052" ht="15.75" customHeight="1">
      <c r="A4052" s="1" t="s">
        <v>4089</v>
      </c>
      <c r="B4052" s="1" t="s">
        <v>32</v>
      </c>
      <c r="C4052" s="1">
        <v>1.0</v>
      </c>
      <c r="D4052" s="1" t="s">
        <v>25</v>
      </c>
      <c r="E4052" s="1" t="s">
        <v>26</v>
      </c>
      <c r="F4052" s="1">
        <v>58.0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1">
        <v>98.9</v>
      </c>
      <c r="T4052" s="1">
        <v>5780.7</v>
      </c>
      <c r="U4052" s="1">
        <v>0.0</v>
      </c>
      <c r="V4052" s="1">
        <v>0.0</v>
      </c>
      <c r="W4052" s="1" t="s">
        <v>26</v>
      </c>
    </row>
    <row r="4053" ht="15.75" customHeight="1">
      <c r="A4053" s="1" t="s">
        <v>4090</v>
      </c>
      <c r="B4053" s="1" t="s">
        <v>24</v>
      </c>
      <c r="C4053" s="1">
        <v>0.0</v>
      </c>
      <c r="D4053" s="1" t="s">
        <v>25</v>
      </c>
      <c r="E4053" s="1" t="s">
        <v>26</v>
      </c>
      <c r="F4053" s="1">
        <v>72.0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1">
        <v>97.7</v>
      </c>
      <c r="T4053" s="1">
        <v>6869.7</v>
      </c>
      <c r="U4053" s="1">
        <v>0.0</v>
      </c>
      <c r="V4053" s="1">
        <v>0.0</v>
      </c>
      <c r="W4053" s="1" t="s">
        <v>26</v>
      </c>
    </row>
    <row r="4054" ht="15.75" customHeight="1">
      <c r="A4054" s="1" t="s">
        <v>4091</v>
      </c>
      <c r="B4054" s="1" t="s">
        <v>24</v>
      </c>
      <c r="C4054" s="1">
        <v>1.0</v>
      </c>
      <c r="D4054" s="1" t="s">
        <v>26</v>
      </c>
      <c r="E4054" s="1" t="s">
        <v>26</v>
      </c>
      <c r="F4054" s="1">
        <v>30.0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1">
        <v>40.3</v>
      </c>
      <c r="T4054" s="1">
        <v>1172.95</v>
      </c>
      <c r="U4054" s="1">
        <v>0.0</v>
      </c>
      <c r="V4054" s="1">
        <v>1.0</v>
      </c>
      <c r="W4054" s="1" t="s">
        <v>25</v>
      </c>
    </row>
    <row r="4055" ht="15.75" customHeight="1">
      <c r="A4055" s="1" t="s">
        <v>4092</v>
      </c>
      <c r="B4055" s="1" t="s">
        <v>32</v>
      </c>
      <c r="C4055" s="1">
        <v>1.0</v>
      </c>
      <c r="D4055" s="1" t="s">
        <v>26</v>
      </c>
      <c r="E4055" s="1" t="s">
        <v>26</v>
      </c>
      <c r="F4055" s="1">
        <v>11.0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1">
        <v>60.25</v>
      </c>
      <c r="T4055" s="1">
        <v>662.95</v>
      </c>
      <c r="U4055" s="1">
        <v>0.0</v>
      </c>
      <c r="V4055" s="1">
        <v>0.0</v>
      </c>
      <c r="W4055" s="1" t="s">
        <v>26</v>
      </c>
    </row>
    <row r="4056" ht="15.75" customHeight="1">
      <c r="A4056" s="1" t="s">
        <v>4093</v>
      </c>
      <c r="B4056" s="1" t="s">
        <v>24</v>
      </c>
      <c r="C4056" s="1">
        <v>1.0</v>
      </c>
      <c r="D4056" s="1" t="s">
        <v>26</v>
      </c>
      <c r="E4056" s="1" t="s">
        <v>26</v>
      </c>
      <c r="F4056" s="1">
        <v>34.0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1">
        <v>56.25</v>
      </c>
      <c r="T4056" s="1">
        <v>1765.95</v>
      </c>
      <c r="U4056" s="1">
        <v>0.0</v>
      </c>
      <c r="V4056" s="1">
        <v>0.0</v>
      </c>
      <c r="W4056" s="1" t="s">
        <v>26</v>
      </c>
    </row>
    <row r="4057" ht="15.75" customHeight="1">
      <c r="A4057" s="1" t="s">
        <v>4094</v>
      </c>
      <c r="B4057" s="1" t="s">
        <v>32</v>
      </c>
      <c r="C4057" s="1">
        <v>0.0</v>
      </c>
      <c r="D4057" s="1" t="s">
        <v>26</v>
      </c>
      <c r="E4057" s="1" t="s">
        <v>26</v>
      </c>
      <c r="F4057" s="1">
        <v>54.0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1">
        <v>46.2</v>
      </c>
      <c r="T4057" s="1">
        <v>2431.95</v>
      </c>
      <c r="U4057" s="1">
        <v>1.0</v>
      </c>
      <c r="V4057" s="1">
        <v>0.0</v>
      </c>
      <c r="W4057" s="1" t="s">
        <v>26</v>
      </c>
    </row>
    <row r="4058" ht="15.75" customHeight="1">
      <c r="A4058" s="1" t="s">
        <v>4095</v>
      </c>
      <c r="B4058" s="1" t="s">
        <v>24</v>
      </c>
      <c r="C4058" s="1">
        <v>0.0</v>
      </c>
      <c r="D4058" s="1" t="s">
        <v>26</v>
      </c>
      <c r="E4058" s="1" t="s">
        <v>26</v>
      </c>
      <c r="F4058" s="1">
        <v>3.0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1">
        <v>50.6</v>
      </c>
      <c r="T4058" s="1">
        <v>155.35</v>
      </c>
      <c r="U4058" s="1">
        <v>0.0</v>
      </c>
      <c r="V4058" s="1">
        <v>0.0</v>
      </c>
      <c r="W4058" s="1" t="s">
        <v>25</v>
      </c>
    </row>
    <row r="4059" ht="15.75" customHeight="1">
      <c r="A4059" s="1" t="s">
        <v>4096</v>
      </c>
      <c r="B4059" s="1" t="s">
        <v>24</v>
      </c>
      <c r="C4059" s="1">
        <v>0.0</v>
      </c>
      <c r="D4059" s="1" t="s">
        <v>25</v>
      </c>
      <c r="E4059" s="1" t="s">
        <v>25</v>
      </c>
      <c r="F4059" s="1">
        <v>72.0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1">
        <v>24.9</v>
      </c>
      <c r="T4059" s="1">
        <v>1859.2</v>
      </c>
      <c r="U4059" s="1">
        <v>4.0</v>
      </c>
      <c r="V4059" s="1">
        <v>0.0</v>
      </c>
      <c r="W4059" s="1" t="s">
        <v>26</v>
      </c>
    </row>
    <row r="4060" ht="15.75" customHeight="1">
      <c r="A4060" s="1" t="s">
        <v>4097</v>
      </c>
      <c r="B4060" s="1" t="s">
        <v>24</v>
      </c>
      <c r="C4060" s="1">
        <v>0.0</v>
      </c>
      <c r="D4060" s="1" t="s">
        <v>25</v>
      </c>
      <c r="E4060" s="1" t="s">
        <v>25</v>
      </c>
      <c r="F4060" s="1">
        <v>40.0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1">
        <v>84.85</v>
      </c>
      <c r="T4060" s="1">
        <v>3303.05</v>
      </c>
      <c r="U4060" s="1">
        <v>0.0</v>
      </c>
      <c r="V4060" s="1">
        <v>0.0</v>
      </c>
      <c r="W4060" s="1" t="s">
        <v>25</v>
      </c>
    </row>
    <row r="4061" ht="15.75" customHeight="1">
      <c r="A4061" s="1" t="s">
        <v>4098</v>
      </c>
      <c r="B4061" s="1" t="s">
        <v>24</v>
      </c>
      <c r="C4061" s="1">
        <v>0.0</v>
      </c>
      <c r="D4061" s="1" t="s">
        <v>25</v>
      </c>
      <c r="E4061" s="1" t="s">
        <v>25</v>
      </c>
      <c r="F4061" s="1">
        <v>2.0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1">
        <v>65.7</v>
      </c>
      <c r="T4061" s="1">
        <v>134.35</v>
      </c>
      <c r="U4061" s="1">
        <v>0.0</v>
      </c>
      <c r="V4061" s="1">
        <v>0.0</v>
      </c>
      <c r="W4061" s="1" t="s">
        <v>25</v>
      </c>
    </row>
    <row r="4062" ht="15.75" customHeight="1">
      <c r="A4062" s="1" t="s">
        <v>4099</v>
      </c>
      <c r="B4062" s="1" t="s">
        <v>32</v>
      </c>
      <c r="C4062" s="1">
        <v>0.0</v>
      </c>
      <c r="D4062" s="1" t="s">
        <v>25</v>
      </c>
      <c r="E4062" s="1" t="s">
        <v>25</v>
      </c>
      <c r="F4062" s="1">
        <v>54.0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1">
        <v>63.35</v>
      </c>
      <c r="T4062" s="1">
        <v>3409.1</v>
      </c>
      <c r="U4062" s="1">
        <v>0.0</v>
      </c>
      <c r="V4062" s="1">
        <v>0.0</v>
      </c>
      <c r="W4062" s="1" t="s">
        <v>26</v>
      </c>
    </row>
    <row r="4063" ht="15.75" customHeight="1">
      <c r="A4063" s="1" t="s">
        <v>4100</v>
      </c>
      <c r="B4063" s="1" t="s">
        <v>24</v>
      </c>
      <c r="C4063" s="1">
        <v>0.0</v>
      </c>
      <c r="D4063" s="1" t="s">
        <v>26</v>
      </c>
      <c r="E4063" s="1" t="s">
        <v>26</v>
      </c>
      <c r="F4063" s="1">
        <v>14.0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1">
        <v>50.1</v>
      </c>
      <c r="T4063" s="1">
        <v>709.5</v>
      </c>
      <c r="U4063" s="1">
        <v>1.0</v>
      </c>
      <c r="V4063" s="1">
        <v>0.0</v>
      </c>
      <c r="W4063" s="1" t="s">
        <v>26</v>
      </c>
    </row>
    <row r="4064" ht="15.75" customHeight="1">
      <c r="A4064" s="1" t="s">
        <v>4101</v>
      </c>
      <c r="B4064" s="1" t="s">
        <v>24</v>
      </c>
      <c r="C4064" s="1">
        <v>0.0</v>
      </c>
      <c r="D4064" s="1" t="s">
        <v>26</v>
      </c>
      <c r="E4064" s="1" t="s">
        <v>26</v>
      </c>
      <c r="F4064" s="1">
        <v>1.0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1">
        <v>70.5</v>
      </c>
      <c r="T4064" s="1">
        <v>70.5</v>
      </c>
      <c r="U4064" s="1">
        <v>0.0</v>
      </c>
      <c r="V4064" s="1">
        <v>0.0</v>
      </c>
      <c r="W4064" s="1" t="s">
        <v>25</v>
      </c>
    </row>
    <row r="4065" ht="15.75" customHeight="1">
      <c r="A4065" s="1" t="s">
        <v>4102</v>
      </c>
      <c r="B4065" s="1" t="s">
        <v>24</v>
      </c>
      <c r="C4065" s="1">
        <v>0.0</v>
      </c>
      <c r="D4065" s="1" t="s">
        <v>26</v>
      </c>
      <c r="E4065" s="1" t="s">
        <v>26</v>
      </c>
      <c r="F4065" s="1">
        <v>10.0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1">
        <v>94.85</v>
      </c>
      <c r="T4065" s="1">
        <v>953.45</v>
      </c>
      <c r="U4065" s="1">
        <v>4.0</v>
      </c>
      <c r="V4065" s="1">
        <v>1.0</v>
      </c>
      <c r="W4065" s="1" t="s">
        <v>25</v>
      </c>
    </row>
    <row r="4066" ht="15.75" customHeight="1">
      <c r="A4066" s="1" t="s">
        <v>4103</v>
      </c>
      <c r="B4066" s="1" t="s">
        <v>24</v>
      </c>
      <c r="C4066" s="1">
        <v>0.0</v>
      </c>
      <c r="D4066" s="1" t="s">
        <v>26</v>
      </c>
      <c r="E4066" s="1" t="s">
        <v>26</v>
      </c>
      <c r="F4066" s="1">
        <v>1.0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1">
        <v>50.15</v>
      </c>
      <c r="T4066" s="1">
        <v>50.15</v>
      </c>
      <c r="U4066" s="1">
        <v>0.0</v>
      </c>
      <c r="V4066" s="1">
        <v>0.0</v>
      </c>
      <c r="W4066" s="1" t="s">
        <v>26</v>
      </c>
    </row>
    <row r="4067" ht="15.75" customHeight="1">
      <c r="A4067" s="1" t="s">
        <v>4104</v>
      </c>
      <c r="B4067" s="1" t="s">
        <v>32</v>
      </c>
      <c r="C4067" s="1">
        <v>0.0</v>
      </c>
      <c r="D4067" s="1" t="s">
        <v>26</v>
      </c>
      <c r="E4067" s="1" t="s">
        <v>26</v>
      </c>
      <c r="F4067" s="1">
        <v>1.0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1">
        <v>19.75</v>
      </c>
      <c r="T4067" s="1">
        <v>19.75</v>
      </c>
      <c r="U4067" s="1">
        <v>0.0</v>
      </c>
      <c r="V4067" s="1">
        <v>0.0</v>
      </c>
      <c r="W4067" s="1" t="s">
        <v>25</v>
      </c>
    </row>
    <row r="4068" ht="15.75" customHeight="1">
      <c r="A4068" s="1" t="s">
        <v>4105</v>
      </c>
      <c r="B4068" s="1" t="s">
        <v>32</v>
      </c>
      <c r="C4068" s="1">
        <v>0.0</v>
      </c>
      <c r="D4068" s="1" t="s">
        <v>26</v>
      </c>
      <c r="E4068" s="1" t="s">
        <v>26</v>
      </c>
      <c r="F4068" s="1">
        <v>56.0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1">
        <v>64.65</v>
      </c>
      <c r="T4068" s="1">
        <v>3665.55</v>
      </c>
      <c r="U4068" s="1">
        <v>0.0</v>
      </c>
      <c r="V4068" s="1">
        <v>0.0</v>
      </c>
      <c r="W4068" s="1" t="s">
        <v>26</v>
      </c>
    </row>
    <row r="4069" ht="15.75" customHeight="1">
      <c r="A4069" s="1" t="s">
        <v>4106</v>
      </c>
      <c r="B4069" s="1" t="s">
        <v>24</v>
      </c>
      <c r="C4069" s="1">
        <v>0.0</v>
      </c>
      <c r="D4069" s="1" t="s">
        <v>25</v>
      </c>
      <c r="E4069" s="1" t="s">
        <v>26</v>
      </c>
      <c r="F4069" s="1">
        <v>68.0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1">
        <v>79.6</v>
      </c>
      <c r="T4069" s="1">
        <v>5515.8</v>
      </c>
      <c r="U4069" s="1">
        <v>0.0</v>
      </c>
      <c r="V4069" s="1">
        <v>1.0</v>
      </c>
      <c r="W4069" s="1" t="s">
        <v>26</v>
      </c>
    </row>
    <row r="4070" ht="15.75" customHeight="1">
      <c r="A4070" s="1" t="s">
        <v>4107</v>
      </c>
      <c r="B4070" s="1" t="s">
        <v>24</v>
      </c>
      <c r="C4070" s="1">
        <v>0.0</v>
      </c>
      <c r="D4070" s="1" t="s">
        <v>25</v>
      </c>
      <c r="E4070" s="1" t="s">
        <v>25</v>
      </c>
      <c r="F4070" s="1">
        <v>14.0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1">
        <v>19.5</v>
      </c>
      <c r="T4070" s="1">
        <v>272.0</v>
      </c>
      <c r="U4070" s="1">
        <v>0.0</v>
      </c>
      <c r="V4070" s="1">
        <v>0.0</v>
      </c>
      <c r="W4070" s="1" t="s">
        <v>26</v>
      </c>
    </row>
    <row r="4071" ht="15.75" customHeight="1">
      <c r="A4071" s="1" t="s">
        <v>4108</v>
      </c>
      <c r="B4071" s="1" t="s">
        <v>32</v>
      </c>
      <c r="C4071" s="1">
        <v>0.0</v>
      </c>
      <c r="D4071" s="1" t="s">
        <v>25</v>
      </c>
      <c r="E4071" s="1" t="s">
        <v>25</v>
      </c>
      <c r="F4071" s="1">
        <v>68.0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1">
        <v>99.55</v>
      </c>
      <c r="T4071" s="1">
        <v>6668.0</v>
      </c>
      <c r="U4071" s="1">
        <v>0.0</v>
      </c>
      <c r="V4071" s="1">
        <v>0.0</v>
      </c>
      <c r="W4071" s="1" t="s">
        <v>26</v>
      </c>
    </row>
    <row r="4072" ht="15.75" customHeight="1">
      <c r="A4072" s="1" t="s">
        <v>4109</v>
      </c>
      <c r="B4072" s="1" t="s">
        <v>32</v>
      </c>
      <c r="C4072" s="1">
        <v>1.0</v>
      </c>
      <c r="D4072" s="1" t="s">
        <v>25</v>
      </c>
      <c r="E4072" s="1" t="s">
        <v>26</v>
      </c>
      <c r="F4072" s="1">
        <v>55.0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1">
        <v>74.0</v>
      </c>
      <c r="T4072" s="1">
        <v>4052.4</v>
      </c>
      <c r="U4072" s="1">
        <v>0.0</v>
      </c>
      <c r="V4072" s="1">
        <v>2.0</v>
      </c>
      <c r="W4072" s="1" t="s">
        <v>26</v>
      </c>
    </row>
    <row r="4073" ht="15.75" customHeight="1">
      <c r="A4073" s="1" t="s">
        <v>4110</v>
      </c>
      <c r="B4073" s="1" t="s">
        <v>24</v>
      </c>
      <c r="C4073" s="1">
        <v>0.0</v>
      </c>
      <c r="D4073" s="1" t="s">
        <v>26</v>
      </c>
      <c r="E4073" s="1" t="s">
        <v>26</v>
      </c>
      <c r="F4073" s="1">
        <v>16.0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1">
        <v>38.9</v>
      </c>
      <c r="T4073" s="1">
        <v>664.4</v>
      </c>
      <c r="U4073" s="1">
        <v>0.0</v>
      </c>
      <c r="V4073" s="1">
        <v>0.0</v>
      </c>
      <c r="W4073" s="1" t="s">
        <v>26</v>
      </c>
    </row>
    <row r="4074" ht="15.75" customHeight="1">
      <c r="A4074" s="1" t="s">
        <v>4111</v>
      </c>
      <c r="B4074" s="1" t="s">
        <v>32</v>
      </c>
      <c r="C4074" s="1">
        <v>1.0</v>
      </c>
      <c r="D4074" s="1" t="s">
        <v>26</v>
      </c>
      <c r="E4074" s="1" t="s">
        <v>26</v>
      </c>
      <c r="F4074" s="1">
        <v>9.0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1">
        <v>79.55</v>
      </c>
      <c r="T4074" s="1">
        <v>718.55</v>
      </c>
      <c r="U4074" s="1">
        <v>0.0</v>
      </c>
      <c r="V4074" s="1">
        <v>0.0</v>
      </c>
      <c r="W4074" s="1" t="s">
        <v>26</v>
      </c>
    </row>
    <row r="4075" ht="15.75" customHeight="1">
      <c r="A4075" s="1" t="s">
        <v>4112</v>
      </c>
      <c r="B4075" s="1" t="s">
        <v>32</v>
      </c>
      <c r="C4075" s="1">
        <v>0.0</v>
      </c>
      <c r="D4075" s="1" t="s">
        <v>25</v>
      </c>
      <c r="E4075" s="1" t="s">
        <v>25</v>
      </c>
      <c r="F4075" s="1">
        <v>14.0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1">
        <v>65.45</v>
      </c>
      <c r="T4075" s="1">
        <v>937.6</v>
      </c>
      <c r="U4075" s="1">
        <v>0.0</v>
      </c>
      <c r="V4075" s="1">
        <v>1.0</v>
      </c>
      <c r="W4075" s="1" t="s">
        <v>25</v>
      </c>
    </row>
    <row r="4076" ht="15.75" customHeight="1">
      <c r="A4076" s="1" t="s">
        <v>4113</v>
      </c>
      <c r="B4076" s="1" t="s">
        <v>32</v>
      </c>
      <c r="C4076" s="1">
        <v>1.0</v>
      </c>
      <c r="D4076" s="1" t="s">
        <v>25</v>
      </c>
      <c r="E4076" s="1" t="s">
        <v>26</v>
      </c>
      <c r="F4076" s="1">
        <v>58.0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1">
        <v>98.7</v>
      </c>
      <c r="T4076" s="1">
        <v>5812.6</v>
      </c>
      <c r="U4076" s="1">
        <v>0.0</v>
      </c>
      <c r="V4076" s="1">
        <v>5.0</v>
      </c>
      <c r="W4076" s="1" t="s">
        <v>25</v>
      </c>
    </row>
    <row r="4077" ht="15.75" customHeight="1">
      <c r="A4077" s="1" t="s">
        <v>4114</v>
      </c>
      <c r="B4077" s="1" t="s">
        <v>32</v>
      </c>
      <c r="C4077" s="1">
        <v>0.0</v>
      </c>
      <c r="D4077" s="1" t="s">
        <v>26</v>
      </c>
      <c r="E4077" s="1" t="s">
        <v>26</v>
      </c>
      <c r="F4077" s="1">
        <v>53.0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1">
        <v>46.3</v>
      </c>
      <c r="T4077" s="1">
        <v>2546.85</v>
      </c>
      <c r="U4077" s="1">
        <v>0.0</v>
      </c>
      <c r="V4077" s="1">
        <v>0.0</v>
      </c>
      <c r="W4077" s="1" t="s">
        <v>26</v>
      </c>
    </row>
    <row r="4078" ht="15.75" customHeight="1">
      <c r="A4078" s="1" t="s">
        <v>4115</v>
      </c>
      <c r="B4078" s="1" t="s">
        <v>32</v>
      </c>
      <c r="C4078" s="1">
        <v>0.0</v>
      </c>
      <c r="D4078" s="1" t="s">
        <v>25</v>
      </c>
      <c r="E4078" s="1" t="s">
        <v>26</v>
      </c>
      <c r="F4078" s="1">
        <v>70.0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1">
        <v>99.35</v>
      </c>
      <c r="T4078" s="1">
        <v>6944.5</v>
      </c>
      <c r="U4078" s="1">
        <v>0.0</v>
      </c>
      <c r="V4078" s="1">
        <v>0.0</v>
      </c>
      <c r="W4078" s="1" t="s">
        <v>26</v>
      </c>
    </row>
    <row r="4079" ht="15.75" customHeight="1">
      <c r="A4079" s="1" t="s">
        <v>4116</v>
      </c>
      <c r="B4079" s="1" t="s">
        <v>24</v>
      </c>
      <c r="C4079" s="1">
        <v>1.0</v>
      </c>
      <c r="D4079" s="1" t="s">
        <v>25</v>
      </c>
      <c r="E4079" s="1" t="s">
        <v>25</v>
      </c>
      <c r="F4079" s="1">
        <v>14.0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1">
        <v>95.8</v>
      </c>
      <c r="T4079" s="1">
        <v>1346.3</v>
      </c>
      <c r="U4079" s="1">
        <v>0.0</v>
      </c>
      <c r="V4079" s="1">
        <v>0.0</v>
      </c>
      <c r="W4079" s="1" t="s">
        <v>26</v>
      </c>
    </row>
    <row r="4080" ht="15.75" customHeight="1">
      <c r="A4080" s="1" t="s">
        <v>4117</v>
      </c>
      <c r="B4080" s="1" t="s">
        <v>32</v>
      </c>
      <c r="C4080" s="1">
        <v>0.0</v>
      </c>
      <c r="D4080" s="1" t="s">
        <v>25</v>
      </c>
      <c r="E4080" s="1" t="s">
        <v>25</v>
      </c>
      <c r="F4080" s="1">
        <v>22.0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1">
        <v>67.5</v>
      </c>
      <c r="T4080" s="1">
        <v>1544.05</v>
      </c>
      <c r="U4080" s="1">
        <v>0.0</v>
      </c>
      <c r="V4080" s="1">
        <v>0.0</v>
      </c>
      <c r="W4080" s="1" t="s">
        <v>25</v>
      </c>
    </row>
    <row r="4081" ht="15.75" customHeight="1">
      <c r="A4081" s="1" t="s">
        <v>4118</v>
      </c>
      <c r="B4081" s="1" t="s">
        <v>24</v>
      </c>
      <c r="C4081" s="1">
        <v>0.0</v>
      </c>
      <c r="D4081" s="1" t="s">
        <v>25</v>
      </c>
      <c r="E4081" s="1" t="s">
        <v>26</v>
      </c>
      <c r="F4081" s="1">
        <v>10.0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1">
        <v>78.15</v>
      </c>
      <c r="T4081" s="1">
        <v>765.15</v>
      </c>
      <c r="U4081" s="1">
        <v>0.0</v>
      </c>
      <c r="V4081" s="1">
        <v>0.0</v>
      </c>
      <c r="W4081" s="1" t="s">
        <v>26</v>
      </c>
    </row>
    <row r="4082" ht="15.75" customHeight="1">
      <c r="A4082" s="1" t="s">
        <v>4119</v>
      </c>
      <c r="B4082" s="1" t="s">
        <v>24</v>
      </c>
      <c r="C4082" s="1">
        <v>0.0</v>
      </c>
      <c r="D4082" s="1" t="s">
        <v>25</v>
      </c>
      <c r="E4082" s="1" t="s">
        <v>25</v>
      </c>
      <c r="F4082" s="1">
        <v>29.0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1">
        <v>26.1</v>
      </c>
      <c r="T4082" s="1">
        <v>692.55</v>
      </c>
      <c r="U4082" s="1">
        <v>0.0</v>
      </c>
      <c r="V4082" s="1">
        <v>0.0</v>
      </c>
      <c r="W4082" s="1" t="s">
        <v>26</v>
      </c>
    </row>
    <row r="4083" ht="15.75" customHeight="1">
      <c r="A4083" s="1" t="s">
        <v>4120</v>
      </c>
      <c r="B4083" s="1" t="s">
        <v>24</v>
      </c>
      <c r="C4083" s="1">
        <v>0.0</v>
      </c>
      <c r="D4083" s="1" t="s">
        <v>26</v>
      </c>
      <c r="E4083" s="1" t="s">
        <v>26</v>
      </c>
      <c r="F4083" s="1">
        <v>1.0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1">
        <v>69.6</v>
      </c>
      <c r="T4083" s="1">
        <v>69.6</v>
      </c>
      <c r="U4083" s="1">
        <v>0.0</v>
      </c>
      <c r="V4083" s="1">
        <v>0.0</v>
      </c>
      <c r="W4083" s="1" t="s">
        <v>25</v>
      </c>
    </row>
    <row r="4084" ht="15.75" customHeight="1">
      <c r="A4084" s="1" t="s">
        <v>4121</v>
      </c>
      <c r="B4084" s="1" t="s">
        <v>32</v>
      </c>
      <c r="C4084" s="1">
        <v>0.0</v>
      </c>
      <c r="D4084" s="1" t="s">
        <v>25</v>
      </c>
      <c r="E4084" s="1" t="s">
        <v>26</v>
      </c>
      <c r="F4084" s="1">
        <v>49.0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1">
        <v>84.35</v>
      </c>
      <c r="T4084" s="1">
        <v>4059.35</v>
      </c>
      <c r="U4084" s="1">
        <v>0.0</v>
      </c>
      <c r="V4084" s="1">
        <v>2.0</v>
      </c>
      <c r="W4084" s="1" t="s">
        <v>25</v>
      </c>
    </row>
    <row r="4085" ht="15.75" customHeight="1">
      <c r="A4085" s="1" t="s">
        <v>4122</v>
      </c>
      <c r="B4085" s="1" t="s">
        <v>24</v>
      </c>
      <c r="C4085" s="1">
        <v>1.0</v>
      </c>
      <c r="D4085" s="1" t="s">
        <v>25</v>
      </c>
      <c r="E4085" s="1" t="s">
        <v>26</v>
      </c>
      <c r="F4085" s="1">
        <v>68.0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1">
        <v>100.2</v>
      </c>
      <c r="T4085" s="1">
        <v>6851.65</v>
      </c>
      <c r="U4085" s="1">
        <v>0.0</v>
      </c>
      <c r="V4085" s="1">
        <v>7.0</v>
      </c>
      <c r="W4085" s="1" t="s">
        <v>25</v>
      </c>
    </row>
    <row r="4086" ht="15.75" customHeight="1">
      <c r="A4086" s="1" t="s">
        <v>4123</v>
      </c>
      <c r="B4086" s="1" t="s">
        <v>24</v>
      </c>
      <c r="C4086" s="1">
        <v>0.0</v>
      </c>
      <c r="D4086" s="1" t="s">
        <v>26</v>
      </c>
      <c r="E4086" s="1" t="s">
        <v>26</v>
      </c>
      <c r="F4086" s="1">
        <v>1.0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1">
        <v>78.05</v>
      </c>
      <c r="T4086" s="1">
        <v>78.05</v>
      </c>
      <c r="U4086" s="1">
        <v>0.0</v>
      </c>
      <c r="V4086" s="1">
        <v>0.0</v>
      </c>
      <c r="W4086" s="1" t="s">
        <v>25</v>
      </c>
    </row>
    <row r="4087" ht="15.75" customHeight="1">
      <c r="A4087" s="1" t="s">
        <v>4124</v>
      </c>
      <c r="B4087" s="1" t="s">
        <v>24</v>
      </c>
      <c r="C4087" s="1">
        <v>0.0</v>
      </c>
      <c r="D4087" s="1" t="s">
        <v>26</v>
      </c>
      <c r="E4087" s="1" t="s">
        <v>26</v>
      </c>
      <c r="F4087" s="1">
        <v>30.0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1">
        <v>40.35</v>
      </c>
      <c r="T4087" s="1">
        <v>1187.05</v>
      </c>
      <c r="U4087" s="1">
        <v>0.0</v>
      </c>
      <c r="V4087" s="1">
        <v>0.0</v>
      </c>
      <c r="W4087" s="1" t="s">
        <v>26</v>
      </c>
    </row>
    <row r="4088" ht="15.75" customHeight="1">
      <c r="A4088" s="1" t="s">
        <v>4125</v>
      </c>
      <c r="B4088" s="1" t="s">
        <v>24</v>
      </c>
      <c r="C4088" s="1">
        <v>0.0</v>
      </c>
      <c r="D4088" s="1" t="s">
        <v>25</v>
      </c>
      <c r="E4088" s="1" t="s">
        <v>26</v>
      </c>
      <c r="F4088" s="1">
        <v>72.0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1">
        <v>79.2</v>
      </c>
      <c r="T4088" s="1">
        <v>5401.9</v>
      </c>
      <c r="U4088" s="1">
        <v>4.0</v>
      </c>
      <c r="V4088" s="1">
        <v>0.0</v>
      </c>
      <c r="W4088" s="1" t="s">
        <v>26</v>
      </c>
    </row>
    <row r="4089" ht="15.75" customHeight="1">
      <c r="A4089" s="1" t="s">
        <v>4126</v>
      </c>
      <c r="B4089" s="1" t="s">
        <v>24</v>
      </c>
      <c r="C4089" s="1">
        <v>0.0</v>
      </c>
      <c r="D4089" s="1" t="s">
        <v>26</v>
      </c>
      <c r="E4089" s="1" t="s">
        <v>26</v>
      </c>
      <c r="F4089" s="1">
        <v>10.0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1">
        <v>20.9</v>
      </c>
      <c r="T4089" s="1">
        <v>247.0</v>
      </c>
      <c r="U4089" s="1">
        <v>0.0</v>
      </c>
      <c r="V4089" s="1">
        <v>0.0</v>
      </c>
      <c r="W4089" s="1" t="s">
        <v>26</v>
      </c>
    </row>
    <row r="4090" ht="15.75" customHeight="1">
      <c r="A4090" s="1" t="s">
        <v>4127</v>
      </c>
      <c r="B4090" s="1" t="s">
        <v>32</v>
      </c>
      <c r="C4090" s="1">
        <v>0.0</v>
      </c>
      <c r="D4090" s="1" t="s">
        <v>26</v>
      </c>
      <c r="E4090" s="1" t="s">
        <v>26</v>
      </c>
      <c r="F4090" s="1">
        <v>7.0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1">
        <v>73.6</v>
      </c>
      <c r="T4090" s="1">
        <v>520.0</v>
      </c>
      <c r="U4090" s="1">
        <v>5.0</v>
      </c>
      <c r="V4090" s="1">
        <v>0.0</v>
      </c>
      <c r="W4090" s="1" t="s">
        <v>25</v>
      </c>
    </row>
    <row r="4091" ht="15.75" customHeight="1">
      <c r="A4091" s="1" t="s">
        <v>4128</v>
      </c>
      <c r="B4091" s="1" t="s">
        <v>24</v>
      </c>
      <c r="C4091" s="1">
        <v>0.0</v>
      </c>
      <c r="D4091" s="1" t="s">
        <v>26</v>
      </c>
      <c r="E4091" s="1" t="s">
        <v>26</v>
      </c>
      <c r="F4091" s="1">
        <v>9.0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1">
        <v>74.75</v>
      </c>
      <c r="T4091" s="1">
        <v>706.6</v>
      </c>
      <c r="U4091" s="1">
        <v>0.0</v>
      </c>
      <c r="V4091" s="1">
        <v>0.0</v>
      </c>
      <c r="W4091" s="1" t="s">
        <v>25</v>
      </c>
    </row>
    <row r="4092" ht="15.75" customHeight="1">
      <c r="A4092" s="1" t="s">
        <v>4129</v>
      </c>
      <c r="B4092" s="1" t="s">
        <v>24</v>
      </c>
      <c r="C4092" s="1">
        <v>0.0</v>
      </c>
      <c r="D4092" s="1" t="s">
        <v>26</v>
      </c>
      <c r="E4092" s="1" t="s">
        <v>25</v>
      </c>
      <c r="F4092" s="1">
        <v>1.0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1">
        <v>49.9</v>
      </c>
      <c r="T4092" s="1">
        <v>49.9</v>
      </c>
      <c r="U4092" s="1">
        <v>0.0</v>
      </c>
      <c r="V4092" s="1">
        <v>0.0</v>
      </c>
      <c r="W4092" s="1" t="s">
        <v>26</v>
      </c>
    </row>
    <row r="4093" ht="15.75" customHeight="1">
      <c r="A4093" s="1" t="s">
        <v>4130</v>
      </c>
      <c r="B4093" s="1" t="s">
        <v>24</v>
      </c>
      <c r="C4093" s="1">
        <v>0.0</v>
      </c>
      <c r="D4093" s="1" t="s">
        <v>26</v>
      </c>
      <c r="E4093" s="1" t="s">
        <v>26</v>
      </c>
      <c r="F4093" s="1">
        <v>20.0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1">
        <v>68.9</v>
      </c>
      <c r="T4093" s="1">
        <v>1370.35</v>
      </c>
      <c r="U4093" s="1">
        <v>2.0</v>
      </c>
      <c r="V4093" s="1">
        <v>0.0</v>
      </c>
      <c r="W4093" s="1" t="s">
        <v>26</v>
      </c>
    </row>
    <row r="4094" ht="15.75" customHeight="1">
      <c r="A4094" s="1" t="s">
        <v>4131</v>
      </c>
      <c r="B4094" s="1" t="s">
        <v>24</v>
      </c>
      <c r="C4094" s="1">
        <v>0.0</v>
      </c>
      <c r="D4094" s="1" t="s">
        <v>26</v>
      </c>
      <c r="E4094" s="1" t="s">
        <v>26</v>
      </c>
      <c r="F4094" s="1">
        <v>1.0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1">
        <v>20.25</v>
      </c>
      <c r="T4094" s="1">
        <v>20.25</v>
      </c>
      <c r="U4094" s="1">
        <v>0.0</v>
      </c>
      <c r="V4094" s="1">
        <v>0.0</v>
      </c>
      <c r="W4094" s="1" t="s">
        <v>26</v>
      </c>
    </row>
    <row r="4095" ht="15.75" customHeight="1">
      <c r="A4095" s="1" t="s">
        <v>4132</v>
      </c>
      <c r="B4095" s="1" t="s">
        <v>24</v>
      </c>
      <c r="C4095" s="1">
        <v>0.0</v>
      </c>
      <c r="D4095" s="1" t="s">
        <v>26</v>
      </c>
      <c r="E4095" s="1" t="s">
        <v>26</v>
      </c>
      <c r="F4095" s="1">
        <v>29.0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1">
        <v>76.0</v>
      </c>
      <c r="T4095" s="1">
        <v>2215.25</v>
      </c>
      <c r="U4095" s="1">
        <v>0.0</v>
      </c>
      <c r="V4095" s="1">
        <v>0.0</v>
      </c>
      <c r="W4095" s="1" t="s">
        <v>26</v>
      </c>
    </row>
    <row r="4096" ht="15.75" customHeight="1">
      <c r="A4096" s="1" t="s">
        <v>4133</v>
      </c>
      <c r="B4096" s="1" t="s">
        <v>32</v>
      </c>
      <c r="C4096" s="1">
        <v>0.0</v>
      </c>
      <c r="D4096" s="1" t="s">
        <v>26</v>
      </c>
      <c r="E4096" s="1" t="s">
        <v>26</v>
      </c>
      <c r="F4096" s="1">
        <v>1.0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1">
        <v>74.0</v>
      </c>
      <c r="T4096" s="1">
        <v>74.0</v>
      </c>
      <c r="U4096" s="1">
        <v>0.0</v>
      </c>
      <c r="V4096" s="1">
        <v>0.0</v>
      </c>
      <c r="W4096" s="1" t="s">
        <v>26</v>
      </c>
    </row>
    <row r="4097" ht="15.75" customHeight="1">
      <c r="A4097" s="1" t="s">
        <v>4134</v>
      </c>
      <c r="B4097" s="1" t="s">
        <v>32</v>
      </c>
      <c r="C4097" s="1">
        <v>0.0</v>
      </c>
      <c r="D4097" s="1" t="s">
        <v>26</v>
      </c>
      <c r="E4097" s="1" t="s">
        <v>26</v>
      </c>
      <c r="F4097" s="1">
        <v>3.0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1">
        <v>82.3</v>
      </c>
      <c r="T4097" s="1">
        <v>214.4</v>
      </c>
      <c r="U4097" s="1">
        <v>0.0</v>
      </c>
      <c r="V4097" s="1">
        <v>0.0</v>
      </c>
      <c r="W4097" s="1" t="s">
        <v>26</v>
      </c>
    </row>
    <row r="4098" ht="15.75" customHeight="1">
      <c r="A4098" s="1" t="s">
        <v>4135</v>
      </c>
      <c r="B4098" s="1" t="s">
        <v>24</v>
      </c>
      <c r="C4098" s="1">
        <v>0.0</v>
      </c>
      <c r="D4098" s="1" t="s">
        <v>26</v>
      </c>
      <c r="E4098" s="1" t="s">
        <v>26</v>
      </c>
      <c r="F4098" s="1">
        <v>20.0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1">
        <v>89.4</v>
      </c>
      <c r="T4098" s="1">
        <v>1871.15</v>
      </c>
      <c r="U4098" s="1">
        <v>0.0</v>
      </c>
      <c r="V4098" s="1">
        <v>0.0</v>
      </c>
      <c r="W4098" s="1" t="s">
        <v>26</v>
      </c>
    </row>
    <row r="4099" ht="15.75" customHeight="1">
      <c r="A4099" s="1" t="s">
        <v>4136</v>
      </c>
      <c r="B4099" s="1" t="s">
        <v>32</v>
      </c>
      <c r="C4099" s="1">
        <v>0.0</v>
      </c>
      <c r="D4099" s="1" t="s">
        <v>26</v>
      </c>
      <c r="E4099" s="1" t="s">
        <v>25</v>
      </c>
      <c r="F4099" s="1">
        <v>64.0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1">
        <v>99.15</v>
      </c>
      <c r="T4099" s="1">
        <v>6171.2</v>
      </c>
      <c r="U4099" s="1">
        <v>0.0</v>
      </c>
      <c r="V4099" s="1">
        <v>0.0</v>
      </c>
      <c r="W4099" s="1" t="s">
        <v>26</v>
      </c>
    </row>
    <row r="4100" ht="15.75" customHeight="1">
      <c r="A4100" s="1" t="s">
        <v>4137</v>
      </c>
      <c r="B4100" s="1" t="s">
        <v>32</v>
      </c>
      <c r="C4100" s="1">
        <v>0.0</v>
      </c>
      <c r="D4100" s="1" t="s">
        <v>26</v>
      </c>
      <c r="E4100" s="1" t="s">
        <v>26</v>
      </c>
      <c r="F4100" s="1">
        <v>1.0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1">
        <v>20.2</v>
      </c>
      <c r="T4100" s="1">
        <v>20.2</v>
      </c>
      <c r="U4100" s="1">
        <v>0.0</v>
      </c>
      <c r="V4100" s="1">
        <v>0.0</v>
      </c>
      <c r="W4100" s="1" t="s">
        <v>25</v>
      </c>
    </row>
    <row r="4101" ht="15.75" customHeight="1">
      <c r="A4101" s="1" t="s">
        <v>4138</v>
      </c>
      <c r="B4101" s="1" t="s">
        <v>24</v>
      </c>
      <c r="C4101" s="1">
        <v>0.0</v>
      </c>
      <c r="D4101" s="1" t="s">
        <v>26</v>
      </c>
      <c r="E4101" s="1" t="s">
        <v>26</v>
      </c>
      <c r="F4101" s="1">
        <v>6.0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1">
        <v>29.45</v>
      </c>
      <c r="T4101" s="1">
        <v>161.45</v>
      </c>
      <c r="U4101" s="1">
        <v>5.0</v>
      </c>
      <c r="V4101" s="1">
        <v>0.0</v>
      </c>
      <c r="W4101" s="1" t="s">
        <v>26</v>
      </c>
    </row>
    <row r="4102" ht="15.75" customHeight="1">
      <c r="A4102" s="1" t="s">
        <v>4139</v>
      </c>
      <c r="B4102" s="1" t="s">
        <v>32</v>
      </c>
      <c r="C4102" s="1">
        <v>0.0</v>
      </c>
      <c r="D4102" s="1" t="s">
        <v>25</v>
      </c>
      <c r="E4102" s="1" t="s">
        <v>26</v>
      </c>
      <c r="F4102" s="1">
        <v>50.0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1">
        <v>19.8</v>
      </c>
      <c r="T4102" s="1">
        <v>1013.2</v>
      </c>
      <c r="U4102" s="1">
        <v>2.0</v>
      </c>
      <c r="V4102" s="1">
        <v>0.0</v>
      </c>
      <c r="W4102" s="1" t="s">
        <v>26</v>
      </c>
    </row>
    <row r="4103" ht="15.75" customHeight="1">
      <c r="A4103" s="1" t="s">
        <v>4140</v>
      </c>
      <c r="B4103" s="1" t="s">
        <v>32</v>
      </c>
      <c r="C4103" s="1">
        <v>0.0</v>
      </c>
      <c r="D4103" s="1" t="s">
        <v>26</v>
      </c>
      <c r="E4103" s="1" t="s">
        <v>26</v>
      </c>
      <c r="F4103" s="1">
        <v>6.0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1">
        <v>59.15</v>
      </c>
      <c r="T4103" s="1">
        <v>336.7</v>
      </c>
      <c r="U4103" s="1">
        <v>0.0</v>
      </c>
      <c r="V4103" s="1">
        <v>0.0</v>
      </c>
      <c r="W4103" s="1" t="s">
        <v>26</v>
      </c>
    </row>
    <row r="4104" ht="15.75" customHeight="1">
      <c r="A4104" s="1" t="s">
        <v>4141</v>
      </c>
      <c r="B4104" s="1" t="s">
        <v>32</v>
      </c>
      <c r="C4104" s="1">
        <v>0.0</v>
      </c>
      <c r="D4104" s="1" t="s">
        <v>25</v>
      </c>
      <c r="E4104" s="1" t="s">
        <v>25</v>
      </c>
      <c r="F4104" s="1">
        <v>7.0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1">
        <v>44.75</v>
      </c>
      <c r="T4104" s="1">
        <v>333.65</v>
      </c>
      <c r="U4104" s="1">
        <v>0.0</v>
      </c>
      <c r="V4104" s="1">
        <v>0.0</v>
      </c>
      <c r="W4104" s="1" t="s">
        <v>26</v>
      </c>
    </row>
    <row r="4105" ht="15.75" customHeight="1">
      <c r="A4105" s="1" t="s">
        <v>4142</v>
      </c>
      <c r="B4105" s="1" t="s">
        <v>32</v>
      </c>
      <c r="C4105" s="1">
        <v>0.0</v>
      </c>
      <c r="D4105" s="1" t="s">
        <v>25</v>
      </c>
      <c r="E4105" s="1" t="s">
        <v>25</v>
      </c>
      <c r="F4105" s="1">
        <v>72.0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1">
        <v>90.8</v>
      </c>
      <c r="T4105" s="1">
        <v>6511.8</v>
      </c>
      <c r="U4105" s="1">
        <v>3.0</v>
      </c>
      <c r="V4105" s="1">
        <v>0.0</v>
      </c>
      <c r="W4105" s="1" t="s">
        <v>26</v>
      </c>
    </row>
    <row r="4106" ht="15.75" customHeight="1">
      <c r="A4106" s="1" t="s">
        <v>4143</v>
      </c>
      <c r="B4106" s="1" t="s">
        <v>32</v>
      </c>
      <c r="C4106" s="1">
        <v>0.0</v>
      </c>
      <c r="D4106" s="1" t="s">
        <v>25</v>
      </c>
      <c r="E4106" s="1" t="s">
        <v>26</v>
      </c>
      <c r="F4106" s="1">
        <v>8.0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1">
        <v>49.55</v>
      </c>
      <c r="T4106" s="1">
        <v>393.45</v>
      </c>
      <c r="U4106" s="1">
        <v>0.0</v>
      </c>
      <c r="V4106" s="1">
        <v>0.0</v>
      </c>
      <c r="W4106" s="1" t="s">
        <v>26</v>
      </c>
    </row>
    <row r="4107" ht="15.75" customHeight="1">
      <c r="A4107" s="1" t="s">
        <v>4144</v>
      </c>
      <c r="B4107" s="1" t="s">
        <v>24</v>
      </c>
      <c r="C4107" s="1">
        <v>0.0</v>
      </c>
      <c r="D4107" s="1" t="s">
        <v>25</v>
      </c>
      <c r="E4107" s="1" t="s">
        <v>25</v>
      </c>
      <c r="F4107" s="1">
        <v>67.0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1">
        <v>106.7</v>
      </c>
      <c r="T4107" s="1">
        <v>7009.5</v>
      </c>
      <c r="U4107" s="1">
        <v>0.0</v>
      </c>
      <c r="V4107" s="1">
        <v>0.0</v>
      </c>
      <c r="W4107" s="1" t="s">
        <v>26</v>
      </c>
    </row>
    <row r="4108" ht="15.75" customHeight="1">
      <c r="A4108" s="1" t="s">
        <v>4145</v>
      </c>
      <c r="B4108" s="1" t="s">
        <v>24</v>
      </c>
      <c r="C4108" s="1">
        <v>1.0</v>
      </c>
      <c r="D4108" s="1" t="s">
        <v>25</v>
      </c>
      <c r="E4108" s="1" t="s">
        <v>26</v>
      </c>
      <c r="F4108" s="1">
        <v>24.0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1">
        <v>93.55</v>
      </c>
      <c r="T4108" s="1">
        <v>2264.05</v>
      </c>
      <c r="U4108" s="1">
        <v>0.0</v>
      </c>
      <c r="V4108" s="1">
        <v>2.0</v>
      </c>
      <c r="W4108" s="1" t="s">
        <v>25</v>
      </c>
    </row>
    <row r="4109" ht="15.75" customHeight="1">
      <c r="A4109" s="1" t="s">
        <v>4146</v>
      </c>
      <c r="B4109" s="1" t="s">
        <v>24</v>
      </c>
      <c r="C4109" s="1">
        <v>0.0</v>
      </c>
      <c r="D4109" s="1" t="s">
        <v>25</v>
      </c>
      <c r="E4109" s="1" t="s">
        <v>26</v>
      </c>
      <c r="F4109" s="1">
        <v>72.0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1">
        <v>94.45</v>
      </c>
      <c r="T4109" s="1">
        <v>6921.7</v>
      </c>
      <c r="U4109" s="1">
        <v>2.0</v>
      </c>
      <c r="V4109" s="1">
        <v>0.0</v>
      </c>
      <c r="W4109" s="1" t="s">
        <v>26</v>
      </c>
    </row>
    <row r="4110" ht="15.75" customHeight="1">
      <c r="A4110" s="1" t="s">
        <v>4147</v>
      </c>
      <c r="B4110" s="1" t="s">
        <v>32</v>
      </c>
      <c r="C4110" s="1">
        <v>0.0</v>
      </c>
      <c r="D4110" s="1" t="s">
        <v>25</v>
      </c>
      <c r="E4110" s="1" t="s">
        <v>25</v>
      </c>
      <c r="F4110" s="1">
        <v>33.0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1">
        <v>19.45</v>
      </c>
      <c r="T4110" s="1">
        <v>600.25</v>
      </c>
      <c r="U4110" s="1">
        <v>0.0</v>
      </c>
      <c r="V4110" s="1">
        <v>0.0</v>
      </c>
      <c r="W4110" s="1" t="s">
        <v>26</v>
      </c>
    </row>
    <row r="4111" ht="15.75" customHeight="1">
      <c r="A4111" s="1" t="s">
        <v>4148</v>
      </c>
      <c r="B4111" s="1" t="s">
        <v>32</v>
      </c>
      <c r="C4111" s="1">
        <v>0.0</v>
      </c>
      <c r="D4111" s="1" t="s">
        <v>26</v>
      </c>
      <c r="E4111" s="1" t="s">
        <v>26</v>
      </c>
      <c r="F4111" s="1">
        <v>2.0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1">
        <v>25.05</v>
      </c>
      <c r="T4111" s="1">
        <v>56.35</v>
      </c>
      <c r="U4111" s="1">
        <v>0.0</v>
      </c>
      <c r="V4111" s="1">
        <v>0.0</v>
      </c>
      <c r="W4111" s="1" t="s">
        <v>25</v>
      </c>
    </row>
    <row r="4112" ht="15.75" customHeight="1">
      <c r="A4112" s="1" t="s">
        <v>4149</v>
      </c>
      <c r="B4112" s="1" t="s">
        <v>32</v>
      </c>
      <c r="C4112" s="1">
        <v>0.0</v>
      </c>
      <c r="D4112" s="1" t="s">
        <v>25</v>
      </c>
      <c r="E4112" s="1" t="s">
        <v>26</v>
      </c>
      <c r="F4112" s="1">
        <v>70.0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1">
        <v>67.95</v>
      </c>
      <c r="T4112" s="1">
        <v>4664.15</v>
      </c>
      <c r="U4112" s="1">
        <v>0.0</v>
      </c>
      <c r="V4112" s="1">
        <v>0.0</v>
      </c>
      <c r="W4112" s="1" t="s">
        <v>26</v>
      </c>
    </row>
    <row r="4113" ht="15.75" customHeight="1">
      <c r="A4113" s="1" t="s">
        <v>4150</v>
      </c>
      <c r="B4113" s="1" t="s">
        <v>24</v>
      </c>
      <c r="C4113" s="1">
        <v>0.0</v>
      </c>
      <c r="D4113" s="1" t="s">
        <v>26</v>
      </c>
      <c r="E4113" s="1" t="s">
        <v>26</v>
      </c>
      <c r="F4113" s="1">
        <v>22.0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1">
        <v>65.25</v>
      </c>
      <c r="T4113" s="1">
        <v>1441.8</v>
      </c>
      <c r="U4113" s="1">
        <v>0.0</v>
      </c>
      <c r="V4113" s="1">
        <v>0.0</v>
      </c>
      <c r="W4113" s="1" t="s">
        <v>26</v>
      </c>
    </row>
    <row r="4114" ht="15.75" customHeight="1">
      <c r="A4114" s="1" t="s">
        <v>4151</v>
      </c>
      <c r="B4114" s="1" t="s">
        <v>24</v>
      </c>
      <c r="C4114" s="1">
        <v>0.0</v>
      </c>
      <c r="D4114" s="1" t="s">
        <v>26</v>
      </c>
      <c r="E4114" s="1" t="s">
        <v>26</v>
      </c>
      <c r="F4114" s="1">
        <v>59.0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1">
        <v>99.45</v>
      </c>
      <c r="T4114" s="1">
        <v>5623.7</v>
      </c>
      <c r="U4114" s="1">
        <v>0.0</v>
      </c>
      <c r="V4114" s="1">
        <v>0.0</v>
      </c>
      <c r="W4114" s="1" t="s">
        <v>26</v>
      </c>
    </row>
    <row r="4115" ht="15.75" customHeight="1">
      <c r="A4115" s="1" t="s">
        <v>4152</v>
      </c>
      <c r="B4115" s="1" t="s">
        <v>32</v>
      </c>
      <c r="C4115" s="1">
        <v>0.0</v>
      </c>
      <c r="D4115" s="1" t="s">
        <v>26</v>
      </c>
      <c r="E4115" s="1" t="s">
        <v>26</v>
      </c>
      <c r="F4115" s="1">
        <v>36.0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1">
        <v>20.35</v>
      </c>
      <c r="T4115" s="1">
        <v>695.85</v>
      </c>
      <c r="U4115" s="1">
        <v>0.0</v>
      </c>
      <c r="V4115" s="1">
        <v>0.0</v>
      </c>
      <c r="W4115" s="1" t="s">
        <v>26</v>
      </c>
    </row>
    <row r="4116" ht="15.75" customHeight="1">
      <c r="A4116" s="1" t="s">
        <v>4153</v>
      </c>
      <c r="B4116" s="1" t="s">
        <v>24</v>
      </c>
      <c r="C4116" s="1">
        <v>0.0</v>
      </c>
      <c r="D4116" s="1" t="s">
        <v>25</v>
      </c>
      <c r="E4116" s="1" t="s">
        <v>25</v>
      </c>
      <c r="F4116" s="1">
        <v>51.0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1">
        <v>19.95</v>
      </c>
      <c r="T4116" s="1">
        <v>1028.75</v>
      </c>
      <c r="U4116" s="1">
        <v>0.0</v>
      </c>
      <c r="V4116" s="1">
        <v>0.0</v>
      </c>
      <c r="W4116" s="1" t="s">
        <v>26</v>
      </c>
    </row>
    <row r="4117" ht="15.75" customHeight="1">
      <c r="A4117" s="1" t="s">
        <v>4154</v>
      </c>
      <c r="B4117" s="1" t="s">
        <v>32</v>
      </c>
      <c r="C4117" s="1">
        <v>0.0</v>
      </c>
      <c r="D4117" s="1" t="s">
        <v>25</v>
      </c>
      <c r="E4117" s="1" t="s">
        <v>26</v>
      </c>
      <c r="F4117" s="1">
        <v>53.0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1">
        <v>77.4</v>
      </c>
      <c r="T4117" s="1">
        <v>4155.95</v>
      </c>
      <c r="U4117" s="1">
        <v>0.0</v>
      </c>
      <c r="V4117" s="1">
        <v>0.0</v>
      </c>
      <c r="W4117" s="1" t="s">
        <v>26</v>
      </c>
    </row>
    <row r="4118" ht="15.75" customHeight="1">
      <c r="A4118" s="1" t="s">
        <v>4155</v>
      </c>
      <c r="B4118" s="1" t="s">
        <v>24</v>
      </c>
      <c r="C4118" s="1">
        <v>0.0</v>
      </c>
      <c r="D4118" s="1" t="s">
        <v>25</v>
      </c>
      <c r="E4118" s="1" t="s">
        <v>25</v>
      </c>
      <c r="F4118" s="1">
        <v>20.0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1">
        <v>19.7</v>
      </c>
      <c r="T4118" s="1">
        <v>395.6</v>
      </c>
      <c r="U4118" s="1">
        <v>1.0</v>
      </c>
      <c r="V4118" s="1">
        <v>0.0</v>
      </c>
      <c r="W4118" s="1" t="s">
        <v>26</v>
      </c>
    </row>
    <row r="4119" ht="15.75" customHeight="1">
      <c r="A4119" s="1" t="s">
        <v>4156</v>
      </c>
      <c r="B4119" s="1" t="s">
        <v>32</v>
      </c>
      <c r="C4119" s="1">
        <v>0.0</v>
      </c>
      <c r="D4119" s="1" t="s">
        <v>25</v>
      </c>
      <c r="E4119" s="1" t="s">
        <v>26</v>
      </c>
      <c r="F4119" s="1">
        <v>63.0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1">
        <v>99.7</v>
      </c>
      <c r="T4119" s="1">
        <v>6330.4</v>
      </c>
      <c r="U4119" s="1">
        <v>0.0</v>
      </c>
      <c r="V4119" s="1">
        <v>6.0</v>
      </c>
      <c r="W4119" s="1" t="s">
        <v>26</v>
      </c>
    </row>
    <row r="4120" ht="15.75" customHeight="1">
      <c r="A4120" s="1" t="s">
        <v>4157</v>
      </c>
      <c r="B4120" s="1" t="s">
        <v>24</v>
      </c>
      <c r="C4120" s="1">
        <v>0.0</v>
      </c>
      <c r="D4120" s="1" t="s">
        <v>26</v>
      </c>
      <c r="E4120" s="1" t="s">
        <v>26</v>
      </c>
      <c r="F4120" s="1">
        <v>40.0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1">
        <v>74.8</v>
      </c>
      <c r="T4120" s="1">
        <v>2971.7</v>
      </c>
      <c r="U4120" s="1">
        <v>0.0</v>
      </c>
      <c r="V4120" s="1">
        <v>0.0</v>
      </c>
      <c r="W4120" s="1" t="s">
        <v>26</v>
      </c>
    </row>
    <row r="4121" ht="15.75" customHeight="1">
      <c r="A4121" s="1" t="s">
        <v>4158</v>
      </c>
      <c r="B4121" s="1" t="s">
        <v>32</v>
      </c>
      <c r="C4121" s="1">
        <v>0.0</v>
      </c>
      <c r="D4121" s="1" t="s">
        <v>26</v>
      </c>
      <c r="E4121" s="1" t="s">
        <v>26</v>
      </c>
      <c r="F4121" s="1">
        <v>35.0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1">
        <v>19.15</v>
      </c>
      <c r="T4121" s="1">
        <v>638.0</v>
      </c>
      <c r="U4121" s="1">
        <v>0.0</v>
      </c>
      <c r="V4121" s="1">
        <v>0.0</v>
      </c>
      <c r="W4121" s="1" t="s">
        <v>26</v>
      </c>
    </row>
    <row r="4122" ht="15.75" customHeight="1">
      <c r="A4122" s="1" t="s">
        <v>4159</v>
      </c>
      <c r="B4122" s="1" t="s">
        <v>32</v>
      </c>
      <c r="C4122" s="1">
        <v>0.0</v>
      </c>
      <c r="D4122" s="1" t="s">
        <v>25</v>
      </c>
      <c r="E4122" s="1" t="s">
        <v>25</v>
      </c>
      <c r="F4122" s="1">
        <v>26.0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1">
        <v>78.95</v>
      </c>
      <c r="T4122" s="1">
        <v>2034.25</v>
      </c>
      <c r="U4122" s="1">
        <v>0.0</v>
      </c>
      <c r="V4122" s="1">
        <v>0.0</v>
      </c>
      <c r="W4122" s="1" t="s">
        <v>26</v>
      </c>
    </row>
    <row r="4123" ht="15.75" customHeight="1">
      <c r="A4123" s="1" t="s">
        <v>4160</v>
      </c>
      <c r="B4123" s="1" t="s">
        <v>32</v>
      </c>
      <c r="C4123" s="1">
        <v>1.0</v>
      </c>
      <c r="D4123" s="1" t="s">
        <v>25</v>
      </c>
      <c r="E4123" s="1" t="s">
        <v>26</v>
      </c>
      <c r="F4123" s="1">
        <v>27.0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1">
        <v>95.55</v>
      </c>
      <c r="T4123" s="1">
        <v>2510.2</v>
      </c>
      <c r="U4123" s="1">
        <v>0.0</v>
      </c>
      <c r="V4123" s="1">
        <v>3.0</v>
      </c>
      <c r="W4123" s="1" t="s">
        <v>25</v>
      </c>
    </row>
    <row r="4124" ht="15.75" customHeight="1">
      <c r="A4124" s="1" t="s">
        <v>4161</v>
      </c>
      <c r="B4124" s="1" t="s">
        <v>32</v>
      </c>
      <c r="C4124" s="1">
        <v>0.0</v>
      </c>
      <c r="D4124" s="1" t="s">
        <v>26</v>
      </c>
      <c r="E4124" s="1" t="s">
        <v>25</v>
      </c>
      <c r="F4124" s="1">
        <v>53.0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1">
        <v>62.85</v>
      </c>
      <c r="T4124" s="1">
        <v>3419.5</v>
      </c>
      <c r="U4124" s="1">
        <v>0.0</v>
      </c>
      <c r="V4124" s="1">
        <v>0.0</v>
      </c>
      <c r="W4124" s="1" t="s">
        <v>26</v>
      </c>
    </row>
    <row r="4125" ht="15.75" customHeight="1">
      <c r="A4125" s="1" t="s">
        <v>4162</v>
      </c>
      <c r="B4125" s="1" t="s">
        <v>32</v>
      </c>
      <c r="C4125" s="1">
        <v>1.0</v>
      </c>
      <c r="D4125" s="1" t="s">
        <v>25</v>
      </c>
      <c r="E4125" s="1" t="s">
        <v>26</v>
      </c>
      <c r="F4125" s="1">
        <v>34.0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1">
        <v>71.55</v>
      </c>
      <c r="T4125" s="1">
        <v>2427.35</v>
      </c>
      <c r="U4125" s="1">
        <v>4.0</v>
      </c>
      <c r="V4125" s="1">
        <v>0.0</v>
      </c>
      <c r="W4125" s="1" t="s">
        <v>26</v>
      </c>
    </row>
    <row r="4126" ht="15.75" customHeight="1">
      <c r="A4126" s="1" t="s">
        <v>4163</v>
      </c>
      <c r="B4126" s="1" t="s">
        <v>24</v>
      </c>
      <c r="C4126" s="1">
        <v>1.0</v>
      </c>
      <c r="D4126" s="1" t="s">
        <v>25</v>
      </c>
      <c r="E4126" s="1" t="s">
        <v>26</v>
      </c>
      <c r="F4126" s="1">
        <v>19.0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1">
        <v>94.95</v>
      </c>
      <c r="T4126" s="1">
        <v>1760.25</v>
      </c>
      <c r="U4126" s="1">
        <v>0.0</v>
      </c>
      <c r="V4126" s="1">
        <v>0.0</v>
      </c>
      <c r="W4126" s="1" t="s">
        <v>26</v>
      </c>
    </row>
    <row r="4127" ht="15.75" customHeight="1">
      <c r="A4127" s="1" t="s">
        <v>4164</v>
      </c>
      <c r="B4127" s="1" t="s">
        <v>32</v>
      </c>
      <c r="C4127" s="1">
        <v>0.0</v>
      </c>
      <c r="D4127" s="1" t="s">
        <v>25</v>
      </c>
      <c r="E4127" s="1" t="s">
        <v>26</v>
      </c>
      <c r="F4127" s="1">
        <v>43.0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1">
        <v>86.1</v>
      </c>
      <c r="T4127" s="1">
        <v>3551.65</v>
      </c>
      <c r="U4127" s="1">
        <v>0.0</v>
      </c>
      <c r="V4127" s="1">
        <v>0.0</v>
      </c>
      <c r="W4127" s="1" t="s">
        <v>26</v>
      </c>
    </row>
    <row r="4128" ht="15.75" customHeight="1">
      <c r="A4128" s="1" t="s">
        <v>4165</v>
      </c>
      <c r="B4128" s="1" t="s">
        <v>32</v>
      </c>
      <c r="C4128" s="1">
        <v>0.0</v>
      </c>
      <c r="D4128" s="1" t="s">
        <v>25</v>
      </c>
      <c r="E4128" s="1" t="s">
        <v>25</v>
      </c>
      <c r="F4128" s="1">
        <v>6.0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1">
        <v>19.55</v>
      </c>
      <c r="T4128" s="1">
        <v>122.9</v>
      </c>
      <c r="U4128" s="1">
        <v>0.0</v>
      </c>
      <c r="V4128" s="1">
        <v>0.0</v>
      </c>
      <c r="W4128" s="1" t="s">
        <v>26</v>
      </c>
    </row>
    <row r="4129" ht="15.75" customHeight="1">
      <c r="A4129" s="1" t="s">
        <v>4166</v>
      </c>
      <c r="B4129" s="1" t="s">
        <v>32</v>
      </c>
      <c r="C4129" s="1">
        <v>0.0</v>
      </c>
      <c r="D4129" s="1" t="s">
        <v>26</v>
      </c>
      <c r="E4129" s="1" t="s">
        <v>25</v>
      </c>
      <c r="F4129" s="1">
        <v>56.0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1">
        <v>24.8</v>
      </c>
      <c r="T4129" s="1">
        <v>1424.2</v>
      </c>
      <c r="U4129" s="1">
        <v>0.0</v>
      </c>
      <c r="V4129" s="1">
        <v>4.0</v>
      </c>
      <c r="W4129" s="1" t="s">
        <v>26</v>
      </c>
    </row>
    <row r="4130" ht="15.75" customHeight="1">
      <c r="A4130" s="1" t="s">
        <v>4167</v>
      </c>
      <c r="B4130" s="1" t="s">
        <v>32</v>
      </c>
      <c r="C4130" s="1">
        <v>0.0</v>
      </c>
      <c r="D4130" s="1" t="s">
        <v>26</v>
      </c>
      <c r="E4130" s="1" t="s">
        <v>26</v>
      </c>
      <c r="F4130" s="1">
        <v>57.0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1">
        <v>39.3</v>
      </c>
      <c r="T4130" s="1">
        <v>2111.45</v>
      </c>
      <c r="U4130" s="1">
        <v>0.0</v>
      </c>
      <c r="V4130" s="1">
        <v>4.0</v>
      </c>
      <c r="W4130" s="1" t="s">
        <v>25</v>
      </c>
    </row>
    <row r="4131" ht="15.75" customHeight="1">
      <c r="A4131" s="1" t="s">
        <v>4168</v>
      </c>
      <c r="B4131" s="1" t="s">
        <v>32</v>
      </c>
      <c r="C4131" s="1">
        <v>0.0</v>
      </c>
      <c r="D4131" s="1" t="s">
        <v>25</v>
      </c>
      <c r="E4131" s="1" t="s">
        <v>25</v>
      </c>
      <c r="F4131" s="1">
        <v>34.0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1">
        <v>84.05</v>
      </c>
      <c r="T4131" s="1">
        <v>2909.95</v>
      </c>
      <c r="U4131" s="1">
        <v>0.0</v>
      </c>
      <c r="V4131" s="1">
        <v>0.0</v>
      </c>
      <c r="W4131" s="1" t="s">
        <v>26</v>
      </c>
    </row>
    <row r="4132" ht="15.75" customHeight="1">
      <c r="A4132" s="1" t="s">
        <v>4169</v>
      </c>
      <c r="B4132" s="1" t="s">
        <v>24</v>
      </c>
      <c r="C4132" s="1">
        <v>0.0</v>
      </c>
      <c r="D4132" s="1" t="s">
        <v>26</v>
      </c>
      <c r="E4132" s="1" t="s">
        <v>26</v>
      </c>
      <c r="F4132" s="1">
        <v>10.0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1">
        <v>36.25</v>
      </c>
      <c r="T4132" s="1">
        <v>374.0</v>
      </c>
      <c r="U4132" s="1">
        <v>1.0</v>
      </c>
      <c r="V4132" s="1">
        <v>0.0</v>
      </c>
      <c r="W4132" s="1" t="s">
        <v>26</v>
      </c>
    </row>
    <row r="4133" ht="15.75" customHeight="1">
      <c r="A4133" s="1" t="s">
        <v>4170</v>
      </c>
      <c r="B4133" s="1" t="s">
        <v>24</v>
      </c>
      <c r="C4133" s="1">
        <v>0.0</v>
      </c>
      <c r="D4133" s="1" t="s">
        <v>26</v>
      </c>
      <c r="E4133" s="1" t="s">
        <v>26</v>
      </c>
      <c r="F4133" s="1">
        <v>1.0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1">
        <v>20.25</v>
      </c>
      <c r="T4133" s="1">
        <v>20.25</v>
      </c>
      <c r="U4133" s="1">
        <v>0.0</v>
      </c>
      <c r="V4133" s="1">
        <v>0.0</v>
      </c>
      <c r="W4133" s="1" t="s">
        <v>25</v>
      </c>
    </row>
    <row r="4134" ht="15.75" customHeight="1">
      <c r="A4134" s="1" t="s">
        <v>4171</v>
      </c>
      <c r="B4134" s="1" t="s">
        <v>24</v>
      </c>
      <c r="C4134" s="1">
        <v>0.0</v>
      </c>
      <c r="D4134" s="1" t="s">
        <v>26</v>
      </c>
      <c r="E4134" s="1" t="s">
        <v>26</v>
      </c>
      <c r="F4134" s="1">
        <v>13.0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1">
        <v>23.9</v>
      </c>
      <c r="T4134" s="1">
        <v>300.8</v>
      </c>
      <c r="U4134" s="1">
        <v>0.0</v>
      </c>
      <c r="V4134" s="1">
        <v>0.0</v>
      </c>
      <c r="W4134" s="1" t="s">
        <v>25</v>
      </c>
    </row>
    <row r="4135" ht="15.75" customHeight="1">
      <c r="A4135" s="1" t="s">
        <v>4172</v>
      </c>
      <c r="B4135" s="1" t="s">
        <v>32</v>
      </c>
      <c r="C4135" s="1">
        <v>0.0</v>
      </c>
      <c r="D4135" s="1" t="s">
        <v>26</v>
      </c>
      <c r="E4135" s="1" t="s">
        <v>26</v>
      </c>
      <c r="F4135" s="1">
        <v>56.0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1">
        <v>98.6</v>
      </c>
      <c r="T4135" s="1">
        <v>5581.05</v>
      </c>
      <c r="U4135" s="1">
        <v>0.0</v>
      </c>
      <c r="V4135" s="1">
        <v>0.0</v>
      </c>
      <c r="W4135" s="1" t="s">
        <v>26</v>
      </c>
    </row>
    <row r="4136" ht="15.75" customHeight="1">
      <c r="A4136" s="1" t="s">
        <v>4173</v>
      </c>
      <c r="B4136" s="1" t="s">
        <v>24</v>
      </c>
      <c r="C4136" s="1">
        <v>0.0</v>
      </c>
      <c r="D4136" s="1" t="s">
        <v>25</v>
      </c>
      <c r="E4136" s="1" t="s">
        <v>26</v>
      </c>
      <c r="F4136" s="1">
        <v>55.0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1">
        <v>103.65</v>
      </c>
      <c r="T4136" s="1">
        <v>5676.65</v>
      </c>
      <c r="U4136" s="1">
        <v>0.0</v>
      </c>
      <c r="V4136" s="1">
        <v>0.0</v>
      </c>
      <c r="W4136" s="1" t="s">
        <v>26</v>
      </c>
    </row>
    <row r="4137" ht="15.75" customHeight="1">
      <c r="A4137" s="1" t="s">
        <v>4174</v>
      </c>
      <c r="B4137" s="1" t="s">
        <v>24</v>
      </c>
      <c r="C4137" s="1">
        <v>0.0</v>
      </c>
      <c r="D4137" s="1" t="s">
        <v>25</v>
      </c>
      <c r="E4137" s="1" t="s">
        <v>25</v>
      </c>
      <c r="F4137" s="1">
        <v>36.0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1">
        <v>92.9</v>
      </c>
      <c r="T4137" s="1">
        <v>3379.25</v>
      </c>
      <c r="U4137" s="1">
        <v>0.0</v>
      </c>
      <c r="V4137" s="1">
        <v>0.0</v>
      </c>
      <c r="W4137" s="1" t="s">
        <v>26</v>
      </c>
    </row>
    <row r="4138" ht="15.75" customHeight="1">
      <c r="A4138" s="1" t="s">
        <v>4175</v>
      </c>
      <c r="B4138" s="1" t="s">
        <v>32</v>
      </c>
      <c r="C4138" s="1">
        <v>0.0</v>
      </c>
      <c r="D4138" s="1" t="s">
        <v>25</v>
      </c>
      <c r="E4138" s="1" t="s">
        <v>26</v>
      </c>
      <c r="F4138" s="1">
        <v>47.0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1">
        <v>19.9</v>
      </c>
      <c r="T4138" s="1">
        <v>942.95</v>
      </c>
      <c r="U4138" s="1">
        <v>0.0</v>
      </c>
      <c r="V4138" s="1">
        <v>0.0</v>
      </c>
      <c r="W4138" s="1" t="s">
        <v>26</v>
      </c>
    </row>
    <row r="4139" ht="15.75" customHeight="1">
      <c r="A4139" s="1" t="s">
        <v>4176</v>
      </c>
      <c r="B4139" s="1" t="s">
        <v>24</v>
      </c>
      <c r="C4139" s="1">
        <v>0.0</v>
      </c>
      <c r="D4139" s="1" t="s">
        <v>25</v>
      </c>
      <c r="E4139" s="1" t="s">
        <v>25</v>
      </c>
      <c r="F4139" s="1">
        <v>12.0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1">
        <v>20.1</v>
      </c>
      <c r="T4139" s="1">
        <v>232.4</v>
      </c>
      <c r="U4139" s="1">
        <v>0.0</v>
      </c>
      <c r="V4139" s="1">
        <v>0.0</v>
      </c>
      <c r="W4139" s="1" t="s">
        <v>26</v>
      </c>
    </row>
    <row r="4140" ht="15.75" customHeight="1">
      <c r="A4140" s="1" t="s">
        <v>4177</v>
      </c>
      <c r="B4140" s="1" t="s">
        <v>24</v>
      </c>
      <c r="C4140" s="1">
        <v>0.0</v>
      </c>
      <c r="D4140" s="1" t="s">
        <v>26</v>
      </c>
      <c r="E4140" s="1" t="s">
        <v>26</v>
      </c>
      <c r="F4140" s="1">
        <v>1.0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1">
        <v>85.45</v>
      </c>
      <c r="T4140" s="1">
        <v>85.45</v>
      </c>
      <c r="U4140" s="1">
        <v>0.0</v>
      </c>
      <c r="V4140" s="1">
        <v>0.0</v>
      </c>
      <c r="W4140" s="1" t="s">
        <v>25</v>
      </c>
    </row>
    <row r="4141" ht="15.75" customHeight="1">
      <c r="A4141" s="1" t="s">
        <v>4178</v>
      </c>
      <c r="B4141" s="1" t="s">
        <v>32</v>
      </c>
      <c r="C4141" s="1">
        <v>1.0</v>
      </c>
      <c r="D4141" s="1" t="s">
        <v>26</v>
      </c>
      <c r="E4141" s="1" t="s">
        <v>26</v>
      </c>
      <c r="F4141" s="1">
        <v>24.0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1">
        <v>80.5</v>
      </c>
      <c r="T4141" s="1">
        <v>2088.45</v>
      </c>
      <c r="U4141" s="1">
        <v>0.0</v>
      </c>
      <c r="V4141" s="1">
        <v>0.0</v>
      </c>
      <c r="W4141" s="1" t="s">
        <v>26</v>
      </c>
    </row>
    <row r="4142" ht="15.75" customHeight="1">
      <c r="A4142" s="1" t="s">
        <v>4179</v>
      </c>
      <c r="B4142" s="1" t="s">
        <v>24</v>
      </c>
      <c r="C4142" s="1">
        <v>0.0</v>
      </c>
      <c r="D4142" s="1" t="s">
        <v>26</v>
      </c>
      <c r="E4142" s="1" t="s">
        <v>26</v>
      </c>
      <c r="F4142" s="1">
        <v>63.0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1">
        <v>99.9</v>
      </c>
      <c r="T4142" s="1">
        <v>6137.0</v>
      </c>
      <c r="U4142" s="1">
        <v>3.0</v>
      </c>
      <c r="V4142" s="1">
        <v>6.0</v>
      </c>
      <c r="W4142" s="1" t="s">
        <v>25</v>
      </c>
    </row>
    <row r="4143" ht="15.75" customHeight="1">
      <c r="A4143" s="1" t="s">
        <v>4180</v>
      </c>
      <c r="B4143" s="1" t="s">
        <v>24</v>
      </c>
      <c r="C4143" s="1">
        <v>1.0</v>
      </c>
      <c r="D4143" s="1" t="s">
        <v>26</v>
      </c>
      <c r="E4143" s="1" t="s">
        <v>26</v>
      </c>
      <c r="F4143" s="1">
        <v>35.0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1">
        <v>39.85</v>
      </c>
      <c r="T4143" s="1">
        <v>1434.6</v>
      </c>
      <c r="U4143" s="1">
        <v>4.0</v>
      </c>
      <c r="V4143" s="1">
        <v>0.0</v>
      </c>
      <c r="W4143" s="1" t="s">
        <v>26</v>
      </c>
    </row>
    <row r="4144" ht="15.75" customHeight="1">
      <c r="A4144" s="1" t="s">
        <v>4181</v>
      </c>
      <c r="B4144" s="1" t="s">
        <v>24</v>
      </c>
      <c r="C4144" s="1">
        <v>0.0</v>
      </c>
      <c r="D4144" s="1" t="s">
        <v>26</v>
      </c>
      <c r="E4144" s="1" t="s">
        <v>26</v>
      </c>
      <c r="F4144" s="1">
        <v>67.0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1">
        <v>60.5</v>
      </c>
      <c r="T4144" s="1">
        <v>3870.0</v>
      </c>
      <c r="U4144" s="1">
        <v>0.0</v>
      </c>
      <c r="V4144" s="1">
        <v>0.0</v>
      </c>
      <c r="W4144" s="1" t="s">
        <v>26</v>
      </c>
    </row>
    <row r="4145" ht="15.75" customHeight="1">
      <c r="A4145" s="1" t="s">
        <v>4182</v>
      </c>
      <c r="B4145" s="1" t="s">
        <v>32</v>
      </c>
      <c r="C4145" s="1">
        <v>0.0</v>
      </c>
      <c r="D4145" s="1" t="s">
        <v>26</v>
      </c>
      <c r="E4145" s="1" t="s">
        <v>26</v>
      </c>
      <c r="F4145" s="1">
        <v>25.0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1">
        <v>84.8</v>
      </c>
      <c r="T4145" s="1">
        <v>2043.45</v>
      </c>
      <c r="U4145" s="1">
        <v>0.0</v>
      </c>
      <c r="V4145" s="1">
        <v>0.0</v>
      </c>
      <c r="W4145" s="1" t="s">
        <v>25</v>
      </c>
    </row>
    <row r="4146" ht="15.75" customHeight="1">
      <c r="A4146" s="1" t="s">
        <v>4183</v>
      </c>
      <c r="B4146" s="1" t="s">
        <v>32</v>
      </c>
      <c r="C4146" s="1">
        <v>0.0</v>
      </c>
      <c r="D4146" s="1" t="s">
        <v>26</v>
      </c>
      <c r="E4146" s="1" t="s">
        <v>26</v>
      </c>
      <c r="F4146" s="1">
        <v>21.0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1">
        <v>103.85</v>
      </c>
      <c r="T4146" s="1">
        <v>2215.0</v>
      </c>
      <c r="U4146" s="1">
        <v>0.0</v>
      </c>
      <c r="V4146" s="1">
        <v>0.0</v>
      </c>
      <c r="W4146" s="1" t="s">
        <v>26</v>
      </c>
    </row>
    <row r="4147" ht="15.75" customHeight="1">
      <c r="A4147" s="1" t="s">
        <v>4184</v>
      </c>
      <c r="B4147" s="1" t="s">
        <v>24</v>
      </c>
      <c r="C4147" s="1">
        <v>0.0</v>
      </c>
      <c r="D4147" s="1" t="s">
        <v>26</v>
      </c>
      <c r="E4147" s="1" t="s">
        <v>26</v>
      </c>
      <c r="F4147" s="1">
        <v>13.0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1">
        <v>67.8</v>
      </c>
      <c r="T4147" s="1">
        <v>842.25</v>
      </c>
      <c r="U4147" s="1">
        <v>0.0</v>
      </c>
      <c r="V4147" s="1">
        <v>0.0</v>
      </c>
      <c r="W4147" s="1" t="s">
        <v>26</v>
      </c>
    </row>
    <row r="4148" ht="15.75" customHeight="1">
      <c r="A4148" s="1" t="s">
        <v>4185</v>
      </c>
      <c r="B4148" s="1" t="s">
        <v>32</v>
      </c>
      <c r="C4148" s="1">
        <v>0.0</v>
      </c>
      <c r="D4148" s="1" t="s">
        <v>25</v>
      </c>
      <c r="E4148" s="1" t="s">
        <v>26</v>
      </c>
      <c r="F4148" s="1">
        <v>35.0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1">
        <v>75.2</v>
      </c>
      <c r="T4148" s="1">
        <v>2576.2</v>
      </c>
      <c r="U4148" s="1">
        <v>0.0</v>
      </c>
      <c r="V4148" s="1">
        <v>0.0</v>
      </c>
      <c r="W4148" s="1" t="s">
        <v>25</v>
      </c>
    </row>
    <row r="4149" ht="15.75" customHeight="1">
      <c r="A4149" s="1" t="s">
        <v>4186</v>
      </c>
      <c r="B4149" s="1" t="s">
        <v>32</v>
      </c>
      <c r="C4149" s="1">
        <v>1.0</v>
      </c>
      <c r="D4149" s="1" t="s">
        <v>25</v>
      </c>
      <c r="E4149" s="1" t="s">
        <v>26</v>
      </c>
      <c r="F4149" s="1">
        <v>71.0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1">
        <v>24.85</v>
      </c>
      <c r="T4149" s="1">
        <v>1901.0</v>
      </c>
      <c r="U4149" s="1">
        <v>0.0</v>
      </c>
      <c r="V4149" s="1">
        <v>0.0</v>
      </c>
      <c r="W4149" s="1" t="s">
        <v>26</v>
      </c>
    </row>
    <row r="4150" ht="15.75" customHeight="1">
      <c r="A4150" s="1" t="s">
        <v>4187</v>
      </c>
      <c r="B4150" s="1" t="s">
        <v>24</v>
      </c>
      <c r="C4150" s="1">
        <v>0.0</v>
      </c>
      <c r="D4150" s="1" t="s">
        <v>26</v>
      </c>
      <c r="E4150" s="1" t="s">
        <v>26</v>
      </c>
      <c r="F4150" s="1">
        <v>29.0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1">
        <v>19.35</v>
      </c>
      <c r="T4150" s="1">
        <v>601.6</v>
      </c>
      <c r="U4150" s="1">
        <v>0.0</v>
      </c>
      <c r="V4150" s="1">
        <v>0.0</v>
      </c>
      <c r="W4150" s="1" t="s">
        <v>26</v>
      </c>
    </row>
    <row r="4151" ht="15.75" customHeight="1">
      <c r="A4151" s="1" t="s">
        <v>4188</v>
      </c>
      <c r="B4151" s="1" t="s">
        <v>32</v>
      </c>
      <c r="C4151" s="1">
        <v>0.0</v>
      </c>
      <c r="D4151" s="1" t="s">
        <v>25</v>
      </c>
      <c r="E4151" s="1" t="s">
        <v>26</v>
      </c>
      <c r="F4151" s="1">
        <v>71.0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1">
        <v>49.35</v>
      </c>
      <c r="T4151" s="1">
        <v>3515.25</v>
      </c>
      <c r="U4151" s="1">
        <v>0.0</v>
      </c>
      <c r="V4151" s="1">
        <v>7.0</v>
      </c>
      <c r="W4151" s="1" t="s">
        <v>25</v>
      </c>
    </row>
    <row r="4152" ht="15.75" customHeight="1">
      <c r="A4152" s="1" t="s">
        <v>4189</v>
      </c>
      <c r="B4152" s="1" t="s">
        <v>32</v>
      </c>
      <c r="C4152" s="1">
        <v>1.0</v>
      </c>
      <c r="D4152" s="1" t="s">
        <v>25</v>
      </c>
      <c r="E4152" s="1" t="s">
        <v>26</v>
      </c>
      <c r="F4152" s="1">
        <v>7.0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1">
        <v>89.0</v>
      </c>
      <c r="T4152" s="1">
        <v>605.45</v>
      </c>
      <c r="U4152" s="1">
        <v>3.0</v>
      </c>
      <c r="V4152" s="1">
        <v>0.0</v>
      </c>
      <c r="W4152" s="1" t="s">
        <v>26</v>
      </c>
    </row>
    <row r="4153" ht="15.75" customHeight="1">
      <c r="A4153" s="1" t="s">
        <v>4190</v>
      </c>
      <c r="B4153" s="1" t="s">
        <v>24</v>
      </c>
      <c r="C4153" s="1">
        <v>1.0</v>
      </c>
      <c r="D4153" s="1" t="s">
        <v>26</v>
      </c>
      <c r="E4153" s="1" t="s">
        <v>26</v>
      </c>
      <c r="F4153" s="1">
        <v>57.0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1">
        <v>55.0</v>
      </c>
      <c r="T4153" s="1">
        <v>3094.05</v>
      </c>
      <c r="U4153" s="1">
        <v>0.0</v>
      </c>
      <c r="V4153" s="1">
        <v>0.0</v>
      </c>
      <c r="W4153" s="1" t="s">
        <v>26</v>
      </c>
    </row>
    <row r="4154" ht="15.75" customHeight="1">
      <c r="A4154" s="1" t="s">
        <v>4191</v>
      </c>
      <c r="B4154" s="1" t="s">
        <v>32</v>
      </c>
      <c r="C4154" s="1">
        <v>0.0</v>
      </c>
      <c r="D4154" s="1" t="s">
        <v>25</v>
      </c>
      <c r="E4154" s="1" t="s">
        <v>26</v>
      </c>
      <c r="F4154" s="1">
        <v>65.0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1">
        <v>76.15</v>
      </c>
      <c r="T4154" s="1">
        <v>4929.55</v>
      </c>
      <c r="U4154" s="1">
        <v>0.0</v>
      </c>
      <c r="V4154" s="1">
        <v>0.0</v>
      </c>
      <c r="W4154" s="1" t="s">
        <v>26</v>
      </c>
    </row>
    <row r="4155" ht="15.75" customHeight="1">
      <c r="A4155" s="1" t="s">
        <v>4192</v>
      </c>
      <c r="B4155" s="1" t="s">
        <v>32</v>
      </c>
      <c r="C4155" s="1">
        <v>0.0</v>
      </c>
      <c r="D4155" s="1" t="s">
        <v>26</v>
      </c>
      <c r="E4155" s="1" t="s">
        <v>26</v>
      </c>
      <c r="F4155" s="1">
        <v>27.0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1">
        <v>20.3</v>
      </c>
      <c r="T4155" s="1">
        <v>595.05</v>
      </c>
      <c r="U4155" s="1">
        <v>0.0</v>
      </c>
      <c r="V4155" s="1">
        <v>0.0</v>
      </c>
      <c r="W4155" s="1" t="s">
        <v>26</v>
      </c>
    </row>
    <row r="4156" ht="15.75" customHeight="1">
      <c r="A4156" s="1" t="s">
        <v>4193</v>
      </c>
      <c r="B4156" s="1" t="s">
        <v>32</v>
      </c>
      <c r="C4156" s="1">
        <v>0.0</v>
      </c>
      <c r="D4156" s="1" t="s">
        <v>26</v>
      </c>
      <c r="E4156" s="1" t="s">
        <v>26</v>
      </c>
      <c r="F4156" s="1">
        <v>6.0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1">
        <v>74.9</v>
      </c>
      <c r="T4156" s="1">
        <v>469.8</v>
      </c>
      <c r="U4156" s="1">
        <v>0.0</v>
      </c>
      <c r="V4156" s="1">
        <v>0.0</v>
      </c>
      <c r="W4156" s="1" t="s">
        <v>25</v>
      </c>
    </row>
    <row r="4157" ht="15.75" customHeight="1">
      <c r="A4157" s="1" t="s">
        <v>4194</v>
      </c>
      <c r="B4157" s="1" t="s">
        <v>24</v>
      </c>
      <c r="C4157" s="1">
        <v>1.0</v>
      </c>
      <c r="D4157" s="1" t="s">
        <v>26</v>
      </c>
      <c r="E4157" s="1" t="s">
        <v>26</v>
      </c>
      <c r="F4157" s="1">
        <v>72.0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1">
        <v>117.35</v>
      </c>
      <c r="T4157" s="1">
        <v>8436.25</v>
      </c>
      <c r="U4157" s="1">
        <v>0.0</v>
      </c>
      <c r="V4157" s="1">
        <v>0.0</v>
      </c>
      <c r="W4157" s="1" t="s">
        <v>26</v>
      </c>
    </row>
    <row r="4158" ht="15.75" customHeight="1">
      <c r="A4158" s="1" t="s">
        <v>4195</v>
      </c>
      <c r="B4158" s="1" t="s">
        <v>32</v>
      </c>
      <c r="C4158" s="1">
        <v>0.0</v>
      </c>
      <c r="D4158" s="1" t="s">
        <v>26</v>
      </c>
      <c r="E4158" s="1" t="s">
        <v>26</v>
      </c>
      <c r="F4158" s="1">
        <v>1.0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1">
        <v>19.75</v>
      </c>
      <c r="T4158" s="1">
        <v>19.75</v>
      </c>
      <c r="U4158" s="1">
        <v>0.0</v>
      </c>
      <c r="V4158" s="1">
        <v>0.0</v>
      </c>
      <c r="W4158" s="1" t="s">
        <v>26</v>
      </c>
    </row>
    <row r="4159" ht="15.75" customHeight="1">
      <c r="A4159" s="1" t="s">
        <v>4196</v>
      </c>
      <c r="B4159" s="1" t="s">
        <v>32</v>
      </c>
      <c r="C4159" s="1">
        <v>0.0</v>
      </c>
      <c r="D4159" s="1" t="s">
        <v>26</v>
      </c>
      <c r="E4159" s="1" t="s">
        <v>26</v>
      </c>
      <c r="F4159" s="1">
        <v>11.0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1">
        <v>45.2</v>
      </c>
      <c r="T4159" s="1">
        <v>492.0</v>
      </c>
      <c r="U4159" s="1">
        <v>0.0</v>
      </c>
      <c r="V4159" s="1">
        <v>0.0</v>
      </c>
      <c r="W4159" s="1" t="s">
        <v>26</v>
      </c>
    </row>
    <row r="4160" ht="15.75" customHeight="1">
      <c r="A4160" s="1" t="s">
        <v>4197</v>
      </c>
      <c r="B4160" s="1" t="s">
        <v>32</v>
      </c>
      <c r="C4160" s="1">
        <v>0.0</v>
      </c>
      <c r="D4160" s="1" t="s">
        <v>25</v>
      </c>
      <c r="E4160" s="1" t="s">
        <v>25</v>
      </c>
      <c r="F4160" s="1">
        <v>39.0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1">
        <v>25.2</v>
      </c>
      <c r="T4160" s="1">
        <v>987.95</v>
      </c>
      <c r="U4160" s="1">
        <v>0.0</v>
      </c>
      <c r="V4160" s="1">
        <v>0.0</v>
      </c>
      <c r="W4160" s="1" t="s">
        <v>26</v>
      </c>
    </row>
    <row r="4161" ht="15.75" customHeight="1">
      <c r="A4161" s="1" t="s">
        <v>4198</v>
      </c>
      <c r="B4161" s="1" t="s">
        <v>24</v>
      </c>
      <c r="C4161" s="1">
        <v>1.0</v>
      </c>
      <c r="D4161" s="1" t="s">
        <v>26</v>
      </c>
      <c r="E4161" s="1" t="s">
        <v>26</v>
      </c>
      <c r="F4161" s="1">
        <v>59.0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1">
        <v>89.75</v>
      </c>
      <c r="T4161" s="1">
        <v>5496.9</v>
      </c>
      <c r="U4161" s="1">
        <v>0.0</v>
      </c>
      <c r="V4161" s="1">
        <v>0.0</v>
      </c>
      <c r="W4161" s="1" t="s">
        <v>26</v>
      </c>
    </row>
    <row r="4162" ht="15.75" customHeight="1">
      <c r="A4162" s="1" t="s">
        <v>4199</v>
      </c>
      <c r="B4162" s="1" t="s">
        <v>32</v>
      </c>
      <c r="C4162" s="1">
        <v>0.0</v>
      </c>
      <c r="D4162" s="1" t="s">
        <v>26</v>
      </c>
      <c r="E4162" s="1" t="s">
        <v>26</v>
      </c>
      <c r="F4162" s="1">
        <v>26.0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1">
        <v>75.0</v>
      </c>
      <c r="T4162" s="1">
        <v>1908.35</v>
      </c>
      <c r="U4162" s="1">
        <v>0.0</v>
      </c>
      <c r="V4162" s="1">
        <v>0.0</v>
      </c>
      <c r="W4162" s="1" t="s">
        <v>26</v>
      </c>
    </row>
    <row r="4163" ht="15.75" customHeight="1">
      <c r="A4163" s="1" t="s">
        <v>4200</v>
      </c>
      <c r="B4163" s="1" t="s">
        <v>32</v>
      </c>
      <c r="C4163" s="1">
        <v>1.0</v>
      </c>
      <c r="D4163" s="1" t="s">
        <v>26</v>
      </c>
      <c r="E4163" s="1" t="s">
        <v>26</v>
      </c>
      <c r="F4163" s="1">
        <v>2.0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1">
        <v>49.95</v>
      </c>
      <c r="T4163" s="1">
        <v>107.1</v>
      </c>
      <c r="U4163" s="1">
        <v>0.0</v>
      </c>
      <c r="V4163" s="1">
        <v>0.0</v>
      </c>
      <c r="W4163" s="1" t="s">
        <v>26</v>
      </c>
    </row>
    <row r="4164" ht="15.75" customHeight="1">
      <c r="A4164" s="1" t="s">
        <v>4201</v>
      </c>
      <c r="B4164" s="1" t="s">
        <v>24</v>
      </c>
      <c r="C4164" s="1">
        <v>0.0</v>
      </c>
      <c r="D4164" s="1" t="s">
        <v>25</v>
      </c>
      <c r="E4164" s="1" t="s">
        <v>25</v>
      </c>
      <c r="F4164" s="1">
        <v>72.0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1">
        <v>65.7</v>
      </c>
      <c r="T4164" s="1">
        <v>4575.35</v>
      </c>
      <c r="U4164" s="1">
        <v>3.0</v>
      </c>
      <c r="V4164" s="1">
        <v>0.0</v>
      </c>
      <c r="W4164" s="1" t="s">
        <v>26</v>
      </c>
    </row>
    <row r="4165" ht="15.75" customHeight="1">
      <c r="A4165" s="1" t="s">
        <v>4202</v>
      </c>
      <c r="B4165" s="1" t="s">
        <v>32</v>
      </c>
      <c r="C4165" s="1">
        <v>0.0</v>
      </c>
      <c r="D4165" s="1" t="s">
        <v>25</v>
      </c>
      <c r="E4165" s="1" t="s">
        <v>26</v>
      </c>
      <c r="F4165" s="1">
        <v>65.0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1">
        <v>67.05</v>
      </c>
      <c r="T4165" s="1">
        <v>4309.55</v>
      </c>
      <c r="U4165" s="1">
        <v>3.0</v>
      </c>
      <c r="V4165" s="1">
        <v>1.0</v>
      </c>
      <c r="W4165" s="1" t="s">
        <v>26</v>
      </c>
    </row>
    <row r="4166" ht="15.75" customHeight="1">
      <c r="A4166" s="1" t="s">
        <v>4203</v>
      </c>
      <c r="B4166" s="1" t="s">
        <v>32</v>
      </c>
      <c r="C4166" s="1">
        <v>0.0</v>
      </c>
      <c r="D4166" s="1" t="s">
        <v>25</v>
      </c>
      <c r="E4166" s="1" t="s">
        <v>25</v>
      </c>
      <c r="F4166" s="1">
        <v>72.0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1">
        <v>110.9</v>
      </c>
      <c r="T4166" s="1">
        <v>7922.75</v>
      </c>
      <c r="U4166" s="1">
        <v>4.0</v>
      </c>
      <c r="V4166" s="1">
        <v>0.0</v>
      </c>
      <c r="W4166" s="1" t="s">
        <v>26</v>
      </c>
    </row>
    <row r="4167" ht="15.75" customHeight="1">
      <c r="A4167" s="1" t="s">
        <v>4204</v>
      </c>
      <c r="B4167" s="1" t="s">
        <v>32</v>
      </c>
      <c r="C4167" s="1">
        <v>0.0</v>
      </c>
      <c r="D4167" s="1" t="s">
        <v>26</v>
      </c>
      <c r="E4167" s="1" t="s">
        <v>26</v>
      </c>
      <c r="F4167" s="1">
        <v>6.0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1">
        <v>87.95</v>
      </c>
      <c r="T4167" s="1">
        <v>522.35</v>
      </c>
      <c r="U4167" s="1">
        <v>0.0</v>
      </c>
      <c r="V4167" s="1">
        <v>0.0</v>
      </c>
      <c r="W4167" s="1" t="s">
        <v>26</v>
      </c>
    </row>
    <row r="4168" ht="15.75" customHeight="1">
      <c r="A4168" s="1" t="s">
        <v>4205</v>
      </c>
      <c r="B4168" s="1" t="s">
        <v>32</v>
      </c>
      <c r="C4168" s="1">
        <v>1.0</v>
      </c>
      <c r="D4168" s="1" t="s">
        <v>26</v>
      </c>
      <c r="E4168" s="1" t="s">
        <v>26</v>
      </c>
      <c r="F4168" s="1">
        <v>32.0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1">
        <v>19.8</v>
      </c>
      <c r="T4168" s="1">
        <v>587.7</v>
      </c>
      <c r="U4168" s="1">
        <v>0.0</v>
      </c>
      <c r="V4168" s="1">
        <v>0.0</v>
      </c>
      <c r="W4168" s="1" t="s">
        <v>26</v>
      </c>
    </row>
    <row r="4169" ht="15.75" customHeight="1">
      <c r="A4169" s="1" t="s">
        <v>4206</v>
      </c>
      <c r="B4169" s="1" t="s">
        <v>24</v>
      </c>
      <c r="C4169" s="1">
        <v>0.0</v>
      </c>
      <c r="D4169" s="1" t="s">
        <v>25</v>
      </c>
      <c r="E4169" s="1" t="s">
        <v>26</v>
      </c>
      <c r="F4169" s="1">
        <v>50.0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1">
        <v>75.7</v>
      </c>
      <c r="T4169" s="1">
        <v>3876.2</v>
      </c>
      <c r="U4169" s="1">
        <v>0.0</v>
      </c>
      <c r="V4169" s="1">
        <v>0.0</v>
      </c>
      <c r="W4169" s="1" t="s">
        <v>26</v>
      </c>
    </row>
    <row r="4170" ht="15.75" customHeight="1">
      <c r="A4170" s="1" t="s">
        <v>4207</v>
      </c>
      <c r="B4170" s="1" t="s">
        <v>32</v>
      </c>
      <c r="C4170" s="1">
        <v>0.0</v>
      </c>
      <c r="D4170" s="1" t="s">
        <v>25</v>
      </c>
      <c r="E4170" s="1" t="s">
        <v>26</v>
      </c>
      <c r="F4170" s="1">
        <v>61.0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1">
        <v>62.15</v>
      </c>
      <c r="T4170" s="1">
        <v>3778.85</v>
      </c>
      <c r="U4170" s="1">
        <v>2.0</v>
      </c>
      <c r="V4170" s="1">
        <v>0.0</v>
      </c>
      <c r="W4170" s="1" t="s">
        <v>26</v>
      </c>
    </row>
    <row r="4171" ht="15.75" customHeight="1">
      <c r="A4171" s="1" t="s">
        <v>4208</v>
      </c>
      <c r="B4171" s="1" t="s">
        <v>24</v>
      </c>
      <c r="C4171" s="1">
        <v>0.0</v>
      </c>
      <c r="D4171" s="1" t="s">
        <v>26</v>
      </c>
      <c r="E4171" s="1" t="s">
        <v>26</v>
      </c>
      <c r="F4171" s="1">
        <v>15.0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1">
        <v>101.25</v>
      </c>
      <c r="T4171" s="1">
        <v>1457.25</v>
      </c>
      <c r="U4171" s="1">
        <v>3.0</v>
      </c>
      <c r="V4171" s="1">
        <v>0.0</v>
      </c>
      <c r="W4171" s="1" t="s">
        <v>25</v>
      </c>
    </row>
    <row r="4172" ht="15.75" customHeight="1">
      <c r="A4172" s="1" t="s">
        <v>4209</v>
      </c>
      <c r="B4172" s="1" t="s">
        <v>32</v>
      </c>
      <c r="C4172" s="1">
        <v>0.0</v>
      </c>
      <c r="D4172" s="1" t="s">
        <v>25</v>
      </c>
      <c r="E4172" s="1" t="s">
        <v>26</v>
      </c>
      <c r="F4172" s="1">
        <v>72.0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1">
        <v>115.15</v>
      </c>
      <c r="T4172" s="1">
        <v>8349.45</v>
      </c>
      <c r="U4172" s="1">
        <v>4.0</v>
      </c>
      <c r="V4172" s="1">
        <v>0.0</v>
      </c>
      <c r="W4172" s="1" t="s">
        <v>26</v>
      </c>
    </row>
    <row r="4173" ht="15.75" customHeight="1">
      <c r="A4173" s="1" t="s">
        <v>4210</v>
      </c>
      <c r="B4173" s="1" t="s">
        <v>32</v>
      </c>
      <c r="C4173" s="1">
        <v>0.0</v>
      </c>
      <c r="D4173" s="1" t="s">
        <v>26</v>
      </c>
      <c r="E4173" s="1" t="s">
        <v>26</v>
      </c>
      <c r="F4173" s="1">
        <v>9.0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1">
        <v>18.95</v>
      </c>
      <c r="T4173" s="1">
        <v>185.6</v>
      </c>
      <c r="U4173" s="1">
        <v>0.0</v>
      </c>
      <c r="V4173" s="1">
        <v>0.0</v>
      </c>
      <c r="W4173" s="1" t="s">
        <v>25</v>
      </c>
    </row>
    <row r="4174" ht="15.75" customHeight="1">
      <c r="A4174" s="1" t="s">
        <v>4211</v>
      </c>
      <c r="B4174" s="1" t="s">
        <v>24</v>
      </c>
      <c r="C4174" s="1">
        <v>0.0</v>
      </c>
      <c r="D4174" s="1" t="s">
        <v>26</v>
      </c>
      <c r="E4174" s="1" t="s">
        <v>26</v>
      </c>
      <c r="F4174" s="1">
        <v>1.0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1">
        <v>19.5</v>
      </c>
      <c r="T4174" s="1">
        <v>19.5</v>
      </c>
      <c r="U4174" s="1">
        <v>0.0</v>
      </c>
      <c r="V4174" s="1">
        <v>0.0</v>
      </c>
      <c r="W4174" s="1" t="s">
        <v>26</v>
      </c>
    </row>
    <row r="4175" ht="15.75" customHeight="1">
      <c r="A4175" s="1" t="s">
        <v>4212</v>
      </c>
      <c r="B4175" s="1" t="s">
        <v>24</v>
      </c>
      <c r="C4175" s="1">
        <v>0.0</v>
      </c>
      <c r="D4175" s="1" t="s">
        <v>26</v>
      </c>
      <c r="E4175" s="1" t="s">
        <v>26</v>
      </c>
      <c r="F4175" s="1">
        <v>12.0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1">
        <v>86.55</v>
      </c>
      <c r="T4175" s="1">
        <v>1066.9</v>
      </c>
      <c r="U4175" s="1">
        <v>0.0</v>
      </c>
      <c r="V4175" s="1">
        <v>0.0</v>
      </c>
      <c r="W4175" s="1" t="s">
        <v>26</v>
      </c>
    </row>
    <row r="4176" ht="15.75" customHeight="1">
      <c r="A4176" s="1" t="s">
        <v>4213</v>
      </c>
      <c r="B4176" s="1" t="s">
        <v>24</v>
      </c>
      <c r="C4176" s="1">
        <v>0.0</v>
      </c>
      <c r="D4176" s="1" t="s">
        <v>26</v>
      </c>
      <c r="E4176" s="1" t="s">
        <v>26</v>
      </c>
      <c r="F4176" s="1">
        <v>37.0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1">
        <v>28.6</v>
      </c>
      <c r="T4176" s="1">
        <v>973.55</v>
      </c>
      <c r="U4176" s="1">
        <v>5.0</v>
      </c>
      <c r="V4176" s="1">
        <v>0.0</v>
      </c>
      <c r="W4176" s="1" t="s">
        <v>25</v>
      </c>
    </row>
    <row r="4177" ht="15.75" customHeight="1">
      <c r="A4177" s="1" t="s">
        <v>4214</v>
      </c>
      <c r="B4177" s="1" t="s">
        <v>32</v>
      </c>
      <c r="C4177" s="1">
        <v>0.0</v>
      </c>
      <c r="D4177" s="1" t="s">
        <v>25</v>
      </c>
      <c r="E4177" s="1" t="s">
        <v>25</v>
      </c>
      <c r="F4177" s="1">
        <v>61.0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1">
        <v>20.4</v>
      </c>
      <c r="T4177" s="1">
        <v>1226.45</v>
      </c>
      <c r="U4177" s="1">
        <v>0.0</v>
      </c>
      <c r="V4177" s="1">
        <v>0.0</v>
      </c>
      <c r="W4177" s="1" t="s">
        <v>26</v>
      </c>
    </row>
    <row r="4178" ht="15.75" customHeight="1">
      <c r="A4178" s="1" t="s">
        <v>4215</v>
      </c>
      <c r="B4178" s="1" t="s">
        <v>32</v>
      </c>
      <c r="C4178" s="1">
        <v>0.0</v>
      </c>
      <c r="D4178" s="1" t="s">
        <v>25</v>
      </c>
      <c r="E4178" s="1" t="s">
        <v>25</v>
      </c>
      <c r="F4178" s="1">
        <v>18.0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1">
        <v>19.8</v>
      </c>
      <c r="T4178" s="1">
        <v>342.3</v>
      </c>
      <c r="U4178" s="1">
        <v>4.0</v>
      </c>
      <c r="V4178" s="1">
        <v>0.0</v>
      </c>
      <c r="W4178" s="1" t="s">
        <v>26</v>
      </c>
    </row>
    <row r="4179" ht="15.75" customHeight="1">
      <c r="A4179" s="1" t="s">
        <v>4216</v>
      </c>
      <c r="B4179" s="1" t="s">
        <v>32</v>
      </c>
      <c r="C4179" s="1">
        <v>0.0</v>
      </c>
      <c r="D4179" s="1" t="s">
        <v>26</v>
      </c>
      <c r="E4179" s="1" t="s">
        <v>25</v>
      </c>
      <c r="F4179" s="1">
        <v>21.0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1">
        <v>45.65</v>
      </c>
      <c r="T4179" s="1">
        <v>985.05</v>
      </c>
      <c r="U4179" s="1">
        <v>0.0</v>
      </c>
      <c r="V4179" s="1">
        <v>0.0</v>
      </c>
      <c r="W4179" s="1" t="s">
        <v>26</v>
      </c>
    </row>
    <row r="4180" ht="15.75" customHeight="1">
      <c r="A4180" s="1" t="s">
        <v>4217</v>
      </c>
      <c r="B4180" s="1" t="s">
        <v>32</v>
      </c>
      <c r="C4180" s="1">
        <v>0.0</v>
      </c>
      <c r="D4180" s="1" t="s">
        <v>25</v>
      </c>
      <c r="E4180" s="1" t="s">
        <v>25</v>
      </c>
      <c r="F4180" s="1">
        <v>68.0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1">
        <v>56.4</v>
      </c>
      <c r="T4180" s="1">
        <v>3948.45</v>
      </c>
      <c r="U4180" s="1">
        <v>0.0</v>
      </c>
      <c r="V4180" s="1">
        <v>0.0</v>
      </c>
      <c r="W4180" s="1" t="s">
        <v>26</v>
      </c>
    </row>
    <row r="4181" ht="15.75" customHeight="1">
      <c r="A4181" s="1" t="s">
        <v>4218</v>
      </c>
      <c r="B4181" s="1" t="s">
        <v>32</v>
      </c>
      <c r="C4181" s="1">
        <v>1.0</v>
      </c>
      <c r="D4181" s="1" t="s">
        <v>26</v>
      </c>
      <c r="E4181" s="1" t="s">
        <v>26</v>
      </c>
      <c r="F4181" s="1">
        <v>12.0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1">
        <v>73.3</v>
      </c>
      <c r="T4181" s="1">
        <v>828.05</v>
      </c>
      <c r="U4181" s="1">
        <v>0.0</v>
      </c>
      <c r="V4181" s="1">
        <v>0.0</v>
      </c>
      <c r="W4181" s="1" t="s">
        <v>26</v>
      </c>
    </row>
    <row r="4182" ht="15.75" customHeight="1">
      <c r="A4182" s="1" t="s">
        <v>4219</v>
      </c>
      <c r="B4182" s="1" t="s">
        <v>24</v>
      </c>
      <c r="C4182" s="1">
        <v>1.0</v>
      </c>
      <c r="D4182" s="1" t="s">
        <v>26</v>
      </c>
      <c r="E4182" s="1" t="s">
        <v>26</v>
      </c>
      <c r="F4182" s="1">
        <v>2.0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1">
        <v>24.35</v>
      </c>
      <c r="T4182" s="1">
        <v>41.85</v>
      </c>
      <c r="U4182" s="1">
        <v>0.0</v>
      </c>
      <c r="V4182" s="1">
        <v>0.0</v>
      </c>
      <c r="W4182" s="1" t="s">
        <v>25</v>
      </c>
    </row>
    <row r="4183" ht="15.75" customHeight="1">
      <c r="A4183" s="1" t="s">
        <v>4220</v>
      </c>
      <c r="B4183" s="1" t="s">
        <v>24</v>
      </c>
      <c r="C4183" s="1">
        <v>0.0</v>
      </c>
      <c r="D4183" s="1" t="s">
        <v>25</v>
      </c>
      <c r="E4183" s="1" t="s">
        <v>26</v>
      </c>
      <c r="F4183" s="1">
        <v>62.0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1">
        <v>101.35</v>
      </c>
      <c r="T4183" s="1">
        <v>6164.7</v>
      </c>
      <c r="U4183" s="1">
        <v>1.0</v>
      </c>
      <c r="V4183" s="1">
        <v>0.0</v>
      </c>
      <c r="W4183" s="1" t="s">
        <v>26</v>
      </c>
    </row>
    <row r="4184" ht="15.75" customHeight="1">
      <c r="A4184" s="1" t="s">
        <v>4221</v>
      </c>
      <c r="B4184" s="1" t="s">
        <v>24</v>
      </c>
      <c r="C4184" s="1">
        <v>1.0</v>
      </c>
      <c r="D4184" s="1" t="s">
        <v>26</v>
      </c>
      <c r="E4184" s="1" t="s">
        <v>26</v>
      </c>
      <c r="F4184" s="1">
        <v>29.0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1">
        <v>98.65</v>
      </c>
      <c r="T4184" s="1">
        <v>2862.75</v>
      </c>
      <c r="U4184" s="1">
        <v>0.0</v>
      </c>
      <c r="V4184" s="1">
        <v>3.0</v>
      </c>
      <c r="W4184" s="1" t="s">
        <v>25</v>
      </c>
    </row>
    <row r="4185" ht="15.75" customHeight="1">
      <c r="A4185" s="1" t="s">
        <v>4222</v>
      </c>
      <c r="B4185" s="1" t="s">
        <v>32</v>
      </c>
      <c r="C4185" s="1">
        <v>0.0</v>
      </c>
      <c r="D4185" s="1" t="s">
        <v>26</v>
      </c>
      <c r="E4185" s="1" t="s">
        <v>25</v>
      </c>
      <c r="F4185" s="1">
        <v>1.0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1">
        <v>33.6</v>
      </c>
      <c r="T4185" s="1">
        <v>33.6</v>
      </c>
      <c r="U4185" s="1">
        <v>0.0</v>
      </c>
      <c r="V4185" s="1">
        <v>0.0</v>
      </c>
      <c r="W4185" s="1" t="s">
        <v>26</v>
      </c>
    </row>
    <row r="4186" ht="15.75" customHeight="1">
      <c r="A4186" s="1" t="s">
        <v>4223</v>
      </c>
      <c r="B4186" s="1" t="s">
        <v>32</v>
      </c>
      <c r="C4186" s="1">
        <v>1.0</v>
      </c>
      <c r="D4186" s="1" t="s">
        <v>25</v>
      </c>
      <c r="E4186" s="1" t="s">
        <v>26</v>
      </c>
      <c r="F4186" s="1">
        <v>5.0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1">
        <v>79.9</v>
      </c>
      <c r="T4186" s="1">
        <v>343.95</v>
      </c>
      <c r="U4186" s="1">
        <v>0.0</v>
      </c>
      <c r="V4186" s="1">
        <v>0.0</v>
      </c>
      <c r="W4186" s="1" t="s">
        <v>25</v>
      </c>
    </row>
    <row r="4187" ht="15.75" customHeight="1">
      <c r="A4187" s="1" t="s">
        <v>4224</v>
      </c>
      <c r="B4187" s="1" t="s">
        <v>24</v>
      </c>
      <c r="C4187" s="1">
        <v>0.0</v>
      </c>
      <c r="D4187" s="1" t="s">
        <v>26</v>
      </c>
      <c r="E4187" s="1" t="s">
        <v>26</v>
      </c>
      <c r="F4187" s="1">
        <v>1.0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1">
        <v>20.7</v>
      </c>
      <c r="T4187" s="1">
        <v>20.7</v>
      </c>
      <c r="U4187" s="1">
        <v>0.0</v>
      </c>
      <c r="V4187" s="1">
        <v>0.0</v>
      </c>
      <c r="W4187" s="1" t="s">
        <v>26</v>
      </c>
    </row>
    <row r="4188" ht="15.75" customHeight="1">
      <c r="A4188" s="1" t="s">
        <v>4225</v>
      </c>
      <c r="B4188" s="1" t="s">
        <v>32</v>
      </c>
      <c r="C4188" s="1">
        <v>0.0</v>
      </c>
      <c r="D4188" s="1" t="s">
        <v>26</v>
      </c>
      <c r="E4188" s="1" t="s">
        <v>25</v>
      </c>
      <c r="F4188" s="1">
        <v>62.0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1">
        <v>104.05</v>
      </c>
      <c r="T4188" s="1">
        <v>6590.5</v>
      </c>
      <c r="U4188" s="1">
        <v>0.0</v>
      </c>
      <c r="V4188" s="1">
        <v>0.0</v>
      </c>
      <c r="W4188" s="1" t="s">
        <v>26</v>
      </c>
    </row>
    <row r="4189" ht="15.75" customHeight="1">
      <c r="A4189" s="1" t="s">
        <v>4226</v>
      </c>
      <c r="B4189" s="1" t="s">
        <v>24</v>
      </c>
      <c r="C4189" s="1">
        <v>0.0</v>
      </c>
      <c r="D4189" s="1" t="s">
        <v>25</v>
      </c>
      <c r="E4189" s="1" t="s">
        <v>25</v>
      </c>
      <c r="F4189" s="1">
        <v>36.0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1">
        <v>20.25</v>
      </c>
      <c r="T4189" s="1">
        <v>717.95</v>
      </c>
      <c r="U4189" s="1">
        <v>0.0</v>
      </c>
      <c r="V4189" s="1">
        <v>0.0</v>
      </c>
      <c r="W4189" s="1" t="s">
        <v>26</v>
      </c>
    </row>
    <row r="4190" ht="15.75" customHeight="1">
      <c r="A4190" s="1" t="s">
        <v>4227</v>
      </c>
      <c r="B4190" s="1" t="s">
        <v>24</v>
      </c>
      <c r="C4190" s="1">
        <v>1.0</v>
      </c>
      <c r="D4190" s="1" t="s">
        <v>26</v>
      </c>
      <c r="E4190" s="1" t="s">
        <v>26</v>
      </c>
      <c r="F4190" s="1">
        <v>28.0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1">
        <v>103.3</v>
      </c>
      <c r="T4190" s="1">
        <v>2890.65</v>
      </c>
      <c r="U4190" s="1">
        <v>0.0</v>
      </c>
      <c r="V4190" s="1">
        <v>2.0</v>
      </c>
      <c r="W4190" s="1" t="s">
        <v>25</v>
      </c>
    </row>
    <row r="4191" ht="15.75" customHeight="1">
      <c r="A4191" s="1" t="s">
        <v>4228</v>
      </c>
      <c r="B4191" s="1" t="s">
        <v>24</v>
      </c>
      <c r="C4191" s="1">
        <v>0.0</v>
      </c>
      <c r="D4191" s="1" t="s">
        <v>25</v>
      </c>
      <c r="E4191" s="1" t="s">
        <v>25</v>
      </c>
      <c r="F4191" s="1">
        <v>69.0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1">
        <v>73.7</v>
      </c>
      <c r="T4191" s="1">
        <v>4885.85</v>
      </c>
      <c r="U4191" s="1">
        <v>0.0</v>
      </c>
      <c r="V4191" s="1">
        <v>0.0</v>
      </c>
      <c r="W4191" s="1" t="s">
        <v>26</v>
      </c>
    </row>
    <row r="4192" ht="15.75" customHeight="1">
      <c r="A4192" s="1" t="s">
        <v>4229</v>
      </c>
      <c r="B4192" s="1" t="s">
        <v>24</v>
      </c>
      <c r="C4192" s="1">
        <v>0.0</v>
      </c>
      <c r="D4192" s="1" t="s">
        <v>25</v>
      </c>
      <c r="E4192" s="1" t="s">
        <v>26</v>
      </c>
      <c r="F4192" s="1">
        <v>11.0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1">
        <v>96.2</v>
      </c>
      <c r="T4192" s="1">
        <v>1222.05</v>
      </c>
      <c r="U4192" s="1">
        <v>2.0</v>
      </c>
      <c r="V4192" s="1">
        <v>1.0</v>
      </c>
      <c r="W4192" s="1" t="s">
        <v>25</v>
      </c>
    </row>
    <row r="4193" ht="15.75" customHeight="1">
      <c r="A4193" s="1" t="s">
        <v>4230</v>
      </c>
      <c r="B4193" s="1" t="s">
        <v>24</v>
      </c>
      <c r="C4193" s="1">
        <v>0.0</v>
      </c>
      <c r="D4193" s="1" t="s">
        <v>25</v>
      </c>
      <c r="E4193" s="1" t="s">
        <v>26</v>
      </c>
      <c r="F4193" s="1">
        <v>63.0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1">
        <v>108.75</v>
      </c>
      <c r="T4193" s="1">
        <v>6871.7</v>
      </c>
      <c r="U4193" s="1">
        <v>5.0</v>
      </c>
      <c r="V4193" s="1">
        <v>0.0</v>
      </c>
      <c r="W4193" s="1" t="s">
        <v>26</v>
      </c>
    </row>
    <row r="4194" ht="15.75" customHeight="1">
      <c r="A4194" s="1" t="s">
        <v>4231</v>
      </c>
      <c r="B4194" s="1" t="s">
        <v>32</v>
      </c>
      <c r="C4194" s="1">
        <v>0.0</v>
      </c>
      <c r="D4194" s="1" t="s">
        <v>26</v>
      </c>
      <c r="E4194" s="1" t="s">
        <v>26</v>
      </c>
      <c r="F4194" s="1">
        <v>23.0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1">
        <v>20.15</v>
      </c>
      <c r="T4194" s="1">
        <v>405.6</v>
      </c>
      <c r="U4194" s="1">
        <v>0.0</v>
      </c>
      <c r="V4194" s="1">
        <v>0.0</v>
      </c>
      <c r="W4194" s="1" t="s">
        <v>26</v>
      </c>
    </row>
    <row r="4195" ht="15.75" customHeight="1">
      <c r="A4195" s="1" t="s">
        <v>4232</v>
      </c>
      <c r="B4195" s="1" t="s">
        <v>32</v>
      </c>
      <c r="C4195" s="1">
        <v>0.0</v>
      </c>
      <c r="D4195" s="1" t="s">
        <v>26</v>
      </c>
      <c r="E4195" s="1" t="s">
        <v>26</v>
      </c>
      <c r="F4195" s="1">
        <v>10.0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1">
        <v>19.75</v>
      </c>
      <c r="T4195" s="1">
        <v>208.25</v>
      </c>
      <c r="U4195" s="1">
        <v>0.0</v>
      </c>
      <c r="V4195" s="1">
        <v>0.0</v>
      </c>
      <c r="W4195" s="1" t="s">
        <v>26</v>
      </c>
    </row>
    <row r="4196" ht="15.75" customHeight="1">
      <c r="A4196" s="1" t="s">
        <v>4233</v>
      </c>
      <c r="B4196" s="1" t="s">
        <v>24</v>
      </c>
      <c r="C4196" s="1">
        <v>0.0</v>
      </c>
      <c r="D4196" s="1" t="s">
        <v>25</v>
      </c>
      <c r="E4196" s="1" t="s">
        <v>26</v>
      </c>
      <c r="F4196" s="1">
        <v>71.0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1">
        <v>25.95</v>
      </c>
      <c r="T4196" s="1">
        <v>1801.9</v>
      </c>
      <c r="U4196" s="1">
        <v>0.0</v>
      </c>
      <c r="V4196" s="1">
        <v>0.0</v>
      </c>
      <c r="W4196" s="1" t="s">
        <v>26</v>
      </c>
    </row>
    <row r="4197" ht="15.75" customHeight="1">
      <c r="A4197" s="1" t="s">
        <v>4234</v>
      </c>
      <c r="B4197" s="1" t="s">
        <v>24</v>
      </c>
      <c r="C4197" s="1">
        <v>1.0</v>
      </c>
      <c r="D4197" s="1" t="s">
        <v>26</v>
      </c>
      <c r="E4197" s="1" t="s">
        <v>26</v>
      </c>
      <c r="F4197" s="1">
        <v>45.0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1">
        <v>70.05</v>
      </c>
      <c r="T4197" s="1">
        <v>3062.45</v>
      </c>
      <c r="U4197" s="1">
        <v>0.0</v>
      </c>
      <c r="V4197" s="1">
        <v>0.0</v>
      </c>
      <c r="W4197" s="1" t="s">
        <v>26</v>
      </c>
    </row>
    <row r="4198" ht="15.75" customHeight="1">
      <c r="A4198" s="1" t="s">
        <v>4235</v>
      </c>
      <c r="B4198" s="1" t="s">
        <v>24</v>
      </c>
      <c r="C4198" s="1">
        <v>0.0</v>
      </c>
      <c r="D4198" s="1" t="s">
        <v>25</v>
      </c>
      <c r="E4198" s="1" t="s">
        <v>25</v>
      </c>
      <c r="F4198" s="1">
        <v>70.0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1">
        <v>24.05</v>
      </c>
      <c r="T4198" s="1">
        <v>1764.75</v>
      </c>
      <c r="U4198" s="1">
        <v>0.0</v>
      </c>
      <c r="V4198" s="1">
        <v>0.0</v>
      </c>
      <c r="W4198" s="1" t="s">
        <v>26</v>
      </c>
    </row>
    <row r="4199" ht="15.75" customHeight="1">
      <c r="A4199" s="1" t="s">
        <v>4236</v>
      </c>
      <c r="B4199" s="1" t="s">
        <v>24</v>
      </c>
      <c r="C4199" s="1">
        <v>0.0</v>
      </c>
      <c r="D4199" s="1" t="s">
        <v>26</v>
      </c>
      <c r="E4199" s="1" t="s">
        <v>25</v>
      </c>
      <c r="F4199" s="1">
        <v>22.0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1">
        <v>84.75</v>
      </c>
      <c r="T4199" s="1">
        <v>1816.75</v>
      </c>
      <c r="U4199" s="1">
        <v>0.0</v>
      </c>
      <c r="V4199" s="1">
        <v>0.0</v>
      </c>
      <c r="W4199" s="1" t="s">
        <v>26</v>
      </c>
    </row>
    <row r="4200" ht="15.75" customHeight="1">
      <c r="A4200" s="1" t="s">
        <v>4237</v>
      </c>
      <c r="B4200" s="1" t="s">
        <v>24</v>
      </c>
      <c r="C4200" s="1">
        <v>0.0</v>
      </c>
      <c r="D4200" s="1" t="s">
        <v>25</v>
      </c>
      <c r="E4200" s="1" t="s">
        <v>25</v>
      </c>
      <c r="F4200" s="1">
        <v>52.0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1">
        <v>23.05</v>
      </c>
      <c r="T4200" s="1">
        <v>1255.1</v>
      </c>
      <c r="U4200" s="1">
        <v>2.0</v>
      </c>
      <c r="V4200" s="1">
        <v>0.0</v>
      </c>
      <c r="W4200" s="1" t="s">
        <v>26</v>
      </c>
    </row>
    <row r="4201" ht="15.75" customHeight="1">
      <c r="A4201" s="1" t="s">
        <v>4238</v>
      </c>
      <c r="B4201" s="1" t="s">
        <v>32</v>
      </c>
      <c r="C4201" s="1">
        <v>0.0</v>
      </c>
      <c r="D4201" s="1" t="s">
        <v>25</v>
      </c>
      <c r="E4201" s="1" t="s">
        <v>26</v>
      </c>
      <c r="F4201" s="1">
        <v>55.0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1">
        <v>104.15</v>
      </c>
      <c r="T4201" s="1">
        <v>5743.05</v>
      </c>
      <c r="U4201" s="1">
        <v>0.0</v>
      </c>
      <c r="V4201" s="1">
        <v>3.0</v>
      </c>
      <c r="W4201" s="1" t="s">
        <v>25</v>
      </c>
    </row>
    <row r="4202" ht="15.75" customHeight="1">
      <c r="A4202" s="1" t="s">
        <v>4239</v>
      </c>
      <c r="B4202" s="1" t="s">
        <v>24</v>
      </c>
      <c r="C4202" s="1">
        <v>0.0</v>
      </c>
      <c r="D4202" s="1" t="s">
        <v>26</v>
      </c>
      <c r="E4202" s="1" t="s">
        <v>26</v>
      </c>
      <c r="F4202" s="1">
        <v>65.0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1">
        <v>59.95</v>
      </c>
      <c r="T4202" s="1">
        <v>3921.1</v>
      </c>
      <c r="U4202" s="1">
        <v>0.0</v>
      </c>
      <c r="V4202" s="1">
        <v>0.0</v>
      </c>
      <c r="W4202" s="1" t="s">
        <v>26</v>
      </c>
    </row>
    <row r="4203" ht="15.75" customHeight="1">
      <c r="A4203" s="1" t="s">
        <v>4240</v>
      </c>
      <c r="B4203" s="1" t="s">
        <v>24</v>
      </c>
      <c r="C4203" s="1">
        <v>0.0</v>
      </c>
      <c r="D4203" s="1" t="s">
        <v>25</v>
      </c>
      <c r="E4203" s="1" t="s">
        <v>25</v>
      </c>
      <c r="F4203" s="1">
        <v>72.0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1">
        <v>19.55</v>
      </c>
      <c r="T4203" s="1">
        <v>1463.45</v>
      </c>
      <c r="U4203" s="1">
        <v>0.0</v>
      </c>
      <c r="V4203" s="1">
        <v>0.0</v>
      </c>
      <c r="W4203" s="1" t="s">
        <v>26</v>
      </c>
    </row>
    <row r="4204" ht="15.75" customHeight="1">
      <c r="A4204" s="1" t="s">
        <v>4241</v>
      </c>
      <c r="B4204" s="1" t="s">
        <v>32</v>
      </c>
      <c r="C4204" s="1">
        <v>0.0</v>
      </c>
      <c r="D4204" s="1" t="s">
        <v>25</v>
      </c>
      <c r="E4204" s="1" t="s">
        <v>26</v>
      </c>
      <c r="F4204" s="1">
        <v>10.0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1">
        <v>19.6</v>
      </c>
      <c r="T4204" s="1">
        <v>189.45</v>
      </c>
      <c r="U4204" s="1">
        <v>0.0</v>
      </c>
      <c r="V4204" s="1">
        <v>0.0</v>
      </c>
      <c r="W4204" s="1" t="s">
        <v>26</v>
      </c>
    </row>
    <row r="4205" ht="15.75" customHeight="1">
      <c r="A4205" s="1" t="s">
        <v>4242</v>
      </c>
      <c r="B4205" s="1" t="s">
        <v>24</v>
      </c>
      <c r="C4205" s="1">
        <v>0.0</v>
      </c>
      <c r="D4205" s="1" t="s">
        <v>26</v>
      </c>
      <c r="E4205" s="1" t="s">
        <v>25</v>
      </c>
      <c r="F4205" s="1">
        <v>7.0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1">
        <v>20.05</v>
      </c>
      <c r="T4205" s="1">
        <v>96.8</v>
      </c>
      <c r="U4205" s="1">
        <v>0.0</v>
      </c>
      <c r="V4205" s="1">
        <v>0.0</v>
      </c>
      <c r="W4205" s="1" t="s">
        <v>26</v>
      </c>
    </row>
    <row r="4206" ht="15.75" customHeight="1">
      <c r="A4206" s="1" t="s">
        <v>4243</v>
      </c>
      <c r="B4206" s="1" t="s">
        <v>32</v>
      </c>
      <c r="C4206" s="1">
        <v>1.0</v>
      </c>
      <c r="D4206" s="1" t="s">
        <v>26</v>
      </c>
      <c r="E4206" s="1" t="s">
        <v>26</v>
      </c>
      <c r="F4206" s="1">
        <v>5.0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1">
        <v>85.55</v>
      </c>
      <c r="T4206" s="1">
        <v>408.5</v>
      </c>
      <c r="U4206" s="1">
        <v>0.0</v>
      </c>
      <c r="V4206" s="1">
        <v>0.0</v>
      </c>
      <c r="W4206" s="1" t="s">
        <v>26</v>
      </c>
    </row>
    <row r="4207" ht="15.75" customHeight="1">
      <c r="A4207" s="1" t="s">
        <v>4244</v>
      </c>
      <c r="B4207" s="1" t="s">
        <v>24</v>
      </c>
      <c r="C4207" s="1">
        <v>0.0</v>
      </c>
      <c r="D4207" s="1" t="s">
        <v>25</v>
      </c>
      <c r="E4207" s="1" t="s">
        <v>25</v>
      </c>
      <c r="F4207" s="1">
        <v>24.0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1">
        <v>78.6</v>
      </c>
      <c r="T4207" s="1">
        <v>1846.65</v>
      </c>
      <c r="U4207" s="1">
        <v>0.0</v>
      </c>
      <c r="V4207" s="1">
        <v>0.0</v>
      </c>
      <c r="W4207" s="1" t="s">
        <v>26</v>
      </c>
    </row>
    <row r="4208" ht="15.75" customHeight="1">
      <c r="A4208" s="1" t="s">
        <v>4245</v>
      </c>
      <c r="B4208" s="1" t="s">
        <v>24</v>
      </c>
      <c r="C4208" s="1">
        <v>0.0</v>
      </c>
      <c r="D4208" s="1" t="s">
        <v>25</v>
      </c>
      <c r="E4208" s="1" t="s">
        <v>25</v>
      </c>
      <c r="F4208" s="1">
        <v>72.0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1">
        <v>116.8</v>
      </c>
      <c r="T4208" s="1">
        <v>8456.75</v>
      </c>
      <c r="U4208" s="1">
        <v>0.0</v>
      </c>
      <c r="V4208" s="1">
        <v>0.0</v>
      </c>
      <c r="W4208" s="1" t="s">
        <v>26</v>
      </c>
    </row>
    <row r="4209" ht="15.75" customHeight="1">
      <c r="A4209" s="1" t="s">
        <v>4246</v>
      </c>
      <c r="B4209" s="1" t="s">
        <v>32</v>
      </c>
      <c r="C4209" s="1">
        <v>0.0</v>
      </c>
      <c r="D4209" s="1" t="s">
        <v>26</v>
      </c>
      <c r="E4209" s="1" t="s">
        <v>26</v>
      </c>
      <c r="F4209" s="1">
        <v>21.0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1">
        <v>43.55</v>
      </c>
      <c r="T4209" s="1">
        <v>1011.5</v>
      </c>
      <c r="U4209" s="1">
        <v>0.0</v>
      </c>
      <c r="V4209" s="1">
        <v>1.0</v>
      </c>
      <c r="W4209" s="1" t="s">
        <v>26</v>
      </c>
    </row>
    <row r="4210" ht="15.75" customHeight="1">
      <c r="A4210" s="1" t="s">
        <v>4247</v>
      </c>
      <c r="B4210" s="1" t="s">
        <v>32</v>
      </c>
      <c r="C4210" s="1">
        <v>0.0</v>
      </c>
      <c r="D4210" s="1" t="s">
        <v>25</v>
      </c>
      <c r="E4210" s="1" t="s">
        <v>26</v>
      </c>
      <c r="F4210" s="1">
        <v>69.0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1">
        <v>60.8</v>
      </c>
      <c r="T4210" s="1">
        <v>4263.4</v>
      </c>
      <c r="U4210" s="1">
        <v>0.0</v>
      </c>
      <c r="V4210" s="1">
        <v>0.0</v>
      </c>
      <c r="W4210" s="1" t="s">
        <v>26</v>
      </c>
    </row>
    <row r="4211" ht="15.75" customHeight="1">
      <c r="A4211" s="1" t="s">
        <v>4248</v>
      </c>
      <c r="B4211" s="1" t="s">
        <v>32</v>
      </c>
      <c r="C4211" s="1">
        <v>0.0</v>
      </c>
      <c r="D4211" s="1" t="s">
        <v>25</v>
      </c>
      <c r="E4211" s="1" t="s">
        <v>25</v>
      </c>
      <c r="F4211" s="1">
        <v>44.0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1">
        <v>54.9</v>
      </c>
      <c r="T4211" s="1">
        <v>2549.1</v>
      </c>
      <c r="U4211" s="1">
        <v>4.0</v>
      </c>
      <c r="V4211" s="1">
        <v>0.0</v>
      </c>
      <c r="W4211" s="1" t="s">
        <v>26</v>
      </c>
    </row>
    <row r="4212" ht="15.75" customHeight="1">
      <c r="A4212" s="1" t="s">
        <v>4249</v>
      </c>
      <c r="B4212" s="1" t="s">
        <v>24</v>
      </c>
      <c r="C4212" s="1">
        <v>1.0</v>
      </c>
      <c r="D4212" s="1" t="s">
        <v>25</v>
      </c>
      <c r="E4212" s="1" t="s">
        <v>25</v>
      </c>
      <c r="F4212" s="1">
        <v>61.0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1">
        <v>65.2</v>
      </c>
      <c r="T4212" s="1">
        <v>3965.05</v>
      </c>
      <c r="U4212" s="1">
        <v>0.0</v>
      </c>
      <c r="V4212" s="1">
        <v>0.0</v>
      </c>
      <c r="W4212" s="1" t="s">
        <v>26</v>
      </c>
    </row>
    <row r="4213" ht="15.75" customHeight="1">
      <c r="A4213" s="1" t="s">
        <v>4250</v>
      </c>
      <c r="B4213" s="1" t="s">
        <v>32</v>
      </c>
      <c r="C4213" s="1">
        <v>1.0</v>
      </c>
      <c r="D4213" s="1" t="s">
        <v>26</v>
      </c>
      <c r="E4213" s="1" t="s">
        <v>26</v>
      </c>
      <c r="F4213" s="1">
        <v>24.0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1">
        <v>102.95</v>
      </c>
      <c r="T4213" s="1">
        <v>2496.7</v>
      </c>
      <c r="U4213" s="1">
        <v>0.0</v>
      </c>
      <c r="V4213" s="1">
        <v>2.0</v>
      </c>
      <c r="W4213" s="1" t="s">
        <v>25</v>
      </c>
    </row>
    <row r="4214" ht="15.75" customHeight="1">
      <c r="A4214" s="1" t="s">
        <v>4251</v>
      </c>
      <c r="B4214" s="1" t="s">
        <v>24</v>
      </c>
      <c r="C4214" s="1">
        <v>0.0</v>
      </c>
      <c r="D4214" s="1" t="s">
        <v>26</v>
      </c>
      <c r="E4214" s="1" t="s">
        <v>26</v>
      </c>
      <c r="F4214" s="1">
        <v>1.0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1">
        <v>90.6</v>
      </c>
      <c r="T4214" s="1">
        <v>90.6</v>
      </c>
      <c r="U4214" s="1">
        <v>0.0</v>
      </c>
      <c r="V4214" s="1">
        <v>0.0</v>
      </c>
      <c r="W4214" s="1" t="s">
        <v>25</v>
      </c>
    </row>
    <row r="4215" ht="15.75" customHeight="1">
      <c r="A4215" s="1" t="s">
        <v>4252</v>
      </c>
      <c r="B4215" s="1" t="s">
        <v>24</v>
      </c>
      <c r="C4215" s="1">
        <v>0.0</v>
      </c>
      <c r="D4215" s="1" t="s">
        <v>26</v>
      </c>
      <c r="E4215" s="1" t="s">
        <v>26</v>
      </c>
      <c r="F4215" s="1">
        <v>6.0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1">
        <v>50.8</v>
      </c>
      <c r="T4215" s="1">
        <v>288.05</v>
      </c>
      <c r="U4215" s="1">
        <v>0.0</v>
      </c>
      <c r="V4215" s="1">
        <v>0.0</v>
      </c>
      <c r="W4215" s="1" t="s">
        <v>25</v>
      </c>
    </row>
    <row r="4216" ht="15.75" customHeight="1">
      <c r="A4216" s="1" t="s">
        <v>4253</v>
      </c>
      <c r="B4216" s="1" t="s">
        <v>32</v>
      </c>
      <c r="C4216" s="1">
        <v>0.0</v>
      </c>
      <c r="D4216" s="1" t="s">
        <v>26</v>
      </c>
      <c r="E4216" s="1" t="s">
        <v>26</v>
      </c>
      <c r="F4216" s="1">
        <v>4.0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1">
        <v>90.05</v>
      </c>
      <c r="T4216" s="1">
        <v>368.1</v>
      </c>
      <c r="U4216" s="1">
        <v>0.0</v>
      </c>
      <c r="V4216" s="1">
        <v>1.0</v>
      </c>
      <c r="W4216" s="1" t="s">
        <v>25</v>
      </c>
    </row>
    <row r="4217" ht="15.75" customHeight="1">
      <c r="A4217" s="1" t="s">
        <v>4254</v>
      </c>
      <c r="B4217" s="1" t="s">
        <v>32</v>
      </c>
      <c r="C4217" s="1">
        <v>0.0</v>
      </c>
      <c r="D4217" s="1" t="s">
        <v>25</v>
      </c>
      <c r="E4217" s="1" t="s">
        <v>26</v>
      </c>
      <c r="F4217" s="1">
        <v>72.0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1">
        <v>108.2</v>
      </c>
      <c r="T4217" s="1">
        <v>7840.6</v>
      </c>
      <c r="U4217" s="1">
        <v>0.0</v>
      </c>
      <c r="V4217" s="1">
        <v>0.0</v>
      </c>
      <c r="W4217" s="1" t="s">
        <v>26</v>
      </c>
    </row>
    <row r="4218" ht="15.75" customHeight="1">
      <c r="A4218" s="1" t="s">
        <v>4255</v>
      </c>
      <c r="B4218" s="1" t="s">
        <v>32</v>
      </c>
      <c r="C4218" s="1">
        <v>0.0</v>
      </c>
      <c r="D4218" s="1" t="s">
        <v>26</v>
      </c>
      <c r="E4218" s="1" t="s">
        <v>26</v>
      </c>
      <c r="F4218" s="1">
        <v>72.0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1">
        <v>92.0</v>
      </c>
      <c r="T4218" s="1">
        <v>6632.75</v>
      </c>
      <c r="U4218" s="1">
        <v>3.0</v>
      </c>
      <c r="V4218" s="1">
        <v>0.0</v>
      </c>
      <c r="W4218" s="1" t="s">
        <v>26</v>
      </c>
    </row>
    <row r="4219" ht="15.75" customHeight="1">
      <c r="A4219" s="1" t="s">
        <v>4256</v>
      </c>
      <c r="B4219" s="1" t="s">
        <v>32</v>
      </c>
      <c r="C4219" s="1">
        <v>1.0</v>
      </c>
      <c r="D4219" s="1" t="s">
        <v>25</v>
      </c>
      <c r="E4219" s="1" t="s">
        <v>26</v>
      </c>
      <c r="F4219" s="1">
        <v>14.0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1">
        <v>75.1</v>
      </c>
      <c r="T4219" s="1">
        <v>1013.35</v>
      </c>
      <c r="U4219" s="1">
        <v>0.0</v>
      </c>
      <c r="V4219" s="1">
        <v>0.0</v>
      </c>
      <c r="W4219" s="1" t="s">
        <v>26</v>
      </c>
    </row>
    <row r="4220" ht="15.75" customHeight="1">
      <c r="A4220" s="1" t="s">
        <v>4257</v>
      </c>
      <c r="B4220" s="1" t="s">
        <v>32</v>
      </c>
      <c r="C4220" s="1">
        <v>0.0</v>
      </c>
      <c r="D4220" s="1" t="s">
        <v>26</v>
      </c>
      <c r="E4220" s="1" t="s">
        <v>26</v>
      </c>
      <c r="F4220" s="1">
        <v>7.0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1">
        <v>25.05</v>
      </c>
      <c r="T4220" s="1">
        <v>152.95</v>
      </c>
      <c r="U4220" s="1">
        <v>0.0</v>
      </c>
      <c r="V4220" s="1">
        <v>0.0</v>
      </c>
      <c r="W4220" s="1" t="s">
        <v>26</v>
      </c>
    </row>
    <row r="4221" ht="15.75" customHeight="1">
      <c r="A4221" s="1" t="s">
        <v>4258</v>
      </c>
      <c r="B4221" s="1" t="s">
        <v>24</v>
      </c>
      <c r="C4221" s="1">
        <v>0.0</v>
      </c>
      <c r="D4221" s="1" t="s">
        <v>26</v>
      </c>
      <c r="E4221" s="1" t="s">
        <v>26</v>
      </c>
      <c r="F4221" s="1">
        <v>48.0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1">
        <v>75.15</v>
      </c>
      <c r="T4221" s="1">
        <v>3772.65</v>
      </c>
      <c r="U4221" s="1">
        <v>0.0</v>
      </c>
      <c r="V4221" s="1">
        <v>0.0</v>
      </c>
      <c r="W4221" s="1" t="s">
        <v>26</v>
      </c>
    </row>
    <row r="4222" ht="15.75" customHeight="1">
      <c r="A4222" s="1" t="s">
        <v>4259</v>
      </c>
      <c r="B4222" s="1" t="s">
        <v>32</v>
      </c>
      <c r="C4222" s="1">
        <v>0.0</v>
      </c>
      <c r="D4222" s="1" t="s">
        <v>25</v>
      </c>
      <c r="E4222" s="1" t="s">
        <v>25</v>
      </c>
      <c r="F4222" s="1">
        <v>55.0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1">
        <v>19.5</v>
      </c>
      <c r="T4222" s="1">
        <v>1026.35</v>
      </c>
      <c r="U4222" s="1">
        <v>0.0</v>
      </c>
      <c r="V4222" s="1">
        <v>0.0</v>
      </c>
      <c r="W4222" s="1" t="s">
        <v>26</v>
      </c>
    </row>
    <row r="4223" ht="15.75" customHeight="1">
      <c r="A4223" s="1" t="s">
        <v>4260</v>
      </c>
      <c r="B4223" s="1" t="s">
        <v>32</v>
      </c>
      <c r="C4223" s="1">
        <v>0.0</v>
      </c>
      <c r="D4223" s="1" t="s">
        <v>26</v>
      </c>
      <c r="E4223" s="1" t="s">
        <v>26</v>
      </c>
      <c r="F4223" s="1">
        <v>1.0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1">
        <v>19.3</v>
      </c>
      <c r="T4223" s="1">
        <v>19.3</v>
      </c>
      <c r="U4223" s="1">
        <v>0.0</v>
      </c>
      <c r="V4223" s="1">
        <v>0.0</v>
      </c>
      <c r="W4223" s="1" t="s">
        <v>26</v>
      </c>
    </row>
    <row r="4224" ht="15.75" customHeight="1">
      <c r="A4224" s="1" t="s">
        <v>4261</v>
      </c>
      <c r="B4224" s="1" t="s">
        <v>32</v>
      </c>
      <c r="C4224" s="1">
        <v>0.0</v>
      </c>
      <c r="D4224" s="1" t="s">
        <v>26</v>
      </c>
      <c r="E4224" s="1" t="s">
        <v>26</v>
      </c>
      <c r="F4224" s="1">
        <v>45.0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1">
        <v>112.2</v>
      </c>
      <c r="T4224" s="1">
        <v>5031.85</v>
      </c>
      <c r="U4224" s="1">
        <v>4.0</v>
      </c>
      <c r="V4224" s="1">
        <v>0.0</v>
      </c>
      <c r="W4224" s="1" t="s">
        <v>26</v>
      </c>
    </row>
    <row r="4225" ht="15.75" customHeight="1">
      <c r="A4225" s="1" t="s">
        <v>4262</v>
      </c>
      <c r="B4225" s="1" t="s">
        <v>32</v>
      </c>
      <c r="C4225" s="1">
        <v>0.0</v>
      </c>
      <c r="D4225" s="1" t="s">
        <v>26</v>
      </c>
      <c r="E4225" s="1" t="s">
        <v>26</v>
      </c>
      <c r="F4225" s="1">
        <v>3.0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1">
        <v>70.3</v>
      </c>
      <c r="T4225" s="1">
        <v>220.4</v>
      </c>
      <c r="U4225" s="1">
        <v>0.0</v>
      </c>
      <c r="V4225" s="1">
        <v>0.0</v>
      </c>
      <c r="W4225" s="1" t="s">
        <v>26</v>
      </c>
    </row>
    <row r="4226" ht="15.75" customHeight="1">
      <c r="A4226" s="1" t="s">
        <v>4263</v>
      </c>
      <c r="B4226" s="1" t="s">
        <v>24</v>
      </c>
      <c r="C4226" s="1">
        <v>0.0</v>
      </c>
      <c r="D4226" s="1" t="s">
        <v>25</v>
      </c>
      <c r="E4226" s="1" t="s">
        <v>26</v>
      </c>
      <c r="F4226" s="1">
        <v>71.0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1">
        <v>19.6</v>
      </c>
      <c r="T4226" s="1">
        <v>1416.5</v>
      </c>
      <c r="U4226" s="1">
        <v>0.0</v>
      </c>
      <c r="V4226" s="1">
        <v>0.0</v>
      </c>
      <c r="W4226" s="1" t="s">
        <v>26</v>
      </c>
    </row>
    <row r="4227" ht="15.75" customHeight="1">
      <c r="A4227" s="1" t="s">
        <v>4264</v>
      </c>
      <c r="B4227" s="1" t="s">
        <v>32</v>
      </c>
      <c r="C4227" s="1">
        <v>0.0</v>
      </c>
      <c r="D4227" s="1" t="s">
        <v>25</v>
      </c>
      <c r="E4227" s="1" t="s">
        <v>26</v>
      </c>
      <c r="F4227" s="1">
        <v>8.0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1">
        <v>20.25</v>
      </c>
      <c r="T4227" s="1">
        <v>158.35</v>
      </c>
      <c r="U4227" s="1">
        <v>0.0</v>
      </c>
      <c r="V4227" s="1">
        <v>0.0</v>
      </c>
      <c r="W4227" s="1" t="s">
        <v>26</v>
      </c>
    </row>
    <row r="4228" ht="15.75" customHeight="1">
      <c r="A4228" s="1" t="s">
        <v>4265</v>
      </c>
      <c r="B4228" s="1" t="s">
        <v>24</v>
      </c>
      <c r="C4228" s="1">
        <v>0.0</v>
      </c>
      <c r="D4228" s="1" t="s">
        <v>25</v>
      </c>
      <c r="E4228" s="1" t="s">
        <v>26</v>
      </c>
      <c r="F4228" s="1">
        <v>3.0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1">
        <v>75.85</v>
      </c>
      <c r="T4228" s="1">
        <v>256.6</v>
      </c>
      <c r="U4228" s="1">
        <v>0.0</v>
      </c>
      <c r="V4228" s="1">
        <v>0.0</v>
      </c>
      <c r="W4228" s="1" t="s">
        <v>25</v>
      </c>
    </row>
    <row r="4229" ht="15.75" customHeight="1">
      <c r="A4229" s="1" t="s">
        <v>4266</v>
      </c>
      <c r="B4229" s="1" t="s">
        <v>32</v>
      </c>
      <c r="C4229" s="1">
        <v>0.0</v>
      </c>
      <c r="D4229" s="1" t="s">
        <v>25</v>
      </c>
      <c r="E4229" s="1" t="s">
        <v>25</v>
      </c>
      <c r="F4229" s="1">
        <v>69.0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1">
        <v>80.65</v>
      </c>
      <c r="T4229" s="1">
        <v>5542.55</v>
      </c>
      <c r="U4229" s="1">
        <v>0.0</v>
      </c>
      <c r="V4229" s="1">
        <v>0.0</v>
      </c>
      <c r="W4229" s="1" t="s">
        <v>26</v>
      </c>
    </row>
    <row r="4230" ht="15.75" customHeight="1">
      <c r="A4230" s="1" t="s">
        <v>4267</v>
      </c>
      <c r="B4230" s="1" t="s">
        <v>32</v>
      </c>
      <c r="C4230" s="1">
        <v>0.0</v>
      </c>
      <c r="D4230" s="1" t="s">
        <v>25</v>
      </c>
      <c r="E4230" s="1" t="s">
        <v>25</v>
      </c>
      <c r="F4230" s="1">
        <v>1.0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1">
        <v>68.5</v>
      </c>
      <c r="T4230" s="1">
        <v>68.5</v>
      </c>
      <c r="U4230" s="1">
        <v>0.0</v>
      </c>
      <c r="V4230" s="1">
        <v>0.0</v>
      </c>
      <c r="W4230" s="1" t="s">
        <v>25</v>
      </c>
    </row>
    <row r="4231" ht="15.75" customHeight="1">
      <c r="A4231" s="1" t="s">
        <v>4268</v>
      </c>
      <c r="B4231" s="1" t="s">
        <v>24</v>
      </c>
      <c r="C4231" s="1">
        <v>1.0</v>
      </c>
      <c r="D4231" s="1" t="s">
        <v>25</v>
      </c>
      <c r="E4231" s="1" t="s">
        <v>26</v>
      </c>
      <c r="F4231" s="1">
        <v>72.0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1">
        <v>115.75</v>
      </c>
      <c r="T4231" s="1">
        <v>8443.7</v>
      </c>
      <c r="U4231" s="1">
        <v>0.0</v>
      </c>
      <c r="V4231" s="1">
        <v>0.0</v>
      </c>
      <c r="W4231" s="1" t="s">
        <v>26</v>
      </c>
    </row>
    <row r="4232" ht="15.75" customHeight="1">
      <c r="A4232" s="1" t="s">
        <v>4269</v>
      </c>
      <c r="B4232" s="1" t="s">
        <v>32</v>
      </c>
      <c r="C4232" s="1">
        <v>0.0</v>
      </c>
      <c r="D4232" s="1" t="s">
        <v>26</v>
      </c>
      <c r="E4232" s="1" t="s">
        <v>26</v>
      </c>
      <c r="F4232" s="1">
        <v>11.0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1">
        <v>73.5</v>
      </c>
      <c r="T4232" s="1">
        <v>791.75</v>
      </c>
      <c r="U4232" s="1">
        <v>3.0</v>
      </c>
      <c r="V4232" s="1">
        <v>0.0</v>
      </c>
      <c r="W4232" s="1" t="s">
        <v>25</v>
      </c>
    </row>
    <row r="4233" ht="15.75" customHeight="1">
      <c r="A4233" s="1" t="s">
        <v>4270</v>
      </c>
      <c r="B4233" s="1" t="s">
        <v>32</v>
      </c>
      <c r="C4233" s="1">
        <v>0.0</v>
      </c>
      <c r="D4233" s="1" t="s">
        <v>26</v>
      </c>
      <c r="E4233" s="1" t="s">
        <v>26</v>
      </c>
      <c r="F4233" s="1">
        <v>71.0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1">
        <v>80.6</v>
      </c>
      <c r="T4233" s="1">
        <v>5708.2</v>
      </c>
      <c r="U4233" s="1">
        <v>0.0</v>
      </c>
      <c r="V4233" s="1">
        <v>0.0</v>
      </c>
      <c r="W4233" s="1" t="s">
        <v>26</v>
      </c>
    </row>
    <row r="4234" ht="15.75" customHeight="1">
      <c r="A4234" s="1" t="s">
        <v>4271</v>
      </c>
      <c r="B4234" s="1" t="s">
        <v>24</v>
      </c>
      <c r="C4234" s="1">
        <v>0.0</v>
      </c>
      <c r="D4234" s="1" t="s">
        <v>26</v>
      </c>
      <c r="E4234" s="1" t="s">
        <v>26</v>
      </c>
      <c r="F4234" s="1">
        <v>1.0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1">
        <v>69.95</v>
      </c>
      <c r="T4234" s="1">
        <v>69.95</v>
      </c>
      <c r="U4234" s="1">
        <v>0.0</v>
      </c>
      <c r="V4234" s="1">
        <v>0.0</v>
      </c>
      <c r="W4234" s="1" t="s">
        <v>25</v>
      </c>
    </row>
    <row r="4235" ht="15.75" customHeight="1">
      <c r="A4235" s="1" t="s">
        <v>4272</v>
      </c>
      <c r="B4235" s="1" t="s">
        <v>24</v>
      </c>
      <c r="C4235" s="1">
        <v>0.0</v>
      </c>
      <c r="D4235" s="1" t="s">
        <v>25</v>
      </c>
      <c r="E4235" s="1" t="s">
        <v>26</v>
      </c>
      <c r="F4235" s="1">
        <v>33.0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1">
        <v>59.55</v>
      </c>
      <c r="T4235" s="1">
        <v>2016.3</v>
      </c>
      <c r="U4235" s="1">
        <v>0.0</v>
      </c>
      <c r="V4235" s="1">
        <v>0.0</v>
      </c>
      <c r="W4235" s="1" t="s">
        <v>26</v>
      </c>
    </row>
    <row r="4236" ht="15.75" customHeight="1">
      <c r="A4236" s="1" t="s">
        <v>4273</v>
      </c>
      <c r="B4236" s="1" t="s">
        <v>24</v>
      </c>
      <c r="C4236" s="1">
        <v>0.0</v>
      </c>
      <c r="D4236" s="1" t="s">
        <v>26</v>
      </c>
      <c r="E4236" s="1" t="s">
        <v>26</v>
      </c>
      <c r="F4236" s="1">
        <v>16.0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1">
        <v>19.05</v>
      </c>
      <c r="T4236" s="1">
        <v>326.65</v>
      </c>
      <c r="U4236" s="1">
        <v>0.0</v>
      </c>
      <c r="V4236" s="1">
        <v>0.0</v>
      </c>
      <c r="W4236" s="1" t="s">
        <v>26</v>
      </c>
    </row>
    <row r="4237" ht="15.75" customHeight="1">
      <c r="A4237" s="1" t="s">
        <v>4274</v>
      </c>
      <c r="B4237" s="1" t="s">
        <v>24</v>
      </c>
      <c r="C4237" s="1">
        <v>1.0</v>
      </c>
      <c r="D4237" s="1" t="s">
        <v>25</v>
      </c>
      <c r="E4237" s="1" t="s">
        <v>26</v>
      </c>
      <c r="F4237" s="1">
        <v>56.0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1">
        <v>95.65</v>
      </c>
      <c r="T4237" s="1">
        <v>5471.75</v>
      </c>
      <c r="U4237" s="1">
        <v>3.0</v>
      </c>
      <c r="V4237" s="1">
        <v>0.0</v>
      </c>
      <c r="W4237" s="1" t="s">
        <v>26</v>
      </c>
    </row>
    <row r="4238" ht="15.75" customHeight="1">
      <c r="A4238" s="1" t="s">
        <v>4275</v>
      </c>
      <c r="B4238" s="1" t="s">
        <v>24</v>
      </c>
      <c r="C4238" s="1">
        <v>0.0</v>
      </c>
      <c r="D4238" s="1" t="s">
        <v>26</v>
      </c>
      <c r="E4238" s="1" t="s">
        <v>26</v>
      </c>
      <c r="F4238" s="1">
        <v>1.0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1">
        <v>19.95</v>
      </c>
      <c r="T4238" s="1">
        <v>19.95</v>
      </c>
      <c r="U4238" s="1">
        <v>0.0</v>
      </c>
      <c r="V4238" s="1">
        <v>0.0</v>
      </c>
      <c r="W4238" s="1" t="s">
        <v>26</v>
      </c>
    </row>
    <row r="4239" ht="15.75" customHeight="1">
      <c r="A4239" s="1" t="s">
        <v>4276</v>
      </c>
      <c r="B4239" s="1" t="s">
        <v>32</v>
      </c>
      <c r="C4239" s="1">
        <v>0.0</v>
      </c>
      <c r="D4239" s="1" t="s">
        <v>26</v>
      </c>
      <c r="E4239" s="1" t="s">
        <v>26</v>
      </c>
      <c r="F4239" s="1">
        <v>5.0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1">
        <v>70.05</v>
      </c>
      <c r="T4239" s="1">
        <v>346.4</v>
      </c>
      <c r="U4239" s="1">
        <v>3.0</v>
      </c>
      <c r="V4239" s="1">
        <v>0.0</v>
      </c>
      <c r="W4239" s="1" t="s">
        <v>25</v>
      </c>
    </row>
    <row r="4240" ht="15.75" customHeight="1">
      <c r="A4240" s="1" t="s">
        <v>4277</v>
      </c>
      <c r="B4240" s="1" t="s">
        <v>32</v>
      </c>
      <c r="C4240" s="1">
        <v>0.0</v>
      </c>
      <c r="D4240" s="1" t="s">
        <v>25</v>
      </c>
      <c r="E4240" s="1" t="s">
        <v>25</v>
      </c>
      <c r="F4240" s="1">
        <v>57.0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1">
        <v>19.4</v>
      </c>
      <c r="T4240" s="1">
        <v>1061.6</v>
      </c>
      <c r="U4240" s="1">
        <v>0.0</v>
      </c>
      <c r="V4240" s="1">
        <v>5.0</v>
      </c>
      <c r="W4240" s="1" t="s">
        <v>26</v>
      </c>
    </row>
    <row r="4241" ht="15.75" customHeight="1">
      <c r="A4241" s="1" t="s">
        <v>4278</v>
      </c>
      <c r="B4241" s="1" t="s">
        <v>32</v>
      </c>
      <c r="C4241" s="1">
        <v>0.0</v>
      </c>
      <c r="D4241" s="1" t="s">
        <v>25</v>
      </c>
      <c r="E4241" s="1" t="s">
        <v>25</v>
      </c>
      <c r="F4241" s="1">
        <v>56.0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1">
        <v>36.1</v>
      </c>
      <c r="T4241" s="1">
        <v>1971.5</v>
      </c>
      <c r="U4241" s="1">
        <v>0.0</v>
      </c>
      <c r="V4241" s="1">
        <v>0.0</v>
      </c>
      <c r="W4241" s="1" t="s">
        <v>26</v>
      </c>
    </row>
    <row r="4242" ht="15.75" customHeight="1">
      <c r="A4242" s="1" t="s">
        <v>4279</v>
      </c>
      <c r="B4242" s="1" t="s">
        <v>32</v>
      </c>
      <c r="C4242" s="1">
        <v>0.0</v>
      </c>
      <c r="D4242" s="1" t="s">
        <v>26</v>
      </c>
      <c r="E4242" s="1" t="s">
        <v>26</v>
      </c>
      <c r="F4242" s="1">
        <v>8.0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1">
        <v>94.0</v>
      </c>
      <c r="T4242" s="1">
        <v>773.65</v>
      </c>
      <c r="U4242" s="1">
        <v>0.0</v>
      </c>
      <c r="V4242" s="1">
        <v>1.0</v>
      </c>
      <c r="W4242" s="1" t="s">
        <v>25</v>
      </c>
    </row>
    <row r="4243" ht="15.75" customHeight="1">
      <c r="A4243" s="1" t="s">
        <v>4280</v>
      </c>
      <c r="B4243" s="1" t="s">
        <v>24</v>
      </c>
      <c r="C4243" s="1">
        <v>0.0</v>
      </c>
      <c r="D4243" s="1" t="s">
        <v>25</v>
      </c>
      <c r="E4243" s="1" t="s">
        <v>25</v>
      </c>
      <c r="F4243" s="1">
        <v>22.0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1">
        <v>61.15</v>
      </c>
      <c r="T4243" s="1">
        <v>1422.05</v>
      </c>
      <c r="U4243" s="1">
        <v>0.0</v>
      </c>
      <c r="V4243" s="1">
        <v>3.0</v>
      </c>
      <c r="W4243" s="1" t="s">
        <v>25</v>
      </c>
    </row>
    <row r="4244" ht="15.75" customHeight="1">
      <c r="A4244" s="1" t="s">
        <v>4281</v>
      </c>
      <c r="B4244" s="1" t="s">
        <v>24</v>
      </c>
      <c r="C4244" s="1">
        <v>0.0</v>
      </c>
      <c r="D4244" s="1" t="s">
        <v>26</v>
      </c>
      <c r="E4244" s="1" t="s">
        <v>26</v>
      </c>
      <c r="F4244" s="1">
        <v>1.0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1">
        <v>19.75</v>
      </c>
      <c r="T4244" s="1">
        <v>19.75</v>
      </c>
      <c r="U4244" s="1">
        <v>0.0</v>
      </c>
      <c r="V4244" s="1">
        <v>0.0</v>
      </c>
      <c r="W4244" s="1" t="s">
        <v>26</v>
      </c>
    </row>
    <row r="4245" ht="15.75" customHeight="1">
      <c r="A4245" s="1" t="s">
        <v>4282</v>
      </c>
      <c r="B4245" s="1" t="s">
        <v>24</v>
      </c>
      <c r="C4245" s="1">
        <v>0.0</v>
      </c>
      <c r="D4245" s="1" t="s">
        <v>26</v>
      </c>
      <c r="E4245" s="1" t="s">
        <v>25</v>
      </c>
      <c r="F4245" s="1">
        <v>40.0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1">
        <v>64.1</v>
      </c>
      <c r="T4245" s="1">
        <v>2460.35</v>
      </c>
      <c r="U4245" s="1">
        <v>4.0</v>
      </c>
      <c r="V4245" s="1">
        <v>0.0</v>
      </c>
      <c r="W4245" s="1" t="s">
        <v>26</v>
      </c>
    </row>
    <row r="4246" ht="15.75" customHeight="1">
      <c r="A4246" s="1" t="s">
        <v>4283</v>
      </c>
      <c r="B4246" s="1" t="s">
        <v>32</v>
      </c>
      <c r="C4246" s="1">
        <v>0.0</v>
      </c>
      <c r="D4246" s="1" t="s">
        <v>25</v>
      </c>
      <c r="E4246" s="1" t="s">
        <v>25</v>
      </c>
      <c r="F4246" s="1">
        <v>46.0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1">
        <v>19.75</v>
      </c>
      <c r="T4246" s="1">
        <v>856.5</v>
      </c>
      <c r="U4246" s="1">
        <v>0.0</v>
      </c>
      <c r="V4246" s="1">
        <v>0.0</v>
      </c>
      <c r="W4246" s="1" t="s">
        <v>26</v>
      </c>
    </row>
    <row r="4247" ht="15.75" customHeight="1">
      <c r="A4247" s="1" t="s">
        <v>4284</v>
      </c>
      <c r="B4247" s="1" t="s">
        <v>32</v>
      </c>
      <c r="C4247" s="1">
        <v>0.0</v>
      </c>
      <c r="D4247" s="1" t="s">
        <v>25</v>
      </c>
      <c r="E4247" s="1" t="s">
        <v>25</v>
      </c>
      <c r="F4247" s="1">
        <v>63.0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1">
        <v>19.7</v>
      </c>
      <c r="T4247" s="1">
        <v>1275.85</v>
      </c>
      <c r="U4247" s="1">
        <v>0.0</v>
      </c>
      <c r="V4247" s="1">
        <v>0.0</v>
      </c>
      <c r="W4247" s="1" t="s">
        <v>26</v>
      </c>
    </row>
    <row r="4248" ht="15.75" customHeight="1">
      <c r="A4248" s="1" t="s">
        <v>4285</v>
      </c>
      <c r="B4248" s="1" t="s">
        <v>32</v>
      </c>
      <c r="C4248" s="1">
        <v>0.0</v>
      </c>
      <c r="D4248" s="1" t="s">
        <v>25</v>
      </c>
      <c r="E4248" s="1" t="s">
        <v>25</v>
      </c>
      <c r="F4248" s="1">
        <v>68.0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1">
        <v>110.2</v>
      </c>
      <c r="T4248" s="1">
        <v>7467.5</v>
      </c>
      <c r="U4248" s="1">
        <v>0.0</v>
      </c>
      <c r="V4248" s="1">
        <v>0.0</v>
      </c>
      <c r="W4248" s="1" t="s">
        <v>26</v>
      </c>
    </row>
    <row r="4249" ht="15.75" customHeight="1">
      <c r="A4249" s="1" t="s">
        <v>4286</v>
      </c>
      <c r="B4249" s="1" t="s">
        <v>32</v>
      </c>
      <c r="C4249" s="1">
        <v>0.0</v>
      </c>
      <c r="D4249" s="1" t="s">
        <v>25</v>
      </c>
      <c r="E4249" s="1" t="s">
        <v>25</v>
      </c>
      <c r="F4249" s="1">
        <v>69.0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1">
        <v>106.35</v>
      </c>
      <c r="T4249" s="1">
        <v>7261.75</v>
      </c>
      <c r="U4249" s="1">
        <v>0.0</v>
      </c>
      <c r="V4249" s="1">
        <v>0.0</v>
      </c>
      <c r="W4249" s="1" t="s">
        <v>26</v>
      </c>
    </row>
    <row r="4250" ht="15.75" customHeight="1">
      <c r="A4250" s="1" t="s">
        <v>4287</v>
      </c>
      <c r="B4250" s="1" t="s">
        <v>24</v>
      </c>
      <c r="C4250" s="1">
        <v>0.0</v>
      </c>
      <c r="D4250" s="1" t="s">
        <v>25</v>
      </c>
      <c r="E4250" s="1" t="s">
        <v>26</v>
      </c>
      <c r="F4250" s="1">
        <v>56.0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1">
        <v>90.55</v>
      </c>
      <c r="T4250" s="1">
        <v>5116.6</v>
      </c>
      <c r="U4250" s="1">
        <v>0.0</v>
      </c>
      <c r="V4250" s="1">
        <v>0.0</v>
      </c>
      <c r="W4250" s="1" t="s">
        <v>26</v>
      </c>
    </row>
    <row r="4251" ht="15.75" customHeight="1">
      <c r="A4251" s="1" t="s">
        <v>4288</v>
      </c>
      <c r="B4251" s="1" t="s">
        <v>24</v>
      </c>
      <c r="C4251" s="1">
        <v>0.0</v>
      </c>
      <c r="D4251" s="1" t="s">
        <v>25</v>
      </c>
      <c r="E4251" s="1" t="s">
        <v>25</v>
      </c>
      <c r="F4251" s="1">
        <v>10.0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1">
        <v>65.9</v>
      </c>
      <c r="T4251" s="1">
        <v>660.05</v>
      </c>
      <c r="U4251" s="1">
        <v>1.0</v>
      </c>
      <c r="V4251" s="1">
        <v>0.0</v>
      </c>
      <c r="W4251" s="1" t="s">
        <v>26</v>
      </c>
    </row>
    <row r="4252" ht="15.75" customHeight="1">
      <c r="A4252" s="1" t="s">
        <v>4289</v>
      </c>
      <c r="B4252" s="1" t="s">
        <v>32</v>
      </c>
      <c r="C4252" s="1">
        <v>0.0</v>
      </c>
      <c r="D4252" s="1" t="s">
        <v>26</v>
      </c>
      <c r="E4252" s="1" t="s">
        <v>26</v>
      </c>
      <c r="F4252" s="1">
        <v>63.0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1">
        <v>104.5</v>
      </c>
      <c r="T4252" s="1">
        <v>6590.8</v>
      </c>
      <c r="U4252" s="1">
        <v>0.0</v>
      </c>
      <c r="V4252" s="1">
        <v>0.0</v>
      </c>
      <c r="W4252" s="1" t="s">
        <v>26</v>
      </c>
    </row>
    <row r="4253" ht="15.75" customHeight="1">
      <c r="A4253" s="1" t="s">
        <v>4290</v>
      </c>
      <c r="B4253" s="1" t="s">
        <v>24</v>
      </c>
      <c r="C4253" s="1">
        <v>0.0</v>
      </c>
      <c r="D4253" s="1" t="s">
        <v>25</v>
      </c>
      <c r="E4253" s="1" t="s">
        <v>25</v>
      </c>
      <c r="F4253" s="1">
        <v>24.0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1">
        <v>52.5</v>
      </c>
      <c r="T4253" s="1">
        <v>1208.15</v>
      </c>
      <c r="U4253" s="1">
        <v>0.0</v>
      </c>
      <c r="V4253" s="1">
        <v>0.0</v>
      </c>
      <c r="W4253" s="1" t="s">
        <v>26</v>
      </c>
    </row>
    <row r="4254" ht="15.75" customHeight="1">
      <c r="A4254" s="1" t="s">
        <v>4291</v>
      </c>
      <c r="B4254" s="1" t="s">
        <v>24</v>
      </c>
      <c r="C4254" s="1">
        <v>0.0</v>
      </c>
      <c r="D4254" s="1" t="s">
        <v>26</v>
      </c>
      <c r="E4254" s="1" t="s">
        <v>26</v>
      </c>
      <c r="F4254" s="1">
        <v>19.0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1">
        <v>56.1</v>
      </c>
      <c r="T4254" s="1">
        <v>1033.9</v>
      </c>
      <c r="U4254" s="1">
        <v>0.0</v>
      </c>
      <c r="V4254" s="1">
        <v>0.0</v>
      </c>
      <c r="W4254" s="1" t="s">
        <v>26</v>
      </c>
    </row>
    <row r="4255" ht="15.75" customHeight="1">
      <c r="A4255" s="1" t="s">
        <v>4292</v>
      </c>
      <c r="B4255" s="1" t="s">
        <v>32</v>
      </c>
      <c r="C4255" s="1">
        <v>0.0</v>
      </c>
      <c r="D4255" s="1" t="s">
        <v>25</v>
      </c>
      <c r="E4255" s="1" t="s">
        <v>25</v>
      </c>
      <c r="F4255" s="1">
        <v>22.0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1">
        <v>88.75</v>
      </c>
      <c r="T4255" s="1">
        <v>1885.15</v>
      </c>
      <c r="U4255" s="1">
        <v>0.0</v>
      </c>
      <c r="V4255" s="1">
        <v>0.0</v>
      </c>
      <c r="W4255" s="1" t="s">
        <v>26</v>
      </c>
    </row>
    <row r="4256" ht="15.75" customHeight="1">
      <c r="A4256" s="1" t="s">
        <v>4293</v>
      </c>
      <c r="B4256" s="1" t="s">
        <v>32</v>
      </c>
      <c r="C4256" s="1">
        <v>0.0</v>
      </c>
      <c r="D4256" s="1" t="s">
        <v>25</v>
      </c>
      <c r="E4256" s="1" t="s">
        <v>26</v>
      </c>
      <c r="F4256" s="1">
        <v>29.0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1">
        <v>84.45</v>
      </c>
      <c r="T4256" s="1">
        <v>2467.1</v>
      </c>
      <c r="U4256" s="1">
        <v>0.0</v>
      </c>
      <c r="V4256" s="1">
        <v>2.0</v>
      </c>
      <c r="W4256" s="1" t="s">
        <v>25</v>
      </c>
    </row>
    <row r="4257" ht="15.75" customHeight="1">
      <c r="A4257" s="1" t="s">
        <v>4294</v>
      </c>
      <c r="B4257" s="1" t="s">
        <v>32</v>
      </c>
      <c r="C4257" s="1">
        <v>0.0</v>
      </c>
      <c r="D4257" s="1" t="s">
        <v>25</v>
      </c>
      <c r="E4257" s="1" t="s">
        <v>26</v>
      </c>
      <c r="F4257" s="1">
        <v>13.0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1">
        <v>75.3</v>
      </c>
      <c r="T4257" s="1">
        <v>989.45</v>
      </c>
      <c r="U4257" s="1">
        <v>0.0</v>
      </c>
      <c r="V4257" s="1">
        <v>1.0</v>
      </c>
      <c r="W4257" s="1" t="s">
        <v>25</v>
      </c>
    </row>
    <row r="4258" ht="15.75" customHeight="1">
      <c r="A4258" s="1" t="s">
        <v>4295</v>
      </c>
      <c r="B4258" s="1" t="s">
        <v>24</v>
      </c>
      <c r="C4258" s="1">
        <v>0.0</v>
      </c>
      <c r="D4258" s="1" t="s">
        <v>25</v>
      </c>
      <c r="E4258" s="1" t="s">
        <v>26</v>
      </c>
      <c r="F4258" s="1">
        <v>70.0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1">
        <v>26.0</v>
      </c>
      <c r="T4258" s="1">
        <v>2006.95</v>
      </c>
      <c r="U4258" s="1">
        <v>2.0</v>
      </c>
      <c r="V4258" s="1">
        <v>0.0</v>
      </c>
      <c r="W4258" s="1" t="s">
        <v>26</v>
      </c>
    </row>
    <row r="4259" ht="15.75" customHeight="1">
      <c r="A4259" s="1" t="s">
        <v>4296</v>
      </c>
      <c r="B4259" s="1" t="s">
        <v>24</v>
      </c>
      <c r="C4259" s="1">
        <v>0.0</v>
      </c>
      <c r="D4259" s="1" t="s">
        <v>25</v>
      </c>
      <c r="E4259" s="1" t="s">
        <v>26</v>
      </c>
      <c r="F4259" s="1">
        <v>49.0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1">
        <v>99.4</v>
      </c>
      <c r="T4259" s="1">
        <v>5025.0</v>
      </c>
      <c r="U4259" s="1">
        <v>0.0</v>
      </c>
      <c r="V4259" s="1">
        <v>0.0</v>
      </c>
      <c r="W4259" s="1" t="s">
        <v>26</v>
      </c>
    </row>
    <row r="4260" ht="15.75" customHeight="1">
      <c r="A4260" s="1" t="s">
        <v>4297</v>
      </c>
      <c r="B4260" s="1" t="s">
        <v>24</v>
      </c>
      <c r="C4260" s="1">
        <v>1.0</v>
      </c>
      <c r="D4260" s="1" t="s">
        <v>25</v>
      </c>
      <c r="E4260" s="1" t="s">
        <v>26</v>
      </c>
      <c r="F4260" s="1">
        <v>43.0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1">
        <v>109.55</v>
      </c>
      <c r="T4260" s="1">
        <v>4830.25</v>
      </c>
      <c r="U4260" s="1">
        <v>1.0</v>
      </c>
      <c r="V4260" s="1">
        <v>3.0</v>
      </c>
      <c r="W4260" s="1" t="s">
        <v>25</v>
      </c>
    </row>
    <row r="4261" ht="15.75" customHeight="1">
      <c r="A4261" s="1" t="s">
        <v>4298</v>
      </c>
      <c r="B4261" s="1" t="s">
        <v>24</v>
      </c>
      <c r="C4261" s="1">
        <v>0.0</v>
      </c>
      <c r="D4261" s="1" t="s">
        <v>26</v>
      </c>
      <c r="E4261" s="1" t="s">
        <v>26</v>
      </c>
      <c r="F4261" s="1">
        <v>3.0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1">
        <v>19.6</v>
      </c>
      <c r="T4261" s="1">
        <v>59.75</v>
      </c>
      <c r="U4261" s="1">
        <v>0.0</v>
      </c>
      <c r="V4261" s="1">
        <v>0.0</v>
      </c>
      <c r="W4261" s="1" t="s">
        <v>25</v>
      </c>
    </row>
    <row r="4262" ht="15.75" customHeight="1">
      <c r="A4262" s="1" t="s">
        <v>4299</v>
      </c>
      <c r="B4262" s="1" t="s">
        <v>32</v>
      </c>
      <c r="C4262" s="1">
        <v>0.0</v>
      </c>
      <c r="D4262" s="1" t="s">
        <v>25</v>
      </c>
      <c r="E4262" s="1" t="s">
        <v>25</v>
      </c>
      <c r="F4262" s="1">
        <v>42.0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1">
        <v>73.15</v>
      </c>
      <c r="T4262" s="1">
        <v>3088.25</v>
      </c>
      <c r="U4262" s="1">
        <v>0.0</v>
      </c>
      <c r="V4262" s="1">
        <v>0.0</v>
      </c>
      <c r="W4262" s="1" t="s">
        <v>26</v>
      </c>
    </row>
    <row r="4263" ht="15.75" customHeight="1">
      <c r="A4263" s="1" t="s">
        <v>4300</v>
      </c>
      <c r="B4263" s="1" t="s">
        <v>32</v>
      </c>
      <c r="C4263" s="1">
        <v>0.0</v>
      </c>
      <c r="D4263" s="1" t="s">
        <v>26</v>
      </c>
      <c r="E4263" s="1" t="s">
        <v>26</v>
      </c>
      <c r="F4263" s="1">
        <v>57.0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1">
        <v>54.65</v>
      </c>
      <c r="T4263" s="1">
        <v>3134.7</v>
      </c>
      <c r="U4263" s="1">
        <v>0.0</v>
      </c>
      <c r="V4263" s="1">
        <v>0.0</v>
      </c>
      <c r="W4263" s="1" t="s">
        <v>26</v>
      </c>
    </row>
    <row r="4264" ht="15.75" customHeight="1">
      <c r="A4264" s="1" t="s">
        <v>4301</v>
      </c>
      <c r="B4264" s="1" t="s">
        <v>32</v>
      </c>
      <c r="C4264" s="1">
        <v>1.0</v>
      </c>
      <c r="D4264" s="1" t="s">
        <v>26</v>
      </c>
      <c r="E4264" s="1" t="s">
        <v>26</v>
      </c>
      <c r="F4264" s="1">
        <v>2.0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1">
        <v>66.4</v>
      </c>
      <c r="T4264" s="1">
        <v>94.55</v>
      </c>
      <c r="U4264" s="1">
        <v>0.0</v>
      </c>
      <c r="V4264" s="1">
        <v>0.0</v>
      </c>
      <c r="W4264" s="1" t="s">
        <v>25</v>
      </c>
    </row>
    <row r="4265" ht="15.75" customHeight="1">
      <c r="A4265" s="1" t="s">
        <v>4302</v>
      </c>
      <c r="B4265" s="1" t="s">
        <v>24</v>
      </c>
      <c r="C4265" s="1">
        <v>0.0</v>
      </c>
      <c r="D4265" s="1" t="s">
        <v>25</v>
      </c>
      <c r="E4265" s="1" t="s">
        <v>26</v>
      </c>
      <c r="F4265" s="1">
        <v>72.0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1">
        <v>115.55</v>
      </c>
      <c r="T4265" s="1">
        <v>8312.4</v>
      </c>
      <c r="U4265" s="1">
        <v>0.0</v>
      </c>
      <c r="V4265" s="1">
        <v>0.0</v>
      </c>
      <c r="W4265" s="1" t="s">
        <v>26</v>
      </c>
    </row>
    <row r="4266" ht="15.75" customHeight="1">
      <c r="A4266" s="1" t="s">
        <v>4303</v>
      </c>
      <c r="B4266" s="1" t="s">
        <v>24</v>
      </c>
      <c r="C4266" s="1">
        <v>1.0</v>
      </c>
      <c r="D4266" s="1" t="s">
        <v>26</v>
      </c>
      <c r="E4266" s="1" t="s">
        <v>26</v>
      </c>
      <c r="F4266" s="1">
        <v>46.0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1">
        <v>104.45</v>
      </c>
      <c r="T4266" s="1">
        <v>4863.85</v>
      </c>
      <c r="U4266" s="1">
        <v>0.0</v>
      </c>
      <c r="V4266" s="1">
        <v>0.0</v>
      </c>
      <c r="W4266" s="1" t="s">
        <v>26</v>
      </c>
    </row>
    <row r="4267" ht="15.75" customHeight="1">
      <c r="A4267" s="1" t="s">
        <v>4304</v>
      </c>
      <c r="B4267" s="1" t="s">
        <v>32</v>
      </c>
      <c r="C4267" s="1">
        <v>1.0</v>
      </c>
      <c r="D4267" s="1" t="s">
        <v>25</v>
      </c>
      <c r="E4267" s="1" t="s">
        <v>26</v>
      </c>
      <c r="F4267" s="1">
        <v>66.0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1">
        <v>100.05</v>
      </c>
      <c r="T4267" s="1">
        <v>6871.9</v>
      </c>
      <c r="U4267" s="1">
        <v>0.0</v>
      </c>
      <c r="V4267" s="1">
        <v>5.0</v>
      </c>
      <c r="W4267" s="1" t="s">
        <v>25</v>
      </c>
    </row>
    <row r="4268" ht="15.75" customHeight="1">
      <c r="A4268" s="1" t="s">
        <v>4305</v>
      </c>
      <c r="B4268" s="1" t="s">
        <v>32</v>
      </c>
      <c r="C4268" s="1">
        <v>0.0</v>
      </c>
      <c r="D4268" s="1" t="s">
        <v>26</v>
      </c>
      <c r="E4268" s="1" t="s">
        <v>26</v>
      </c>
      <c r="F4268" s="1">
        <v>62.0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1">
        <v>102.0</v>
      </c>
      <c r="T4268" s="1">
        <v>6529.25</v>
      </c>
      <c r="U4268" s="1">
        <v>0.0</v>
      </c>
      <c r="V4268" s="1">
        <v>4.0</v>
      </c>
      <c r="W4268" s="1" t="s">
        <v>25</v>
      </c>
    </row>
    <row r="4269" ht="15.75" customHeight="1">
      <c r="A4269" s="1" t="s">
        <v>4306</v>
      </c>
      <c r="B4269" s="1" t="s">
        <v>24</v>
      </c>
      <c r="C4269" s="1">
        <v>0.0</v>
      </c>
      <c r="D4269" s="1" t="s">
        <v>25</v>
      </c>
      <c r="E4269" s="1" t="s">
        <v>26</v>
      </c>
      <c r="F4269" s="1">
        <v>72.0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1">
        <v>91.15</v>
      </c>
      <c r="T4269" s="1">
        <v>6637.9</v>
      </c>
      <c r="U4269" s="1">
        <v>0.0</v>
      </c>
      <c r="V4269" s="1">
        <v>0.0</v>
      </c>
      <c r="W4269" s="1" t="s">
        <v>26</v>
      </c>
    </row>
    <row r="4270" ht="15.75" customHeight="1">
      <c r="A4270" s="1" t="s">
        <v>4307</v>
      </c>
      <c r="B4270" s="1" t="s">
        <v>32</v>
      </c>
      <c r="C4270" s="1">
        <v>0.0</v>
      </c>
      <c r="D4270" s="1" t="s">
        <v>25</v>
      </c>
      <c r="E4270" s="1" t="s">
        <v>25</v>
      </c>
      <c r="F4270" s="1">
        <v>35.0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1">
        <v>89.7</v>
      </c>
      <c r="T4270" s="1">
        <v>3165.6</v>
      </c>
      <c r="U4270" s="1">
        <v>0.0</v>
      </c>
      <c r="V4270" s="1">
        <v>0.0</v>
      </c>
      <c r="W4270" s="1" t="s">
        <v>26</v>
      </c>
    </row>
    <row r="4271" ht="15.75" customHeight="1">
      <c r="A4271" s="1" t="s">
        <v>4308</v>
      </c>
      <c r="B4271" s="1" t="s">
        <v>32</v>
      </c>
      <c r="C4271" s="1">
        <v>0.0</v>
      </c>
      <c r="D4271" s="1" t="s">
        <v>25</v>
      </c>
      <c r="E4271" s="1" t="s">
        <v>26</v>
      </c>
      <c r="F4271" s="1">
        <v>17.0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1">
        <v>90.2</v>
      </c>
      <c r="T4271" s="1">
        <v>1454.15</v>
      </c>
      <c r="U4271" s="1">
        <v>0.0</v>
      </c>
      <c r="V4271" s="1">
        <v>0.0</v>
      </c>
      <c r="W4271" s="1" t="s">
        <v>25</v>
      </c>
    </row>
    <row r="4272" ht="15.75" customHeight="1">
      <c r="A4272" s="1" t="s">
        <v>4309</v>
      </c>
      <c r="B4272" s="1" t="s">
        <v>24</v>
      </c>
      <c r="C4272" s="1">
        <v>0.0</v>
      </c>
      <c r="D4272" s="1" t="s">
        <v>25</v>
      </c>
      <c r="E4272" s="1" t="s">
        <v>26</v>
      </c>
      <c r="F4272" s="1">
        <v>72.0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1">
        <v>92.4</v>
      </c>
      <c r="T4272" s="1">
        <v>6786.1</v>
      </c>
      <c r="U4272" s="1">
        <v>0.0</v>
      </c>
      <c r="V4272" s="1">
        <v>0.0</v>
      </c>
      <c r="W4272" s="1" t="s">
        <v>26</v>
      </c>
    </row>
    <row r="4273" ht="15.75" customHeight="1">
      <c r="A4273" s="1" t="s">
        <v>4310</v>
      </c>
      <c r="B4273" s="1" t="s">
        <v>24</v>
      </c>
      <c r="C4273" s="1">
        <v>0.0</v>
      </c>
      <c r="D4273" s="1" t="s">
        <v>25</v>
      </c>
      <c r="E4273" s="1" t="s">
        <v>25</v>
      </c>
      <c r="F4273" s="1">
        <v>28.0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1">
        <v>19.9</v>
      </c>
      <c r="T4273" s="1">
        <v>543.0</v>
      </c>
      <c r="U4273" s="1">
        <v>0.0</v>
      </c>
      <c r="V4273" s="1">
        <v>0.0</v>
      </c>
      <c r="W4273" s="1" t="s">
        <v>26</v>
      </c>
    </row>
    <row r="4274" ht="15.75" customHeight="1">
      <c r="A4274" s="1" t="s">
        <v>4311</v>
      </c>
      <c r="B4274" s="1" t="s">
        <v>32</v>
      </c>
      <c r="C4274" s="1">
        <v>0.0</v>
      </c>
      <c r="D4274" s="1" t="s">
        <v>25</v>
      </c>
      <c r="E4274" s="1" t="s">
        <v>26</v>
      </c>
      <c r="F4274" s="1">
        <v>56.0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1">
        <v>25.15</v>
      </c>
      <c r="T4274" s="1">
        <v>1327.15</v>
      </c>
      <c r="U4274" s="1">
        <v>0.0</v>
      </c>
      <c r="V4274" s="1">
        <v>0.0</v>
      </c>
      <c r="W4274" s="1" t="s">
        <v>25</v>
      </c>
    </row>
    <row r="4275" ht="15.75" customHeight="1">
      <c r="A4275" s="1" t="s">
        <v>4312</v>
      </c>
      <c r="B4275" s="1" t="s">
        <v>24</v>
      </c>
      <c r="C4275" s="1">
        <v>0.0</v>
      </c>
      <c r="D4275" s="1" t="s">
        <v>26</v>
      </c>
      <c r="E4275" s="1" t="s">
        <v>26</v>
      </c>
      <c r="F4275" s="1">
        <v>31.0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1">
        <v>79.85</v>
      </c>
      <c r="T4275" s="1">
        <v>2404.15</v>
      </c>
      <c r="U4275" s="1">
        <v>0.0</v>
      </c>
      <c r="V4275" s="1">
        <v>0.0</v>
      </c>
      <c r="W4275" s="1" t="s">
        <v>25</v>
      </c>
    </row>
    <row r="4276" ht="15.75" customHeight="1">
      <c r="A4276" s="1" t="s">
        <v>4313</v>
      </c>
      <c r="B4276" s="1" t="s">
        <v>32</v>
      </c>
      <c r="C4276" s="1">
        <v>0.0</v>
      </c>
      <c r="D4276" s="1" t="s">
        <v>26</v>
      </c>
      <c r="E4276" s="1" t="s">
        <v>26</v>
      </c>
      <c r="F4276" s="1">
        <v>45.0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1">
        <v>18.85</v>
      </c>
      <c r="T4276" s="1">
        <v>867.3</v>
      </c>
      <c r="U4276" s="1">
        <v>0.0</v>
      </c>
      <c r="V4276" s="1">
        <v>0.0</v>
      </c>
      <c r="W4276" s="1" t="s">
        <v>26</v>
      </c>
    </row>
    <row r="4277" ht="15.75" customHeight="1">
      <c r="A4277" s="1" t="s">
        <v>4314</v>
      </c>
      <c r="B4277" s="1" t="s">
        <v>24</v>
      </c>
      <c r="C4277" s="1">
        <v>0.0</v>
      </c>
      <c r="D4277" s="1" t="s">
        <v>26</v>
      </c>
      <c r="E4277" s="1" t="s">
        <v>26</v>
      </c>
      <c r="F4277" s="1">
        <v>1.0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1">
        <v>25.75</v>
      </c>
      <c r="T4277" s="1">
        <v>25.75</v>
      </c>
      <c r="U4277" s="1">
        <v>0.0</v>
      </c>
      <c r="V4277" s="1">
        <v>0.0</v>
      </c>
      <c r="W4277" s="1" t="s">
        <v>26</v>
      </c>
    </row>
    <row r="4278" ht="15.75" customHeight="1">
      <c r="A4278" s="1" t="s">
        <v>4315</v>
      </c>
      <c r="B4278" s="1" t="s">
        <v>24</v>
      </c>
      <c r="C4278" s="1">
        <v>0.0</v>
      </c>
      <c r="D4278" s="1" t="s">
        <v>26</v>
      </c>
      <c r="E4278" s="1" t="s">
        <v>26</v>
      </c>
      <c r="F4278" s="1">
        <v>2.0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1">
        <v>49.6</v>
      </c>
      <c r="T4278" s="1">
        <v>114.7</v>
      </c>
      <c r="U4278" s="1">
        <v>3.0</v>
      </c>
      <c r="V4278" s="1">
        <v>0.0</v>
      </c>
      <c r="W4278" s="1" t="s">
        <v>25</v>
      </c>
    </row>
    <row r="4279" ht="15.75" customHeight="1">
      <c r="A4279" s="1" t="s">
        <v>4316</v>
      </c>
      <c r="B4279" s="1" t="s">
        <v>24</v>
      </c>
      <c r="C4279" s="1">
        <v>0.0</v>
      </c>
      <c r="D4279" s="1" t="s">
        <v>26</v>
      </c>
      <c r="E4279" s="1" t="s">
        <v>26</v>
      </c>
      <c r="F4279" s="1">
        <v>6.0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1">
        <v>20.95</v>
      </c>
      <c r="T4279" s="1">
        <v>109.5</v>
      </c>
      <c r="U4279" s="1">
        <v>0.0</v>
      </c>
      <c r="V4279" s="1">
        <v>0.0</v>
      </c>
      <c r="W4279" s="1" t="s">
        <v>26</v>
      </c>
    </row>
    <row r="4280" ht="15.75" customHeight="1">
      <c r="A4280" s="1" t="s">
        <v>4317</v>
      </c>
      <c r="B4280" s="1" t="s">
        <v>24</v>
      </c>
      <c r="C4280" s="1">
        <v>0.0</v>
      </c>
      <c r="D4280" s="1" t="s">
        <v>25</v>
      </c>
      <c r="E4280" s="1" t="s">
        <v>26</v>
      </c>
      <c r="F4280" s="1">
        <v>48.0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1">
        <v>97.05</v>
      </c>
      <c r="T4280" s="1">
        <v>4692.95</v>
      </c>
      <c r="U4280" s="1">
        <v>0.0</v>
      </c>
      <c r="V4280" s="1">
        <v>0.0</v>
      </c>
      <c r="W4280" s="1" t="s">
        <v>26</v>
      </c>
    </row>
    <row r="4281" ht="15.75" customHeight="1">
      <c r="A4281" s="1" t="s">
        <v>4318</v>
      </c>
      <c r="B4281" s="1" t="s">
        <v>32</v>
      </c>
      <c r="C4281" s="1">
        <v>0.0</v>
      </c>
      <c r="D4281" s="1" t="s">
        <v>25</v>
      </c>
      <c r="E4281" s="1" t="s">
        <v>25</v>
      </c>
      <c r="F4281" s="1">
        <v>25.0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1">
        <v>25.4</v>
      </c>
      <c r="T4281" s="1">
        <v>546.85</v>
      </c>
      <c r="U4281" s="1">
        <v>0.0</v>
      </c>
      <c r="V4281" s="1">
        <v>0.0</v>
      </c>
      <c r="W4281" s="1" t="s">
        <v>26</v>
      </c>
    </row>
    <row r="4282" ht="15.75" customHeight="1">
      <c r="A4282" s="1" t="s">
        <v>4319</v>
      </c>
      <c r="B4282" s="1" t="s">
        <v>32</v>
      </c>
      <c r="C4282" s="1">
        <v>0.0</v>
      </c>
      <c r="D4282" s="1" t="s">
        <v>25</v>
      </c>
      <c r="E4282" s="1" t="s">
        <v>25</v>
      </c>
      <c r="F4282" s="1">
        <v>64.0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1">
        <v>19.7</v>
      </c>
      <c r="T4282" s="1">
        <v>1274.05</v>
      </c>
      <c r="U4282" s="1">
        <v>3.0</v>
      </c>
      <c r="V4282" s="1">
        <v>0.0</v>
      </c>
      <c r="W4282" s="1" t="s">
        <v>26</v>
      </c>
    </row>
    <row r="4283" ht="15.75" customHeight="1">
      <c r="A4283" s="1" t="s">
        <v>4320</v>
      </c>
      <c r="B4283" s="1" t="s">
        <v>32</v>
      </c>
      <c r="C4283" s="1">
        <v>0.0</v>
      </c>
      <c r="D4283" s="1" t="s">
        <v>26</v>
      </c>
      <c r="E4283" s="1" t="s">
        <v>26</v>
      </c>
      <c r="F4283" s="1">
        <v>50.0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1">
        <v>35.0</v>
      </c>
      <c r="T4283" s="1">
        <v>1782.4</v>
      </c>
      <c r="U4283" s="1">
        <v>0.0</v>
      </c>
      <c r="V4283" s="1">
        <v>0.0</v>
      </c>
      <c r="W4283" s="1" t="s">
        <v>26</v>
      </c>
    </row>
    <row r="4284" ht="15.75" customHeight="1">
      <c r="A4284" s="1" t="s">
        <v>4321</v>
      </c>
      <c r="B4284" s="1" t="s">
        <v>24</v>
      </c>
      <c r="C4284" s="1">
        <v>0.0</v>
      </c>
      <c r="D4284" s="1" t="s">
        <v>25</v>
      </c>
      <c r="E4284" s="1" t="s">
        <v>25</v>
      </c>
      <c r="F4284" s="1">
        <v>52.0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1">
        <v>101.25</v>
      </c>
      <c r="T4284" s="1">
        <v>5301.1</v>
      </c>
      <c r="U4284" s="1">
        <v>0.0</v>
      </c>
      <c r="V4284" s="1">
        <v>0.0</v>
      </c>
      <c r="W4284" s="1" t="s">
        <v>26</v>
      </c>
    </row>
    <row r="4285" ht="15.75" customHeight="1">
      <c r="A4285" s="1" t="s">
        <v>4322</v>
      </c>
      <c r="B4285" s="1" t="s">
        <v>32</v>
      </c>
      <c r="C4285" s="1">
        <v>1.0</v>
      </c>
      <c r="D4285" s="1" t="s">
        <v>25</v>
      </c>
      <c r="E4285" s="1" t="s">
        <v>26</v>
      </c>
      <c r="F4285" s="1">
        <v>4.0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1">
        <v>70.2</v>
      </c>
      <c r="T4285" s="1">
        <v>280.35</v>
      </c>
      <c r="U4285" s="1">
        <v>0.0</v>
      </c>
      <c r="V4285" s="1">
        <v>0.0</v>
      </c>
      <c r="W4285" s="1" t="s">
        <v>26</v>
      </c>
    </row>
    <row r="4286" ht="15.75" customHeight="1">
      <c r="A4286" s="1" t="s">
        <v>4323</v>
      </c>
      <c r="B4286" s="1" t="s">
        <v>24</v>
      </c>
      <c r="C4286" s="1">
        <v>1.0</v>
      </c>
      <c r="D4286" s="1" t="s">
        <v>26</v>
      </c>
      <c r="E4286" s="1" t="s">
        <v>26</v>
      </c>
      <c r="F4286" s="1">
        <v>32.0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1">
        <v>90.95</v>
      </c>
      <c r="T4286" s="1">
        <v>2897.95</v>
      </c>
      <c r="U4286" s="1">
        <v>0.0</v>
      </c>
      <c r="V4286" s="1">
        <v>0.0</v>
      </c>
      <c r="W4286" s="1" t="s">
        <v>26</v>
      </c>
    </row>
    <row r="4287" ht="15.75" customHeight="1">
      <c r="A4287" s="1" t="s">
        <v>4324</v>
      </c>
      <c r="B4287" s="1" t="s">
        <v>32</v>
      </c>
      <c r="C4287" s="1">
        <v>0.0</v>
      </c>
      <c r="D4287" s="1" t="s">
        <v>25</v>
      </c>
      <c r="E4287" s="1" t="s">
        <v>25</v>
      </c>
      <c r="F4287" s="1">
        <v>45.0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1">
        <v>73.85</v>
      </c>
      <c r="T4287" s="1">
        <v>3371.0</v>
      </c>
      <c r="U4287" s="1">
        <v>2.0</v>
      </c>
      <c r="V4287" s="1">
        <v>0.0</v>
      </c>
      <c r="W4287" s="1" t="s">
        <v>26</v>
      </c>
    </row>
    <row r="4288" ht="15.75" customHeight="1">
      <c r="A4288" s="1" t="s">
        <v>4325</v>
      </c>
      <c r="B4288" s="1" t="s">
        <v>32</v>
      </c>
      <c r="C4288" s="1">
        <v>0.0</v>
      </c>
      <c r="D4288" s="1" t="s">
        <v>25</v>
      </c>
      <c r="E4288" s="1" t="s">
        <v>26</v>
      </c>
      <c r="F4288" s="1">
        <v>9.0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1">
        <v>88.05</v>
      </c>
      <c r="T4288" s="1">
        <v>801.3</v>
      </c>
      <c r="U4288" s="1">
        <v>0.0</v>
      </c>
      <c r="V4288" s="1">
        <v>0.0</v>
      </c>
      <c r="W4288" s="1" t="s">
        <v>26</v>
      </c>
    </row>
    <row r="4289" ht="15.75" customHeight="1">
      <c r="A4289" s="1" t="s">
        <v>4326</v>
      </c>
      <c r="B4289" s="1" t="s">
        <v>24</v>
      </c>
      <c r="C4289" s="1">
        <v>1.0</v>
      </c>
      <c r="D4289" s="1" t="s">
        <v>25</v>
      </c>
      <c r="E4289" s="1" t="s">
        <v>26</v>
      </c>
      <c r="F4289" s="1">
        <v>66.0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1">
        <v>105.95</v>
      </c>
      <c r="T4289" s="1">
        <v>6975.25</v>
      </c>
      <c r="U4289" s="1">
        <v>0.0</v>
      </c>
      <c r="V4289" s="1">
        <v>6.0</v>
      </c>
      <c r="W4289" s="1" t="s">
        <v>25</v>
      </c>
    </row>
    <row r="4290" ht="15.75" customHeight="1">
      <c r="A4290" s="1" t="s">
        <v>4327</v>
      </c>
      <c r="B4290" s="1" t="s">
        <v>32</v>
      </c>
      <c r="C4290" s="1">
        <v>0.0</v>
      </c>
      <c r="D4290" s="1" t="s">
        <v>26</v>
      </c>
      <c r="E4290" s="1" t="s">
        <v>25</v>
      </c>
      <c r="F4290" s="1">
        <v>3.0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1">
        <v>91.85</v>
      </c>
      <c r="T4290" s="1">
        <v>257.05</v>
      </c>
      <c r="U4290" s="1">
        <v>2.0</v>
      </c>
      <c r="V4290" s="1">
        <v>0.0</v>
      </c>
      <c r="W4290" s="1" t="s">
        <v>25</v>
      </c>
    </row>
    <row r="4291" ht="15.75" customHeight="1">
      <c r="A4291" s="1" t="s">
        <v>4328</v>
      </c>
      <c r="B4291" s="1" t="s">
        <v>24</v>
      </c>
      <c r="C4291" s="1">
        <v>0.0</v>
      </c>
      <c r="D4291" s="1" t="s">
        <v>26</v>
      </c>
      <c r="E4291" s="1" t="s">
        <v>26</v>
      </c>
      <c r="F4291" s="1">
        <v>54.0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1">
        <v>20.1</v>
      </c>
      <c r="T4291" s="1">
        <v>1079.45</v>
      </c>
      <c r="U4291" s="1">
        <v>0.0</v>
      </c>
      <c r="V4291" s="1">
        <v>0.0</v>
      </c>
      <c r="W4291" s="1" t="s">
        <v>26</v>
      </c>
    </row>
    <row r="4292" ht="15.75" customHeight="1">
      <c r="A4292" s="1" t="s">
        <v>4329</v>
      </c>
      <c r="B4292" s="1" t="s">
        <v>24</v>
      </c>
      <c r="C4292" s="1">
        <v>0.0</v>
      </c>
      <c r="D4292" s="1" t="s">
        <v>25</v>
      </c>
      <c r="E4292" s="1" t="s">
        <v>25</v>
      </c>
      <c r="F4292" s="1">
        <v>1.0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1">
        <v>40.1</v>
      </c>
      <c r="T4292" s="1">
        <v>40.1</v>
      </c>
      <c r="U4292" s="1">
        <v>0.0</v>
      </c>
      <c r="V4292" s="1">
        <v>0.0</v>
      </c>
      <c r="W4292" s="1" t="s">
        <v>25</v>
      </c>
    </row>
    <row r="4293" ht="15.75" customHeight="1">
      <c r="A4293" s="1" t="s">
        <v>4330</v>
      </c>
      <c r="B4293" s="1" t="s">
        <v>24</v>
      </c>
      <c r="C4293" s="1">
        <v>0.0</v>
      </c>
      <c r="D4293" s="1" t="s">
        <v>25</v>
      </c>
      <c r="E4293" s="1" t="s">
        <v>25</v>
      </c>
      <c r="F4293" s="1">
        <v>64.0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1">
        <v>110.3</v>
      </c>
      <c r="T4293" s="1">
        <v>6997.3</v>
      </c>
      <c r="U4293" s="1">
        <v>0.0</v>
      </c>
      <c r="V4293" s="1">
        <v>0.0</v>
      </c>
      <c r="W4293" s="1" t="s">
        <v>26</v>
      </c>
    </row>
    <row r="4294" ht="15.75" customHeight="1">
      <c r="A4294" s="1" t="s">
        <v>4331</v>
      </c>
      <c r="B4294" s="1" t="s">
        <v>24</v>
      </c>
      <c r="C4294" s="1">
        <v>1.0</v>
      </c>
      <c r="D4294" s="1" t="s">
        <v>26</v>
      </c>
      <c r="E4294" s="1" t="s">
        <v>26</v>
      </c>
      <c r="F4294" s="1">
        <v>31.0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1">
        <v>73.9</v>
      </c>
      <c r="T4294" s="1">
        <v>2217.15</v>
      </c>
      <c r="U4294" s="1">
        <v>0.0</v>
      </c>
      <c r="V4294" s="1">
        <v>0.0</v>
      </c>
      <c r="W4294" s="1" t="s">
        <v>25</v>
      </c>
    </row>
    <row r="4295" ht="15.75" customHeight="1">
      <c r="A4295" s="1" t="s">
        <v>4332</v>
      </c>
      <c r="B4295" s="1" t="s">
        <v>24</v>
      </c>
      <c r="C4295" s="1">
        <v>0.0</v>
      </c>
      <c r="D4295" s="1" t="s">
        <v>26</v>
      </c>
      <c r="E4295" s="1" t="s">
        <v>26</v>
      </c>
      <c r="F4295" s="1">
        <v>14.0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1">
        <v>89.8</v>
      </c>
      <c r="T4295" s="1">
        <v>1129.1</v>
      </c>
      <c r="U4295" s="1">
        <v>0.0</v>
      </c>
      <c r="V4295" s="1">
        <v>2.0</v>
      </c>
      <c r="W4295" s="1" t="s">
        <v>25</v>
      </c>
    </row>
    <row r="4296" ht="15.75" customHeight="1">
      <c r="A4296" s="1" t="s">
        <v>4333</v>
      </c>
      <c r="B4296" s="1" t="s">
        <v>24</v>
      </c>
      <c r="C4296" s="1">
        <v>0.0</v>
      </c>
      <c r="D4296" s="1" t="s">
        <v>26</v>
      </c>
      <c r="E4296" s="1" t="s">
        <v>26</v>
      </c>
      <c r="F4296" s="1">
        <v>12.0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1">
        <v>85.15</v>
      </c>
      <c r="T4296" s="1">
        <v>979.05</v>
      </c>
      <c r="U4296" s="1">
        <v>3.0</v>
      </c>
      <c r="V4296" s="1">
        <v>0.0</v>
      </c>
      <c r="W4296" s="1" t="s">
        <v>26</v>
      </c>
    </row>
    <row r="4297" ht="15.75" customHeight="1">
      <c r="A4297" s="1" t="s">
        <v>4334</v>
      </c>
      <c r="B4297" s="1" t="s">
        <v>32</v>
      </c>
      <c r="C4297" s="1">
        <v>1.0</v>
      </c>
      <c r="D4297" s="1" t="s">
        <v>25</v>
      </c>
      <c r="E4297" s="1" t="s">
        <v>26</v>
      </c>
      <c r="F4297" s="1">
        <v>67.0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1">
        <v>60.95</v>
      </c>
      <c r="T4297" s="1">
        <v>4119.4</v>
      </c>
      <c r="U4297" s="1">
        <v>0.0</v>
      </c>
      <c r="V4297" s="1">
        <v>0.0</v>
      </c>
      <c r="W4297" s="1" t="s">
        <v>26</v>
      </c>
    </row>
    <row r="4298" ht="15.75" customHeight="1">
      <c r="A4298" s="1" t="s">
        <v>4335</v>
      </c>
      <c r="B4298" s="1" t="s">
        <v>24</v>
      </c>
      <c r="C4298" s="1">
        <v>0.0</v>
      </c>
      <c r="D4298" s="1" t="s">
        <v>25</v>
      </c>
      <c r="E4298" s="1" t="s">
        <v>25</v>
      </c>
      <c r="F4298" s="1">
        <v>35.0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1">
        <v>72.25</v>
      </c>
      <c r="T4298" s="1">
        <v>2568.55</v>
      </c>
      <c r="U4298" s="1">
        <v>0.0</v>
      </c>
      <c r="V4298" s="1">
        <v>3.0</v>
      </c>
      <c r="W4298" s="1" t="s">
        <v>25</v>
      </c>
    </row>
    <row r="4299" ht="15.75" customHeight="1">
      <c r="A4299" s="1" t="s">
        <v>4336</v>
      </c>
      <c r="B4299" s="1" t="s">
        <v>24</v>
      </c>
      <c r="C4299" s="1">
        <v>0.0</v>
      </c>
      <c r="D4299" s="1" t="s">
        <v>26</v>
      </c>
      <c r="E4299" s="1" t="s">
        <v>26</v>
      </c>
      <c r="F4299" s="1">
        <v>45.0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1">
        <v>73.55</v>
      </c>
      <c r="T4299" s="1">
        <v>3349.1</v>
      </c>
      <c r="U4299" s="1">
        <v>0.0</v>
      </c>
      <c r="V4299" s="1">
        <v>0.0</v>
      </c>
      <c r="W4299" s="1" t="s">
        <v>26</v>
      </c>
    </row>
    <row r="4300" ht="15.75" customHeight="1">
      <c r="A4300" s="1" t="s">
        <v>4337</v>
      </c>
      <c r="B4300" s="1" t="s">
        <v>32</v>
      </c>
      <c r="C4300" s="1">
        <v>0.0</v>
      </c>
      <c r="D4300" s="1" t="s">
        <v>26</v>
      </c>
      <c r="E4300" s="1" t="s">
        <v>26</v>
      </c>
      <c r="F4300" s="1">
        <v>10.0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1">
        <v>46.0</v>
      </c>
      <c r="T4300" s="1">
        <v>492.1</v>
      </c>
      <c r="U4300" s="1">
        <v>1.0</v>
      </c>
      <c r="V4300" s="1">
        <v>0.0</v>
      </c>
      <c r="W4300" s="1" t="s">
        <v>26</v>
      </c>
    </row>
    <row r="4301" ht="15.75" customHeight="1">
      <c r="A4301" s="1" t="s">
        <v>4338</v>
      </c>
      <c r="B4301" s="1" t="s">
        <v>24</v>
      </c>
      <c r="C4301" s="1">
        <v>1.0</v>
      </c>
      <c r="D4301" s="1" t="s">
        <v>26</v>
      </c>
      <c r="E4301" s="1" t="s">
        <v>26</v>
      </c>
      <c r="F4301" s="1">
        <v>29.0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1">
        <v>58.55</v>
      </c>
      <c r="T4301" s="1">
        <v>1718.95</v>
      </c>
      <c r="U4301" s="1">
        <v>0.0</v>
      </c>
      <c r="V4301" s="1">
        <v>0.0</v>
      </c>
      <c r="W4301" s="1" t="s">
        <v>26</v>
      </c>
    </row>
    <row r="4302" ht="15.75" customHeight="1">
      <c r="A4302" s="1" t="s">
        <v>4339</v>
      </c>
      <c r="B4302" s="1" t="s">
        <v>24</v>
      </c>
      <c r="C4302" s="1">
        <v>0.0</v>
      </c>
      <c r="D4302" s="1" t="s">
        <v>26</v>
      </c>
      <c r="E4302" s="1" t="s">
        <v>26</v>
      </c>
      <c r="F4302" s="1">
        <v>24.0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1">
        <v>24.6</v>
      </c>
      <c r="T4302" s="1">
        <v>605.25</v>
      </c>
      <c r="U4302" s="1">
        <v>0.0</v>
      </c>
      <c r="V4302" s="1">
        <v>0.0</v>
      </c>
      <c r="W4302" s="1" t="s">
        <v>26</v>
      </c>
    </row>
    <row r="4303" ht="15.75" customHeight="1">
      <c r="A4303" s="1" t="s">
        <v>4340</v>
      </c>
      <c r="B4303" s="1" t="s">
        <v>32</v>
      </c>
      <c r="C4303" s="1">
        <v>0.0</v>
      </c>
      <c r="D4303" s="1" t="s">
        <v>25</v>
      </c>
      <c r="E4303" s="1" t="s">
        <v>25</v>
      </c>
      <c r="F4303" s="1">
        <v>66.0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1">
        <v>19.75</v>
      </c>
      <c r="T4303" s="1">
        <v>1344.5</v>
      </c>
      <c r="U4303" s="1">
        <v>0.0</v>
      </c>
      <c r="V4303" s="1">
        <v>0.0</v>
      </c>
      <c r="W4303" s="1" t="s">
        <v>26</v>
      </c>
    </row>
    <row r="4304" ht="15.75" customHeight="1">
      <c r="A4304" s="1" t="s">
        <v>4341</v>
      </c>
      <c r="B4304" s="1" t="s">
        <v>32</v>
      </c>
      <c r="C4304" s="1">
        <v>0.0</v>
      </c>
      <c r="D4304" s="1" t="s">
        <v>26</v>
      </c>
      <c r="E4304" s="1" t="s">
        <v>26</v>
      </c>
      <c r="F4304" s="1">
        <v>51.0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1">
        <v>86.35</v>
      </c>
      <c r="T4304" s="1">
        <v>4267.15</v>
      </c>
      <c r="U4304" s="1">
        <v>0.0</v>
      </c>
      <c r="V4304" s="1">
        <v>0.0</v>
      </c>
      <c r="W4304" s="1" t="s">
        <v>26</v>
      </c>
    </row>
    <row r="4305" ht="15.75" customHeight="1">
      <c r="A4305" s="1" t="s">
        <v>4342</v>
      </c>
      <c r="B4305" s="1" t="s">
        <v>24</v>
      </c>
      <c r="C4305" s="1">
        <v>0.0</v>
      </c>
      <c r="D4305" s="1" t="s">
        <v>25</v>
      </c>
      <c r="E4305" s="1" t="s">
        <v>26</v>
      </c>
      <c r="F4305" s="1">
        <v>45.0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1">
        <v>25.5</v>
      </c>
      <c r="T4305" s="1">
        <v>1121.05</v>
      </c>
      <c r="U4305" s="1">
        <v>0.0</v>
      </c>
      <c r="V4305" s="1">
        <v>0.0</v>
      </c>
      <c r="W4305" s="1" t="s">
        <v>26</v>
      </c>
    </row>
    <row r="4306" ht="15.75" customHeight="1">
      <c r="A4306" s="1" t="s">
        <v>4343</v>
      </c>
      <c r="B4306" s="1" t="s">
        <v>24</v>
      </c>
      <c r="C4306" s="1">
        <v>0.0</v>
      </c>
      <c r="D4306" s="1" t="s">
        <v>25</v>
      </c>
      <c r="E4306" s="1" t="s">
        <v>26</v>
      </c>
      <c r="F4306" s="1">
        <v>49.0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1">
        <v>19.0</v>
      </c>
      <c r="T4306" s="1">
        <v>918.7</v>
      </c>
      <c r="U4306" s="1">
        <v>0.0</v>
      </c>
      <c r="V4306" s="1">
        <v>1.0</v>
      </c>
      <c r="W4306" s="1" t="s">
        <v>26</v>
      </c>
    </row>
    <row r="4307" ht="15.75" customHeight="1">
      <c r="A4307" s="1" t="s">
        <v>4344</v>
      </c>
      <c r="B4307" s="1" t="s">
        <v>24</v>
      </c>
      <c r="C4307" s="1">
        <v>0.0</v>
      </c>
      <c r="D4307" s="1" t="s">
        <v>25</v>
      </c>
      <c r="E4307" s="1" t="s">
        <v>26</v>
      </c>
      <c r="F4307" s="1">
        <v>29.0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1">
        <v>19.55</v>
      </c>
      <c r="T4307" s="1">
        <v>521.8</v>
      </c>
      <c r="U4307" s="1">
        <v>0.0</v>
      </c>
      <c r="V4307" s="1">
        <v>0.0</v>
      </c>
      <c r="W4307" s="1" t="s">
        <v>26</v>
      </c>
    </row>
    <row r="4308" ht="15.75" customHeight="1">
      <c r="A4308" s="1" t="s">
        <v>4345</v>
      </c>
      <c r="B4308" s="1" t="s">
        <v>32</v>
      </c>
      <c r="C4308" s="1">
        <v>0.0</v>
      </c>
      <c r="D4308" s="1" t="s">
        <v>25</v>
      </c>
      <c r="E4308" s="1" t="s">
        <v>25</v>
      </c>
      <c r="F4308" s="1">
        <v>40.0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1">
        <v>110.1</v>
      </c>
      <c r="T4308" s="1">
        <v>4469.1</v>
      </c>
      <c r="U4308" s="1">
        <v>0.0</v>
      </c>
      <c r="V4308" s="1">
        <v>0.0</v>
      </c>
      <c r="W4308" s="1" t="s">
        <v>26</v>
      </c>
    </row>
    <row r="4309" ht="15.75" customHeight="1">
      <c r="A4309" s="1" t="s">
        <v>4346</v>
      </c>
      <c r="B4309" s="1" t="s">
        <v>24</v>
      </c>
      <c r="C4309" s="1">
        <v>1.0</v>
      </c>
      <c r="D4309" s="1" t="s">
        <v>26</v>
      </c>
      <c r="E4309" s="1" t="s">
        <v>26</v>
      </c>
      <c r="F4309" s="1">
        <v>37.0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1">
        <v>96.55</v>
      </c>
      <c r="T4309" s="1">
        <v>3580.3</v>
      </c>
      <c r="U4309" s="1">
        <v>0.0</v>
      </c>
      <c r="V4309" s="1">
        <v>3.0</v>
      </c>
      <c r="W4309" s="1" t="s">
        <v>25</v>
      </c>
    </row>
    <row r="4310" ht="15.75" customHeight="1">
      <c r="A4310" s="1" t="s">
        <v>4347</v>
      </c>
      <c r="B4310" s="1" t="s">
        <v>32</v>
      </c>
      <c r="C4310" s="1">
        <v>0.0</v>
      </c>
      <c r="D4310" s="1" t="s">
        <v>26</v>
      </c>
      <c r="E4310" s="1" t="s">
        <v>26</v>
      </c>
      <c r="F4310" s="1">
        <v>25.0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1">
        <v>69.75</v>
      </c>
      <c r="T4310" s="1">
        <v>1729.35</v>
      </c>
      <c r="U4310" s="1">
        <v>1.0</v>
      </c>
      <c r="V4310" s="1">
        <v>0.0</v>
      </c>
      <c r="W4310" s="1" t="s">
        <v>26</v>
      </c>
    </row>
    <row r="4311" ht="15.75" customHeight="1">
      <c r="A4311" s="1" t="s">
        <v>4348</v>
      </c>
      <c r="B4311" s="1" t="s">
        <v>24</v>
      </c>
      <c r="C4311" s="1">
        <v>0.0</v>
      </c>
      <c r="D4311" s="1" t="s">
        <v>26</v>
      </c>
      <c r="E4311" s="1" t="s">
        <v>26</v>
      </c>
      <c r="F4311" s="1">
        <v>22.0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1">
        <v>50.6</v>
      </c>
      <c r="T4311" s="1">
        <v>1073.3</v>
      </c>
      <c r="U4311" s="1">
        <v>0.0</v>
      </c>
      <c r="V4311" s="1">
        <v>0.0</v>
      </c>
      <c r="W4311" s="1" t="s">
        <v>26</v>
      </c>
    </row>
    <row r="4312" ht="15.75" customHeight="1">
      <c r="A4312" s="1" t="s">
        <v>4349</v>
      </c>
      <c r="B4312" s="1" t="s">
        <v>32</v>
      </c>
      <c r="C4312" s="1">
        <v>0.0</v>
      </c>
      <c r="D4312" s="1" t="s">
        <v>26</v>
      </c>
      <c r="E4312" s="1" t="s">
        <v>26</v>
      </c>
      <c r="F4312" s="1">
        <v>72.0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1">
        <v>65.6</v>
      </c>
      <c r="T4312" s="1">
        <v>4566.5</v>
      </c>
      <c r="U4312" s="1">
        <v>0.0</v>
      </c>
      <c r="V4312" s="1">
        <v>0.0</v>
      </c>
      <c r="W4312" s="1" t="s">
        <v>26</v>
      </c>
    </row>
    <row r="4313" ht="15.75" customHeight="1">
      <c r="A4313" s="1" t="s">
        <v>4350</v>
      </c>
      <c r="B4313" s="1" t="s">
        <v>24</v>
      </c>
      <c r="C4313" s="1">
        <v>0.0</v>
      </c>
      <c r="D4313" s="1" t="s">
        <v>26</v>
      </c>
      <c r="E4313" s="1" t="s">
        <v>26</v>
      </c>
      <c r="F4313" s="1">
        <v>7.0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1">
        <v>40.1</v>
      </c>
      <c r="T4313" s="1">
        <v>293.3</v>
      </c>
      <c r="U4313" s="1">
        <v>0.0</v>
      </c>
      <c r="V4313" s="1">
        <v>1.0</v>
      </c>
      <c r="W4313" s="1" t="s">
        <v>25</v>
      </c>
    </row>
    <row r="4314" ht="15.75" customHeight="1">
      <c r="A4314" s="1" t="s">
        <v>4351</v>
      </c>
      <c r="B4314" s="1" t="s">
        <v>32</v>
      </c>
      <c r="C4314" s="1">
        <v>0.0</v>
      </c>
      <c r="D4314" s="1" t="s">
        <v>25</v>
      </c>
      <c r="E4314" s="1" t="s">
        <v>25</v>
      </c>
      <c r="F4314" s="1">
        <v>33.0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1">
        <v>82.1</v>
      </c>
      <c r="T4314" s="1">
        <v>2603.1</v>
      </c>
      <c r="U4314" s="1">
        <v>0.0</v>
      </c>
      <c r="V4314" s="1">
        <v>0.0</v>
      </c>
      <c r="W4314" s="1" t="s">
        <v>26</v>
      </c>
    </row>
    <row r="4315" ht="15.75" customHeight="1">
      <c r="A4315" s="1" t="s">
        <v>4352</v>
      </c>
      <c r="B4315" s="1" t="s">
        <v>24</v>
      </c>
      <c r="C4315" s="1">
        <v>0.0</v>
      </c>
      <c r="D4315" s="1" t="s">
        <v>26</v>
      </c>
      <c r="E4315" s="1" t="s">
        <v>26</v>
      </c>
      <c r="F4315" s="1">
        <v>23.0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1">
        <v>79.1</v>
      </c>
      <c r="T4315" s="1">
        <v>1783.75</v>
      </c>
      <c r="U4315" s="1">
        <v>0.0</v>
      </c>
      <c r="V4315" s="1">
        <v>1.0</v>
      </c>
      <c r="W4315" s="1" t="s">
        <v>26</v>
      </c>
    </row>
    <row r="4316" ht="15.75" customHeight="1">
      <c r="A4316" s="1" t="s">
        <v>4353</v>
      </c>
      <c r="B4316" s="1" t="s">
        <v>32</v>
      </c>
      <c r="C4316" s="1">
        <v>1.0</v>
      </c>
      <c r="D4316" s="1" t="s">
        <v>26</v>
      </c>
      <c r="E4316" s="1" t="s">
        <v>26</v>
      </c>
      <c r="F4316" s="1">
        <v>24.0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1">
        <v>101.25</v>
      </c>
      <c r="T4316" s="1">
        <v>2440.15</v>
      </c>
      <c r="U4316" s="1">
        <v>0.0</v>
      </c>
      <c r="V4316" s="1">
        <v>2.0</v>
      </c>
      <c r="W4316" s="1" t="s">
        <v>25</v>
      </c>
    </row>
    <row r="4317" ht="15.75" customHeight="1">
      <c r="A4317" s="1" t="s">
        <v>4354</v>
      </c>
      <c r="B4317" s="1" t="s">
        <v>24</v>
      </c>
      <c r="C4317" s="1">
        <v>0.0</v>
      </c>
      <c r="D4317" s="1" t="s">
        <v>26</v>
      </c>
      <c r="E4317" s="1" t="s">
        <v>26</v>
      </c>
      <c r="F4317" s="1">
        <v>1.0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1">
        <v>79.55</v>
      </c>
      <c r="T4317" s="1">
        <v>79.55</v>
      </c>
      <c r="U4317" s="1">
        <v>0.0</v>
      </c>
      <c r="V4317" s="1">
        <v>0.0</v>
      </c>
      <c r="W4317" s="1" t="s">
        <v>25</v>
      </c>
    </row>
    <row r="4318" ht="15.75" customHeight="1">
      <c r="A4318" s="1" t="s">
        <v>4355</v>
      </c>
      <c r="B4318" s="1" t="s">
        <v>32</v>
      </c>
      <c r="C4318" s="1">
        <v>0.0</v>
      </c>
      <c r="D4318" s="1" t="s">
        <v>26</v>
      </c>
      <c r="E4318" s="1" t="s">
        <v>26</v>
      </c>
      <c r="F4318" s="1">
        <v>69.0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1">
        <v>90.65</v>
      </c>
      <c r="T4318" s="1">
        <v>6322.1</v>
      </c>
      <c r="U4318" s="1">
        <v>0.0</v>
      </c>
      <c r="V4318" s="1">
        <v>0.0</v>
      </c>
      <c r="W4318" s="1" t="s">
        <v>26</v>
      </c>
    </row>
    <row r="4319" ht="15.75" customHeight="1">
      <c r="A4319" s="1" t="s">
        <v>4356</v>
      </c>
      <c r="B4319" s="1" t="s">
        <v>24</v>
      </c>
      <c r="C4319" s="1">
        <v>0.0</v>
      </c>
      <c r="D4319" s="1" t="s">
        <v>26</v>
      </c>
      <c r="E4319" s="1" t="s">
        <v>25</v>
      </c>
      <c r="F4319" s="1">
        <v>3.0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1">
        <v>20.55</v>
      </c>
      <c r="T4319" s="1">
        <v>57.4</v>
      </c>
      <c r="U4319" s="1">
        <v>2.0</v>
      </c>
      <c r="V4319" s="1">
        <v>0.0</v>
      </c>
      <c r="W4319" s="1" t="s">
        <v>26</v>
      </c>
    </row>
    <row r="4320" ht="15.75" customHeight="1">
      <c r="A4320" s="1" t="s">
        <v>4357</v>
      </c>
      <c r="B4320" s="1" t="s">
        <v>32</v>
      </c>
      <c r="C4320" s="1">
        <v>0.0</v>
      </c>
      <c r="D4320" s="1" t="s">
        <v>26</v>
      </c>
      <c r="E4320" s="1" t="s">
        <v>26</v>
      </c>
      <c r="F4320" s="1">
        <v>56.0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1">
        <v>75.75</v>
      </c>
      <c r="T4320" s="1">
        <v>4284.65</v>
      </c>
      <c r="U4320" s="1">
        <v>4.0</v>
      </c>
      <c r="V4320" s="1">
        <v>0.0</v>
      </c>
      <c r="W4320" s="1" t="s">
        <v>26</v>
      </c>
    </row>
    <row r="4321" ht="15.75" customHeight="1">
      <c r="A4321" s="1" t="s">
        <v>4358</v>
      </c>
      <c r="B4321" s="1" t="s">
        <v>32</v>
      </c>
      <c r="C4321" s="1">
        <v>0.0</v>
      </c>
      <c r="D4321" s="1" t="s">
        <v>26</v>
      </c>
      <c r="E4321" s="1" t="s">
        <v>26</v>
      </c>
      <c r="F4321" s="1">
        <v>65.0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1">
        <v>110.0</v>
      </c>
      <c r="T4321" s="1">
        <v>7138.65</v>
      </c>
      <c r="U4321" s="1">
        <v>0.0</v>
      </c>
      <c r="V4321" s="1">
        <v>0.0</v>
      </c>
      <c r="W4321" s="1" t="s">
        <v>26</v>
      </c>
    </row>
    <row r="4322" ht="15.75" customHeight="1">
      <c r="A4322" s="1" t="s">
        <v>4359</v>
      </c>
      <c r="B4322" s="1" t="s">
        <v>32</v>
      </c>
      <c r="C4322" s="1">
        <v>0.0</v>
      </c>
      <c r="D4322" s="1" t="s">
        <v>25</v>
      </c>
      <c r="E4322" s="1" t="s">
        <v>26</v>
      </c>
      <c r="F4322" s="1">
        <v>71.0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1">
        <v>20.85</v>
      </c>
      <c r="T4322" s="1">
        <v>1539.75</v>
      </c>
      <c r="U4322" s="1">
        <v>0.0</v>
      </c>
      <c r="V4322" s="1">
        <v>0.0</v>
      </c>
      <c r="W4322" s="1" t="s">
        <v>26</v>
      </c>
    </row>
    <row r="4323" ht="15.75" customHeight="1">
      <c r="A4323" s="1" t="s">
        <v>4360</v>
      </c>
      <c r="B4323" s="1" t="s">
        <v>24</v>
      </c>
      <c r="C4323" s="1">
        <v>1.0</v>
      </c>
      <c r="D4323" s="1" t="s">
        <v>26</v>
      </c>
      <c r="E4323" s="1" t="s">
        <v>26</v>
      </c>
      <c r="F4323" s="1">
        <v>14.0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1">
        <v>80.35</v>
      </c>
      <c r="T4323" s="1">
        <v>1058.1</v>
      </c>
      <c r="U4323" s="1">
        <v>0.0</v>
      </c>
      <c r="V4323" s="1">
        <v>0.0</v>
      </c>
      <c r="W4323" s="1" t="s">
        <v>26</v>
      </c>
    </row>
    <row r="4324" ht="15.75" customHeight="1">
      <c r="A4324" s="1" t="s">
        <v>4361</v>
      </c>
      <c r="B4324" s="1" t="s">
        <v>24</v>
      </c>
      <c r="C4324" s="1">
        <v>0.0</v>
      </c>
      <c r="D4324" s="1" t="s">
        <v>26</v>
      </c>
      <c r="E4324" s="1" t="s">
        <v>26</v>
      </c>
      <c r="F4324" s="1">
        <v>2.0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1">
        <v>70.15</v>
      </c>
      <c r="T4324" s="1">
        <v>123.8</v>
      </c>
      <c r="U4324" s="1">
        <v>0.0</v>
      </c>
      <c r="V4324" s="1">
        <v>0.0</v>
      </c>
      <c r="W4324" s="1" t="s">
        <v>26</v>
      </c>
    </row>
    <row r="4325" ht="15.75" customHeight="1">
      <c r="A4325" s="1" t="s">
        <v>4362</v>
      </c>
      <c r="B4325" s="1" t="s">
        <v>24</v>
      </c>
      <c r="C4325" s="1">
        <v>0.0</v>
      </c>
      <c r="D4325" s="1" t="s">
        <v>26</v>
      </c>
      <c r="E4325" s="1" t="s">
        <v>26</v>
      </c>
      <c r="F4325" s="1">
        <v>32.0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1">
        <v>84.05</v>
      </c>
      <c r="T4325" s="1">
        <v>2781.85</v>
      </c>
      <c r="U4325" s="1">
        <v>0.0</v>
      </c>
      <c r="V4325" s="1">
        <v>0.0</v>
      </c>
      <c r="W4325" s="1" t="s">
        <v>25</v>
      </c>
    </row>
    <row r="4326" ht="15.75" customHeight="1">
      <c r="A4326" s="1" t="s">
        <v>4363</v>
      </c>
      <c r="B4326" s="1" t="s">
        <v>32</v>
      </c>
      <c r="C4326" s="1">
        <v>0.0</v>
      </c>
      <c r="D4326" s="1" t="s">
        <v>26</v>
      </c>
      <c r="E4326" s="1" t="s">
        <v>26</v>
      </c>
      <c r="F4326" s="1">
        <v>40.0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1">
        <v>67.45</v>
      </c>
      <c r="T4326" s="1">
        <v>2731.0</v>
      </c>
      <c r="U4326" s="1">
        <v>0.0</v>
      </c>
      <c r="V4326" s="1">
        <v>0.0</v>
      </c>
      <c r="W4326" s="1" t="s">
        <v>26</v>
      </c>
    </row>
    <row r="4327" ht="15.75" customHeight="1">
      <c r="A4327" s="1" t="s">
        <v>4364</v>
      </c>
      <c r="B4327" s="1" t="s">
        <v>32</v>
      </c>
      <c r="C4327" s="1">
        <v>0.0</v>
      </c>
      <c r="D4327" s="1" t="s">
        <v>26</v>
      </c>
      <c r="E4327" s="1" t="s">
        <v>26</v>
      </c>
      <c r="F4327" s="1">
        <v>1.0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1">
        <v>20.75</v>
      </c>
      <c r="T4327" s="1">
        <v>20.75</v>
      </c>
      <c r="U4327" s="1">
        <v>0.0</v>
      </c>
      <c r="V4327" s="1">
        <v>0.0</v>
      </c>
      <c r="W4327" s="1" t="s">
        <v>26</v>
      </c>
    </row>
    <row r="4328" ht="15.75" customHeight="1">
      <c r="A4328" s="1" t="s">
        <v>4365</v>
      </c>
      <c r="B4328" s="1" t="s">
        <v>32</v>
      </c>
      <c r="C4328" s="1">
        <v>0.0</v>
      </c>
      <c r="D4328" s="1" t="s">
        <v>26</v>
      </c>
      <c r="E4328" s="1" t="s">
        <v>26</v>
      </c>
      <c r="F4328" s="1">
        <v>1.0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1">
        <v>89.1</v>
      </c>
      <c r="T4328" s="1">
        <v>89.1</v>
      </c>
      <c r="U4328" s="1">
        <v>0.0</v>
      </c>
      <c r="V4328" s="1">
        <v>0.0</v>
      </c>
      <c r="W4328" s="1" t="s">
        <v>25</v>
      </c>
    </row>
    <row r="4329" ht="15.75" customHeight="1">
      <c r="A4329" s="1" t="s">
        <v>4366</v>
      </c>
      <c r="B4329" s="1" t="s">
        <v>24</v>
      </c>
      <c r="C4329" s="1">
        <v>0.0</v>
      </c>
      <c r="D4329" s="1" t="s">
        <v>26</v>
      </c>
      <c r="E4329" s="1" t="s">
        <v>26</v>
      </c>
      <c r="F4329" s="1">
        <v>7.0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1">
        <v>69.9</v>
      </c>
      <c r="T4329" s="1">
        <v>497.3</v>
      </c>
      <c r="U4329" s="1">
        <v>0.0</v>
      </c>
      <c r="V4329" s="1">
        <v>0.0</v>
      </c>
      <c r="W4329" s="1" t="s">
        <v>26</v>
      </c>
    </row>
    <row r="4330" ht="15.75" customHeight="1">
      <c r="A4330" s="1" t="s">
        <v>4367</v>
      </c>
      <c r="B4330" s="1" t="s">
        <v>24</v>
      </c>
      <c r="C4330" s="1">
        <v>0.0</v>
      </c>
      <c r="D4330" s="1" t="s">
        <v>25</v>
      </c>
      <c r="E4330" s="1" t="s">
        <v>26</v>
      </c>
      <c r="F4330" s="1">
        <v>15.0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1">
        <v>51.1</v>
      </c>
      <c r="T4330" s="1">
        <v>711.15</v>
      </c>
      <c r="U4330" s="1">
        <v>0.0</v>
      </c>
      <c r="V4330" s="1">
        <v>0.0</v>
      </c>
      <c r="W4330" s="1" t="s">
        <v>26</v>
      </c>
    </row>
    <row r="4331" ht="15.75" customHeight="1">
      <c r="A4331" s="1" t="s">
        <v>4368</v>
      </c>
      <c r="B4331" s="1" t="s">
        <v>24</v>
      </c>
      <c r="C4331" s="1">
        <v>0.0</v>
      </c>
      <c r="D4331" s="1" t="s">
        <v>25</v>
      </c>
      <c r="E4331" s="1" t="s">
        <v>25</v>
      </c>
      <c r="F4331" s="1">
        <v>17.0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1">
        <v>94.4</v>
      </c>
      <c r="T4331" s="1">
        <v>1607.2</v>
      </c>
      <c r="U4331" s="1">
        <v>2.0</v>
      </c>
      <c r="V4331" s="1">
        <v>1.0</v>
      </c>
      <c r="W4331" s="1" t="s">
        <v>25</v>
      </c>
    </row>
    <row r="4332" ht="15.75" customHeight="1">
      <c r="A4332" s="1" t="s">
        <v>4369</v>
      </c>
      <c r="B4332" s="1" t="s">
        <v>32</v>
      </c>
      <c r="C4332" s="1">
        <v>0.0</v>
      </c>
      <c r="D4332" s="1" t="s">
        <v>26</v>
      </c>
      <c r="E4332" s="1" t="s">
        <v>26</v>
      </c>
      <c r="F4332" s="1">
        <v>19.0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1">
        <v>78.25</v>
      </c>
      <c r="T4332" s="1">
        <v>1490.95</v>
      </c>
      <c r="U4332" s="1">
        <v>0.0</v>
      </c>
      <c r="V4332" s="1">
        <v>1.0</v>
      </c>
      <c r="W4332" s="1" t="s">
        <v>25</v>
      </c>
    </row>
    <row r="4333" ht="15.75" customHeight="1">
      <c r="A4333" s="1" t="s">
        <v>4370</v>
      </c>
      <c r="B4333" s="1" t="s">
        <v>32</v>
      </c>
      <c r="C4333" s="1">
        <v>0.0</v>
      </c>
      <c r="D4333" s="1" t="s">
        <v>26</v>
      </c>
      <c r="E4333" s="1" t="s">
        <v>26</v>
      </c>
      <c r="F4333" s="1">
        <v>71.0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1">
        <v>25.55</v>
      </c>
      <c r="T4333" s="1">
        <v>1898.1</v>
      </c>
      <c r="U4333" s="1">
        <v>0.0</v>
      </c>
      <c r="V4333" s="1">
        <v>0.0</v>
      </c>
      <c r="W4333" s="1" t="s">
        <v>26</v>
      </c>
    </row>
    <row r="4334" ht="15.75" customHeight="1">
      <c r="A4334" s="1" t="s">
        <v>4371</v>
      </c>
      <c r="B4334" s="1" t="s">
        <v>24</v>
      </c>
      <c r="C4334" s="1">
        <v>0.0</v>
      </c>
      <c r="D4334" s="1" t="s">
        <v>25</v>
      </c>
      <c r="E4334" s="1" t="s">
        <v>25</v>
      </c>
      <c r="F4334" s="1">
        <v>54.0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1">
        <v>60.0</v>
      </c>
      <c r="T4334" s="1">
        <v>3273.95</v>
      </c>
      <c r="U4334" s="1">
        <v>4.0</v>
      </c>
      <c r="V4334" s="1">
        <v>0.0</v>
      </c>
      <c r="W4334" s="1" t="s">
        <v>26</v>
      </c>
    </row>
    <row r="4335" ht="15.75" customHeight="1">
      <c r="A4335" s="1" t="s">
        <v>4372</v>
      </c>
      <c r="B4335" s="1" t="s">
        <v>32</v>
      </c>
      <c r="C4335" s="1">
        <v>0.0</v>
      </c>
      <c r="D4335" s="1" t="s">
        <v>25</v>
      </c>
      <c r="E4335" s="1" t="s">
        <v>26</v>
      </c>
      <c r="F4335" s="1">
        <v>31.0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1">
        <v>90.55</v>
      </c>
      <c r="T4335" s="1">
        <v>2929.75</v>
      </c>
      <c r="U4335" s="1">
        <v>0.0</v>
      </c>
      <c r="V4335" s="1">
        <v>0.0</v>
      </c>
      <c r="W4335" s="1" t="s">
        <v>26</v>
      </c>
    </row>
    <row r="4336" ht="15.75" customHeight="1">
      <c r="A4336" s="1" t="s">
        <v>4373</v>
      </c>
      <c r="B4336" s="1" t="s">
        <v>24</v>
      </c>
      <c r="C4336" s="1">
        <v>0.0</v>
      </c>
      <c r="D4336" s="1" t="s">
        <v>26</v>
      </c>
      <c r="E4336" s="1" t="s">
        <v>26</v>
      </c>
      <c r="F4336" s="1">
        <v>11.0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1">
        <v>76.4</v>
      </c>
      <c r="T4336" s="1">
        <v>838.7</v>
      </c>
      <c r="U4336" s="1">
        <v>0.0</v>
      </c>
      <c r="V4336" s="1">
        <v>0.0</v>
      </c>
      <c r="W4336" s="1" t="s">
        <v>26</v>
      </c>
    </row>
    <row r="4337" ht="15.75" customHeight="1">
      <c r="A4337" s="1" t="s">
        <v>4374</v>
      </c>
      <c r="B4337" s="1" t="s">
        <v>24</v>
      </c>
      <c r="C4337" s="1">
        <v>1.0</v>
      </c>
      <c r="D4337" s="1" t="s">
        <v>26</v>
      </c>
      <c r="E4337" s="1" t="s">
        <v>26</v>
      </c>
      <c r="F4337" s="1">
        <v>18.0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1">
        <v>84.95</v>
      </c>
      <c r="T4337" s="1">
        <v>1443.65</v>
      </c>
      <c r="U4337" s="1">
        <v>1.0</v>
      </c>
      <c r="V4337" s="1">
        <v>0.0</v>
      </c>
      <c r="W4337" s="1" t="s">
        <v>26</v>
      </c>
    </row>
    <row r="4338" ht="15.75" customHeight="1">
      <c r="A4338" s="1" t="s">
        <v>4375</v>
      </c>
      <c r="B4338" s="1" t="s">
        <v>24</v>
      </c>
      <c r="C4338" s="1">
        <v>1.0</v>
      </c>
      <c r="D4338" s="1" t="s">
        <v>26</v>
      </c>
      <c r="E4338" s="1" t="s">
        <v>26</v>
      </c>
      <c r="F4338" s="1">
        <v>72.0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1">
        <v>110.1</v>
      </c>
      <c r="T4338" s="1">
        <v>7746.7</v>
      </c>
      <c r="U4338" s="1">
        <v>0.0</v>
      </c>
      <c r="V4338" s="1">
        <v>0.0</v>
      </c>
      <c r="W4338" s="1" t="s">
        <v>26</v>
      </c>
    </row>
    <row r="4339" ht="15.75" customHeight="1">
      <c r="A4339" s="1" t="s">
        <v>4376</v>
      </c>
      <c r="B4339" s="1" t="s">
        <v>24</v>
      </c>
      <c r="C4339" s="1">
        <v>1.0</v>
      </c>
      <c r="D4339" s="1" t="s">
        <v>26</v>
      </c>
      <c r="E4339" s="1" t="s">
        <v>26</v>
      </c>
      <c r="F4339" s="1">
        <v>71.0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1">
        <v>99.65</v>
      </c>
      <c r="T4339" s="1">
        <v>6951.15</v>
      </c>
      <c r="U4339" s="1">
        <v>0.0</v>
      </c>
      <c r="V4339" s="1">
        <v>6.0</v>
      </c>
      <c r="W4339" s="1" t="s">
        <v>26</v>
      </c>
    </row>
    <row r="4340" ht="15.75" customHeight="1">
      <c r="A4340" s="1" t="s">
        <v>4377</v>
      </c>
      <c r="B4340" s="1" t="s">
        <v>32</v>
      </c>
      <c r="C4340" s="1">
        <v>1.0</v>
      </c>
      <c r="D4340" s="1" t="s">
        <v>26</v>
      </c>
      <c r="E4340" s="1" t="s">
        <v>26</v>
      </c>
      <c r="F4340" s="1">
        <v>5.0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1">
        <v>45.4</v>
      </c>
      <c r="T4340" s="1">
        <v>214.75</v>
      </c>
      <c r="U4340" s="1">
        <v>0.0</v>
      </c>
      <c r="V4340" s="1">
        <v>0.0</v>
      </c>
      <c r="W4340" s="1" t="s">
        <v>26</v>
      </c>
    </row>
    <row r="4341" ht="15.75" customHeight="1">
      <c r="A4341" s="1" t="s">
        <v>4378</v>
      </c>
      <c r="B4341" s="1" t="s">
        <v>32</v>
      </c>
      <c r="C4341" s="1">
        <v>0.0</v>
      </c>
      <c r="D4341" s="1" t="s">
        <v>25</v>
      </c>
      <c r="E4341" s="1" t="s">
        <v>26</v>
      </c>
      <c r="F4341" s="1">
        <v>38.0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1">
        <v>69.0</v>
      </c>
      <c r="T4341" s="1">
        <v>2669.45</v>
      </c>
      <c r="U4341" s="1">
        <v>4.0</v>
      </c>
      <c r="V4341" s="1">
        <v>0.0</v>
      </c>
      <c r="W4341" s="1" t="s">
        <v>26</v>
      </c>
    </row>
    <row r="4342" ht="15.75" customHeight="1">
      <c r="A4342" s="1" t="s">
        <v>4379</v>
      </c>
      <c r="B4342" s="1" t="s">
        <v>32</v>
      </c>
      <c r="C4342" s="1">
        <v>0.0</v>
      </c>
      <c r="D4342" s="1" t="s">
        <v>26</v>
      </c>
      <c r="E4342" s="1" t="s">
        <v>25</v>
      </c>
      <c r="F4342" s="1">
        <v>5.0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1">
        <v>48.65</v>
      </c>
      <c r="T4342" s="1">
        <v>235.2</v>
      </c>
      <c r="U4342" s="1">
        <v>0.0</v>
      </c>
      <c r="V4342" s="1">
        <v>0.0</v>
      </c>
      <c r="W4342" s="1" t="s">
        <v>26</v>
      </c>
    </row>
    <row r="4343" ht="15.75" customHeight="1">
      <c r="A4343" s="1" t="s">
        <v>4380</v>
      </c>
      <c r="B4343" s="1" t="s">
        <v>32</v>
      </c>
      <c r="C4343" s="1">
        <v>1.0</v>
      </c>
      <c r="D4343" s="1" t="s">
        <v>26</v>
      </c>
      <c r="E4343" s="1" t="s">
        <v>26</v>
      </c>
      <c r="F4343" s="1">
        <v>2.0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1">
        <v>44.15</v>
      </c>
      <c r="T4343" s="1">
        <v>92.65</v>
      </c>
      <c r="U4343" s="1">
        <v>0.0</v>
      </c>
      <c r="V4343" s="1">
        <v>0.0</v>
      </c>
      <c r="W4343" s="1" t="s">
        <v>25</v>
      </c>
    </row>
    <row r="4344" ht="15.75" customHeight="1">
      <c r="A4344" s="1" t="s">
        <v>4381</v>
      </c>
      <c r="B4344" s="1" t="s">
        <v>24</v>
      </c>
      <c r="C4344" s="1">
        <v>1.0</v>
      </c>
      <c r="D4344" s="1" t="s">
        <v>26</v>
      </c>
      <c r="E4344" s="1" t="s">
        <v>26</v>
      </c>
      <c r="F4344" s="1">
        <v>52.0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1">
        <v>59.85</v>
      </c>
      <c r="T4344" s="1">
        <v>3103.25</v>
      </c>
      <c r="U4344" s="1">
        <v>0.0</v>
      </c>
      <c r="V4344" s="1">
        <v>0.0</v>
      </c>
      <c r="W4344" s="1" t="s">
        <v>26</v>
      </c>
    </row>
    <row r="4345" ht="15.75" customHeight="1">
      <c r="A4345" s="1" t="s">
        <v>4382</v>
      </c>
      <c r="B4345" s="1" t="s">
        <v>24</v>
      </c>
      <c r="C4345" s="1">
        <v>1.0</v>
      </c>
      <c r="D4345" s="1" t="s">
        <v>26</v>
      </c>
      <c r="E4345" s="1" t="s">
        <v>26</v>
      </c>
      <c r="F4345" s="1">
        <v>8.0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1">
        <v>75.75</v>
      </c>
      <c r="T4345" s="1">
        <v>606.25</v>
      </c>
      <c r="U4345" s="1">
        <v>0.0</v>
      </c>
      <c r="V4345" s="1">
        <v>0.0</v>
      </c>
      <c r="W4345" s="1" t="s">
        <v>25</v>
      </c>
    </row>
    <row r="4346" ht="15.75" customHeight="1">
      <c r="A4346" s="1" t="s">
        <v>4383</v>
      </c>
      <c r="B4346" s="1" t="s">
        <v>24</v>
      </c>
      <c r="C4346" s="1">
        <v>0.0</v>
      </c>
      <c r="D4346" s="1" t="s">
        <v>26</v>
      </c>
      <c r="E4346" s="1" t="s">
        <v>26</v>
      </c>
      <c r="F4346" s="1">
        <v>68.0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1">
        <v>80.65</v>
      </c>
      <c r="T4346" s="1">
        <v>5330.2</v>
      </c>
      <c r="U4346" s="1">
        <v>0.0</v>
      </c>
      <c r="V4346" s="1">
        <v>0.0</v>
      </c>
      <c r="W4346" s="1" t="s">
        <v>26</v>
      </c>
    </row>
    <row r="4347" ht="15.75" customHeight="1">
      <c r="A4347" s="1" t="s">
        <v>4384</v>
      </c>
      <c r="B4347" s="1" t="s">
        <v>32</v>
      </c>
      <c r="C4347" s="1">
        <v>0.0</v>
      </c>
      <c r="D4347" s="1" t="s">
        <v>25</v>
      </c>
      <c r="E4347" s="1" t="s">
        <v>25</v>
      </c>
      <c r="F4347" s="1">
        <v>69.0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1">
        <v>20.55</v>
      </c>
      <c r="T4347" s="1">
        <v>1403.1</v>
      </c>
      <c r="U4347" s="1">
        <v>0.0</v>
      </c>
      <c r="V4347" s="1">
        <v>0.0</v>
      </c>
      <c r="W4347" s="1" t="s">
        <v>26</v>
      </c>
    </row>
    <row r="4348" ht="15.75" customHeight="1">
      <c r="A4348" s="1" t="s">
        <v>4385</v>
      </c>
      <c r="B4348" s="1" t="s">
        <v>24</v>
      </c>
      <c r="C4348" s="1">
        <v>0.0</v>
      </c>
      <c r="D4348" s="1" t="s">
        <v>25</v>
      </c>
      <c r="E4348" s="1" t="s">
        <v>26</v>
      </c>
      <c r="F4348" s="1">
        <v>42.0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1">
        <v>66.4</v>
      </c>
      <c r="T4348" s="1">
        <v>2727.8</v>
      </c>
      <c r="U4348" s="1">
        <v>0.0</v>
      </c>
      <c r="V4348" s="1">
        <v>0.0</v>
      </c>
      <c r="W4348" s="1" t="s">
        <v>26</v>
      </c>
    </row>
    <row r="4349" ht="15.75" customHeight="1">
      <c r="A4349" s="1" t="s">
        <v>4386</v>
      </c>
      <c r="B4349" s="1" t="s">
        <v>24</v>
      </c>
      <c r="C4349" s="1">
        <v>0.0</v>
      </c>
      <c r="D4349" s="1" t="s">
        <v>26</v>
      </c>
      <c r="E4349" s="1" t="s">
        <v>26</v>
      </c>
      <c r="F4349" s="1">
        <v>50.0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1">
        <v>100.2</v>
      </c>
      <c r="T4349" s="1">
        <v>5038.45</v>
      </c>
      <c r="U4349" s="1">
        <v>0.0</v>
      </c>
      <c r="V4349" s="1">
        <v>0.0</v>
      </c>
      <c r="W4349" s="1" t="s">
        <v>26</v>
      </c>
    </row>
    <row r="4350" ht="15.75" customHeight="1">
      <c r="A4350" s="1" t="s">
        <v>4387</v>
      </c>
      <c r="B4350" s="1" t="s">
        <v>24</v>
      </c>
      <c r="C4350" s="1">
        <v>0.0</v>
      </c>
      <c r="D4350" s="1" t="s">
        <v>26</v>
      </c>
      <c r="E4350" s="1" t="s">
        <v>26</v>
      </c>
      <c r="F4350" s="1">
        <v>1.0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1">
        <v>19.1</v>
      </c>
      <c r="T4350" s="1">
        <v>19.1</v>
      </c>
      <c r="U4350" s="1">
        <v>0.0</v>
      </c>
      <c r="V4350" s="1">
        <v>0.0</v>
      </c>
      <c r="W4350" s="1" t="s">
        <v>25</v>
      </c>
    </row>
    <row r="4351" ht="15.75" customHeight="1">
      <c r="A4351" s="1" t="s">
        <v>4388</v>
      </c>
      <c r="B4351" s="1" t="s">
        <v>32</v>
      </c>
      <c r="C4351" s="1">
        <v>1.0</v>
      </c>
      <c r="D4351" s="1" t="s">
        <v>25</v>
      </c>
      <c r="E4351" s="1" t="s">
        <v>26</v>
      </c>
      <c r="F4351" s="1">
        <v>1.0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1">
        <v>80.3</v>
      </c>
      <c r="T4351" s="1">
        <v>80.3</v>
      </c>
      <c r="U4351" s="1">
        <v>0.0</v>
      </c>
      <c r="V4351" s="1">
        <v>0.0</v>
      </c>
      <c r="W4351" s="1" t="s">
        <v>25</v>
      </c>
    </row>
    <row r="4352" ht="15.75" customHeight="1">
      <c r="A4352" s="1" t="s">
        <v>4389</v>
      </c>
      <c r="B4352" s="1" t="s">
        <v>32</v>
      </c>
      <c r="C4352" s="1">
        <v>0.0</v>
      </c>
      <c r="D4352" s="1" t="s">
        <v>25</v>
      </c>
      <c r="E4352" s="1" t="s">
        <v>26</v>
      </c>
      <c r="F4352" s="1">
        <v>33.0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1">
        <v>44.55</v>
      </c>
      <c r="T4352" s="1">
        <v>1462.6</v>
      </c>
      <c r="U4352" s="1">
        <v>0.0</v>
      </c>
      <c r="V4352" s="1">
        <v>0.0</v>
      </c>
      <c r="W4352" s="1" t="s">
        <v>26</v>
      </c>
    </row>
    <row r="4353" ht="15.75" customHeight="1">
      <c r="A4353" s="1" t="s">
        <v>4390</v>
      </c>
      <c r="B4353" s="1" t="s">
        <v>24</v>
      </c>
      <c r="C4353" s="1">
        <v>0.0</v>
      </c>
      <c r="D4353" s="1" t="s">
        <v>26</v>
      </c>
      <c r="E4353" s="1" t="s">
        <v>26</v>
      </c>
      <c r="F4353" s="1">
        <v>7.0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1">
        <v>20.35</v>
      </c>
      <c r="T4353" s="1">
        <v>150.6</v>
      </c>
      <c r="U4353" s="1">
        <v>0.0</v>
      </c>
      <c r="V4353" s="1">
        <v>0.0</v>
      </c>
      <c r="W4353" s="1" t="s">
        <v>26</v>
      </c>
    </row>
    <row r="4354" ht="15.75" customHeight="1">
      <c r="A4354" s="1" t="s">
        <v>4391</v>
      </c>
      <c r="B4354" s="1" t="s">
        <v>32</v>
      </c>
      <c r="C4354" s="1">
        <v>0.0</v>
      </c>
      <c r="D4354" s="1" t="s">
        <v>25</v>
      </c>
      <c r="E4354" s="1" t="s">
        <v>25</v>
      </c>
      <c r="F4354" s="1">
        <v>64.0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1">
        <v>91.8</v>
      </c>
      <c r="T4354" s="1">
        <v>5960.5</v>
      </c>
      <c r="U4354" s="1">
        <v>0.0</v>
      </c>
      <c r="V4354" s="1">
        <v>0.0</v>
      </c>
      <c r="W4354" s="1" t="s">
        <v>26</v>
      </c>
    </row>
    <row r="4355" ht="15.75" customHeight="1">
      <c r="A4355" s="1" t="s">
        <v>4392</v>
      </c>
      <c r="B4355" s="1" t="s">
        <v>24</v>
      </c>
      <c r="C4355" s="1">
        <v>0.0</v>
      </c>
      <c r="D4355" s="1" t="s">
        <v>26</v>
      </c>
      <c r="E4355" s="1" t="s">
        <v>26</v>
      </c>
      <c r="F4355" s="1">
        <v>1.0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1">
        <v>74.9</v>
      </c>
      <c r="T4355" s="1">
        <v>74.9</v>
      </c>
      <c r="U4355" s="1">
        <v>4.0</v>
      </c>
      <c r="V4355" s="1">
        <v>0.0</v>
      </c>
      <c r="W4355" s="1" t="s">
        <v>25</v>
      </c>
    </row>
    <row r="4356" ht="15.75" customHeight="1">
      <c r="A4356" s="1" t="s">
        <v>4393</v>
      </c>
      <c r="B4356" s="1" t="s">
        <v>32</v>
      </c>
      <c r="C4356" s="1">
        <v>0.0</v>
      </c>
      <c r="D4356" s="1" t="s">
        <v>26</v>
      </c>
      <c r="E4356" s="1" t="s">
        <v>26</v>
      </c>
      <c r="F4356" s="1">
        <v>59.0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1">
        <v>20.2</v>
      </c>
      <c r="T4356" s="1">
        <v>1192.3</v>
      </c>
      <c r="U4356" s="1">
        <v>0.0</v>
      </c>
      <c r="V4356" s="1">
        <v>0.0</v>
      </c>
      <c r="W4356" s="1" t="s">
        <v>26</v>
      </c>
    </row>
    <row r="4357" ht="15.75" customHeight="1">
      <c r="A4357" s="1" t="s">
        <v>4394</v>
      </c>
      <c r="B4357" s="1" t="s">
        <v>24</v>
      </c>
      <c r="C4357" s="1">
        <v>0.0</v>
      </c>
      <c r="D4357" s="1" t="s">
        <v>25</v>
      </c>
      <c r="E4357" s="1" t="s">
        <v>26</v>
      </c>
      <c r="F4357" s="1">
        <v>6.0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1">
        <v>50.35</v>
      </c>
      <c r="T4357" s="1">
        <v>314.55</v>
      </c>
      <c r="U4357" s="1">
        <v>0.0</v>
      </c>
      <c r="V4357" s="1">
        <v>0.0</v>
      </c>
      <c r="W4357" s="1" t="s">
        <v>26</v>
      </c>
    </row>
    <row r="4358" ht="15.75" customHeight="1">
      <c r="A4358" s="1" t="s">
        <v>4395</v>
      </c>
      <c r="B4358" s="1" t="s">
        <v>24</v>
      </c>
      <c r="C4358" s="1">
        <v>0.0</v>
      </c>
      <c r="D4358" s="1" t="s">
        <v>26</v>
      </c>
      <c r="E4358" s="1" t="s">
        <v>26</v>
      </c>
      <c r="F4358" s="1">
        <v>3.0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1">
        <v>18.8</v>
      </c>
      <c r="T4358" s="1">
        <v>56.0</v>
      </c>
      <c r="U4358" s="1">
        <v>0.0</v>
      </c>
      <c r="V4358" s="1">
        <v>0.0</v>
      </c>
      <c r="W4358" s="1" t="s">
        <v>26</v>
      </c>
    </row>
    <row r="4359" ht="15.75" customHeight="1">
      <c r="A4359" s="1" t="s">
        <v>4396</v>
      </c>
      <c r="B4359" s="1" t="s">
        <v>24</v>
      </c>
      <c r="C4359" s="1">
        <v>0.0</v>
      </c>
      <c r="D4359" s="1" t="s">
        <v>25</v>
      </c>
      <c r="E4359" s="1" t="s">
        <v>26</v>
      </c>
      <c r="F4359" s="1">
        <v>15.0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1">
        <v>20.45</v>
      </c>
      <c r="T4359" s="1">
        <v>330.8</v>
      </c>
      <c r="U4359" s="1">
        <v>1.0</v>
      </c>
      <c r="V4359" s="1">
        <v>0.0</v>
      </c>
      <c r="W4359" s="1" t="s">
        <v>26</v>
      </c>
    </row>
    <row r="4360" ht="15.75" customHeight="1">
      <c r="A4360" s="1" t="s">
        <v>4397</v>
      </c>
      <c r="B4360" s="1" t="s">
        <v>32</v>
      </c>
      <c r="C4360" s="1">
        <v>0.0</v>
      </c>
      <c r="D4360" s="1" t="s">
        <v>25</v>
      </c>
      <c r="E4360" s="1" t="s">
        <v>25</v>
      </c>
      <c r="F4360" s="1">
        <v>13.0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1">
        <v>64.75</v>
      </c>
      <c r="T4360" s="1">
        <v>877.35</v>
      </c>
      <c r="U4360" s="1">
        <v>0.0</v>
      </c>
      <c r="V4360" s="1">
        <v>0.0</v>
      </c>
      <c r="W4360" s="1" t="s">
        <v>26</v>
      </c>
    </row>
    <row r="4361" ht="15.75" customHeight="1">
      <c r="A4361" s="1" t="s">
        <v>4398</v>
      </c>
      <c r="B4361" s="1" t="s">
        <v>24</v>
      </c>
      <c r="C4361" s="1">
        <v>0.0</v>
      </c>
      <c r="D4361" s="1" t="s">
        <v>26</v>
      </c>
      <c r="E4361" s="1" t="s">
        <v>26</v>
      </c>
      <c r="F4361" s="1">
        <v>23.0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1">
        <v>98.7</v>
      </c>
      <c r="T4361" s="1">
        <v>2249.1</v>
      </c>
      <c r="U4361" s="1">
        <v>0.0</v>
      </c>
      <c r="V4361" s="1">
        <v>0.0</v>
      </c>
      <c r="W4361" s="1" t="s">
        <v>26</v>
      </c>
    </row>
    <row r="4362" ht="15.75" customHeight="1">
      <c r="A4362" s="1" t="s">
        <v>4399</v>
      </c>
      <c r="B4362" s="1" t="s">
        <v>32</v>
      </c>
      <c r="C4362" s="1">
        <v>1.0</v>
      </c>
      <c r="D4362" s="1" t="s">
        <v>25</v>
      </c>
      <c r="E4362" s="1" t="s">
        <v>26</v>
      </c>
      <c r="F4362" s="1">
        <v>31.0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1">
        <v>89.45</v>
      </c>
      <c r="T4362" s="1">
        <v>2807.65</v>
      </c>
      <c r="U4362" s="1">
        <v>0.0</v>
      </c>
      <c r="V4362" s="1">
        <v>0.0</v>
      </c>
      <c r="W4362" s="1" t="s">
        <v>26</v>
      </c>
    </row>
    <row r="4363" ht="15.75" customHeight="1">
      <c r="A4363" s="1" t="s">
        <v>4400</v>
      </c>
      <c r="B4363" s="1" t="s">
        <v>32</v>
      </c>
      <c r="C4363" s="1">
        <v>0.0</v>
      </c>
      <c r="D4363" s="1" t="s">
        <v>26</v>
      </c>
      <c r="E4363" s="1" t="s">
        <v>26</v>
      </c>
      <c r="F4363" s="1">
        <v>29.0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1">
        <v>58.75</v>
      </c>
      <c r="T4363" s="1">
        <v>1696.2</v>
      </c>
      <c r="U4363" s="1">
        <v>0.0</v>
      </c>
      <c r="V4363" s="1">
        <v>0.0</v>
      </c>
      <c r="W4363" s="1" t="s">
        <v>26</v>
      </c>
    </row>
    <row r="4364" ht="15.75" customHeight="1">
      <c r="A4364" s="1" t="s">
        <v>4401</v>
      </c>
      <c r="B4364" s="1" t="s">
        <v>24</v>
      </c>
      <c r="C4364" s="1">
        <v>0.0</v>
      </c>
      <c r="D4364" s="1" t="s">
        <v>25</v>
      </c>
      <c r="E4364" s="1" t="s">
        <v>26</v>
      </c>
      <c r="F4364" s="1">
        <v>49.0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1">
        <v>20.7</v>
      </c>
      <c r="T4364" s="1">
        <v>1032.05</v>
      </c>
      <c r="U4364" s="1">
        <v>0.0</v>
      </c>
      <c r="V4364" s="1">
        <v>0.0</v>
      </c>
      <c r="W4364" s="1" t="s">
        <v>26</v>
      </c>
    </row>
    <row r="4365" ht="15.75" customHeight="1">
      <c r="A4365" s="1" t="s">
        <v>4402</v>
      </c>
      <c r="B4365" s="1" t="s">
        <v>24</v>
      </c>
      <c r="C4365" s="1">
        <v>0.0</v>
      </c>
      <c r="D4365" s="1" t="s">
        <v>25</v>
      </c>
      <c r="E4365" s="1" t="s">
        <v>26</v>
      </c>
      <c r="F4365" s="1">
        <v>56.0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1">
        <v>85.6</v>
      </c>
      <c r="T4365" s="1">
        <v>4902.8</v>
      </c>
      <c r="U4365" s="1">
        <v>2.0</v>
      </c>
      <c r="V4365" s="1">
        <v>0.0</v>
      </c>
      <c r="W4365" s="1" t="s">
        <v>26</v>
      </c>
    </row>
    <row r="4366" ht="15.75" customHeight="1">
      <c r="A4366" s="1" t="s">
        <v>4403</v>
      </c>
      <c r="B4366" s="1" t="s">
        <v>24</v>
      </c>
      <c r="C4366" s="1">
        <v>0.0</v>
      </c>
      <c r="D4366" s="1" t="s">
        <v>26</v>
      </c>
      <c r="E4366" s="1" t="s">
        <v>26</v>
      </c>
      <c r="F4366" s="1">
        <v>63.0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1">
        <v>80.3</v>
      </c>
      <c r="T4366" s="1">
        <v>4995.35</v>
      </c>
      <c r="U4366" s="1">
        <v>2.0</v>
      </c>
      <c r="V4366" s="1">
        <v>0.0</v>
      </c>
      <c r="W4366" s="1" t="s">
        <v>26</v>
      </c>
    </row>
    <row r="4367" ht="15.75" customHeight="1">
      <c r="A4367" s="1" t="s">
        <v>4404</v>
      </c>
      <c r="B4367" s="1" t="s">
        <v>32</v>
      </c>
      <c r="C4367" s="1">
        <v>0.0</v>
      </c>
      <c r="D4367" s="1" t="s">
        <v>25</v>
      </c>
      <c r="E4367" s="1" t="s">
        <v>26</v>
      </c>
      <c r="F4367" s="1">
        <v>63.0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1">
        <v>79.8</v>
      </c>
      <c r="T4367" s="1">
        <v>5034.05</v>
      </c>
      <c r="U4367" s="1">
        <v>0.0</v>
      </c>
      <c r="V4367" s="1">
        <v>0.0</v>
      </c>
      <c r="W4367" s="1" t="s">
        <v>26</v>
      </c>
    </row>
    <row r="4368" ht="15.75" customHeight="1">
      <c r="A4368" s="1" t="s">
        <v>4405</v>
      </c>
      <c r="B4368" s="1" t="s">
        <v>32</v>
      </c>
      <c r="C4368" s="1">
        <v>1.0</v>
      </c>
      <c r="D4368" s="1" t="s">
        <v>25</v>
      </c>
      <c r="E4368" s="1" t="s">
        <v>25</v>
      </c>
      <c r="F4368" s="1">
        <v>24.0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1">
        <v>79.85</v>
      </c>
      <c r="T4368" s="1">
        <v>1857.75</v>
      </c>
      <c r="U4368" s="1">
        <v>5.0</v>
      </c>
      <c r="V4368" s="1">
        <v>2.0</v>
      </c>
      <c r="W4368" s="1" t="s">
        <v>26</v>
      </c>
    </row>
    <row r="4369" ht="15.75" customHeight="1">
      <c r="A4369" s="1" t="s">
        <v>4406</v>
      </c>
      <c r="B4369" s="1" t="s">
        <v>32</v>
      </c>
      <c r="C4369" s="1">
        <v>1.0</v>
      </c>
      <c r="D4369" s="1" t="s">
        <v>25</v>
      </c>
      <c r="E4369" s="1" t="s">
        <v>26</v>
      </c>
      <c r="F4369" s="1">
        <v>36.0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1">
        <v>54.1</v>
      </c>
      <c r="T4369" s="1">
        <v>1992.85</v>
      </c>
      <c r="U4369" s="1">
        <v>0.0</v>
      </c>
      <c r="V4369" s="1">
        <v>0.0</v>
      </c>
      <c r="W4369" s="1" t="s">
        <v>26</v>
      </c>
    </row>
    <row r="4370" ht="15.75" customHeight="1">
      <c r="A4370" s="1" t="s">
        <v>4407</v>
      </c>
      <c r="B4370" s="1" t="s">
        <v>24</v>
      </c>
      <c r="C4370" s="1">
        <v>1.0</v>
      </c>
      <c r="D4370" s="1" t="s">
        <v>26</v>
      </c>
      <c r="E4370" s="1" t="s">
        <v>26</v>
      </c>
      <c r="F4370" s="1">
        <v>9.0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1">
        <v>80.85</v>
      </c>
      <c r="T4370" s="1">
        <v>751.65</v>
      </c>
      <c r="U4370" s="1">
        <v>1.0</v>
      </c>
      <c r="V4370" s="1">
        <v>0.0</v>
      </c>
      <c r="W4370" s="1" t="s">
        <v>25</v>
      </c>
    </row>
    <row r="4371" ht="15.75" customHeight="1">
      <c r="A4371" s="1" t="s">
        <v>4408</v>
      </c>
      <c r="B4371" s="1" t="s">
        <v>32</v>
      </c>
      <c r="C4371" s="1">
        <v>0.0</v>
      </c>
      <c r="D4371" s="1" t="s">
        <v>26</v>
      </c>
      <c r="E4371" s="1" t="s">
        <v>26</v>
      </c>
      <c r="F4371" s="1">
        <v>3.0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1">
        <v>24.75</v>
      </c>
      <c r="T4371" s="1">
        <v>66.95</v>
      </c>
      <c r="U4371" s="1">
        <v>0.0</v>
      </c>
      <c r="V4371" s="1">
        <v>0.0</v>
      </c>
      <c r="W4371" s="1" t="s">
        <v>25</v>
      </c>
    </row>
    <row r="4372" ht="15.75" customHeight="1">
      <c r="A4372" s="1" t="s">
        <v>4409</v>
      </c>
      <c r="B4372" s="1" t="s">
        <v>24</v>
      </c>
      <c r="C4372" s="1">
        <v>0.0</v>
      </c>
      <c r="D4372" s="1" t="s">
        <v>25</v>
      </c>
      <c r="E4372" s="1" t="s">
        <v>26</v>
      </c>
      <c r="F4372" s="1">
        <v>21.0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1">
        <v>80.9</v>
      </c>
      <c r="T4372" s="1">
        <v>1714.95</v>
      </c>
      <c r="U4372" s="1">
        <v>0.0</v>
      </c>
      <c r="V4372" s="1">
        <v>0.0</v>
      </c>
      <c r="W4372" s="1" t="s">
        <v>26</v>
      </c>
    </row>
    <row r="4373" ht="15.75" customHeight="1">
      <c r="A4373" s="1" t="s">
        <v>4410</v>
      </c>
      <c r="B4373" s="1" t="s">
        <v>32</v>
      </c>
      <c r="C4373" s="1">
        <v>0.0</v>
      </c>
      <c r="D4373" s="1" t="s">
        <v>25</v>
      </c>
      <c r="E4373" s="1" t="s">
        <v>25</v>
      </c>
      <c r="F4373" s="1">
        <v>13.0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1">
        <v>24.5</v>
      </c>
      <c r="T4373" s="1">
        <v>343.6</v>
      </c>
      <c r="U4373" s="1">
        <v>0.0</v>
      </c>
      <c r="V4373" s="1">
        <v>0.0</v>
      </c>
      <c r="W4373" s="1" t="s">
        <v>26</v>
      </c>
    </row>
    <row r="4374" ht="15.75" customHeight="1">
      <c r="A4374" s="1" t="s">
        <v>4411</v>
      </c>
      <c r="B4374" s="1" t="s">
        <v>32</v>
      </c>
      <c r="C4374" s="1">
        <v>0.0</v>
      </c>
      <c r="D4374" s="1" t="s">
        <v>25</v>
      </c>
      <c r="E4374" s="1" t="s">
        <v>25</v>
      </c>
      <c r="F4374" s="1">
        <v>1.0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1">
        <v>20.15</v>
      </c>
      <c r="T4374" s="1">
        <v>20.15</v>
      </c>
      <c r="U4374" s="1">
        <v>0.0</v>
      </c>
      <c r="V4374" s="1">
        <v>0.0</v>
      </c>
      <c r="W4374" s="1" t="s">
        <v>26</v>
      </c>
    </row>
    <row r="4375" ht="15.75" customHeight="1">
      <c r="A4375" s="1" t="s">
        <v>4412</v>
      </c>
      <c r="B4375" s="1" t="s">
        <v>24</v>
      </c>
      <c r="C4375" s="1">
        <v>0.0</v>
      </c>
      <c r="D4375" s="1" t="s">
        <v>25</v>
      </c>
      <c r="E4375" s="1" t="s">
        <v>25</v>
      </c>
      <c r="F4375" s="1">
        <v>25.0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1">
        <v>20.05</v>
      </c>
      <c r="T4375" s="1">
        <v>520.1</v>
      </c>
      <c r="U4375" s="1">
        <v>2.0</v>
      </c>
      <c r="V4375" s="1">
        <v>1.0</v>
      </c>
      <c r="W4375" s="1" t="s">
        <v>26</v>
      </c>
    </row>
    <row r="4376" ht="15.75" customHeight="1">
      <c r="A4376" s="1" t="s">
        <v>4413</v>
      </c>
      <c r="B4376" s="1" t="s">
        <v>32</v>
      </c>
      <c r="C4376" s="1">
        <v>0.0</v>
      </c>
      <c r="D4376" s="1" t="s">
        <v>25</v>
      </c>
      <c r="E4376" s="1" t="s">
        <v>25</v>
      </c>
      <c r="F4376" s="1">
        <v>71.0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1">
        <v>19.6</v>
      </c>
      <c r="T4376" s="1">
        <v>1387.45</v>
      </c>
      <c r="U4376" s="1">
        <v>3.0</v>
      </c>
      <c r="V4376" s="1">
        <v>0.0</v>
      </c>
      <c r="W4376" s="1" t="s">
        <v>26</v>
      </c>
    </row>
    <row r="4377" ht="15.75" customHeight="1">
      <c r="A4377" s="1" t="s">
        <v>4414</v>
      </c>
      <c r="B4377" s="1" t="s">
        <v>32</v>
      </c>
      <c r="C4377" s="1">
        <v>0.0</v>
      </c>
      <c r="D4377" s="1" t="s">
        <v>26</v>
      </c>
      <c r="E4377" s="1" t="s">
        <v>26</v>
      </c>
      <c r="F4377" s="1">
        <v>66.0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1">
        <v>114.3</v>
      </c>
      <c r="T4377" s="1">
        <v>7383.7</v>
      </c>
      <c r="U4377" s="1">
        <v>0.0</v>
      </c>
      <c r="V4377" s="1">
        <v>0.0</v>
      </c>
      <c r="W4377" s="1" t="s">
        <v>26</v>
      </c>
    </row>
    <row r="4378" ht="15.75" customHeight="1">
      <c r="A4378" s="1" t="s">
        <v>4415</v>
      </c>
      <c r="B4378" s="1" t="s">
        <v>24</v>
      </c>
      <c r="C4378" s="1">
        <v>0.0</v>
      </c>
      <c r="D4378" s="1" t="s">
        <v>26</v>
      </c>
      <c r="E4378" s="1" t="s">
        <v>26</v>
      </c>
      <c r="F4378" s="1">
        <v>45.0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1">
        <v>100.3</v>
      </c>
      <c r="T4378" s="1">
        <v>4483.95</v>
      </c>
      <c r="U4378" s="1">
        <v>5.0</v>
      </c>
      <c r="V4378" s="1">
        <v>0.0</v>
      </c>
      <c r="W4378" s="1" t="s">
        <v>26</v>
      </c>
    </row>
    <row r="4379" ht="15.75" customHeight="1">
      <c r="A4379" s="1" t="s">
        <v>4416</v>
      </c>
      <c r="B4379" s="1" t="s">
        <v>24</v>
      </c>
      <c r="C4379" s="1">
        <v>0.0</v>
      </c>
      <c r="D4379" s="1" t="s">
        <v>25</v>
      </c>
      <c r="E4379" s="1" t="s">
        <v>26</v>
      </c>
      <c r="F4379" s="1">
        <v>22.0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1">
        <v>80.0</v>
      </c>
      <c r="T4379" s="1">
        <v>1706.45</v>
      </c>
      <c r="U4379" s="1">
        <v>0.0</v>
      </c>
      <c r="V4379" s="1">
        <v>0.0</v>
      </c>
      <c r="W4379" s="1" t="s">
        <v>26</v>
      </c>
    </row>
    <row r="4380" ht="15.75" customHeight="1">
      <c r="A4380" s="1" t="s">
        <v>4417</v>
      </c>
      <c r="B4380" s="1" t="s">
        <v>24</v>
      </c>
      <c r="C4380" s="1">
        <v>0.0</v>
      </c>
      <c r="D4380" s="1" t="s">
        <v>25</v>
      </c>
      <c r="E4380" s="1" t="s">
        <v>26</v>
      </c>
      <c r="F4380" s="1">
        <v>67.0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1">
        <v>20.85</v>
      </c>
      <c r="T4380" s="1">
        <v>1327.4</v>
      </c>
      <c r="U4380" s="1">
        <v>0.0</v>
      </c>
      <c r="V4380" s="1">
        <v>0.0</v>
      </c>
      <c r="W4380" s="1" t="s">
        <v>26</v>
      </c>
    </row>
    <row r="4381" ht="15.75" customHeight="1">
      <c r="A4381" s="1" t="s">
        <v>4418</v>
      </c>
      <c r="B4381" s="1" t="s">
        <v>24</v>
      </c>
      <c r="C4381" s="1">
        <v>0.0</v>
      </c>
      <c r="D4381" s="1" t="s">
        <v>25</v>
      </c>
      <c r="E4381" s="1" t="s">
        <v>26</v>
      </c>
      <c r="F4381" s="1">
        <v>68.0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1">
        <v>89.95</v>
      </c>
      <c r="T4381" s="1">
        <v>5974.3</v>
      </c>
      <c r="U4381" s="1">
        <v>4.0</v>
      </c>
      <c r="V4381" s="1">
        <v>0.0</v>
      </c>
      <c r="W4381" s="1" t="s">
        <v>26</v>
      </c>
    </row>
    <row r="4382" ht="15.75" customHeight="1">
      <c r="A4382" s="1" t="s">
        <v>4419</v>
      </c>
      <c r="B4382" s="1" t="s">
        <v>24</v>
      </c>
      <c r="C4382" s="1">
        <v>0.0</v>
      </c>
      <c r="D4382" s="1" t="s">
        <v>25</v>
      </c>
      <c r="E4382" s="1" t="s">
        <v>25</v>
      </c>
      <c r="F4382" s="1">
        <v>0.0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1">
        <v>20.0</v>
      </c>
      <c r="T4382" s="1" t="s">
        <v>527</v>
      </c>
      <c r="U4382" s="1">
        <v>5.0</v>
      </c>
      <c r="V4382" s="1">
        <v>0.0</v>
      </c>
      <c r="W4382" s="1" t="s">
        <v>26</v>
      </c>
    </row>
    <row r="4383" ht="15.75" customHeight="1">
      <c r="A4383" s="1" t="s">
        <v>4420</v>
      </c>
      <c r="B4383" s="1" t="s">
        <v>24</v>
      </c>
      <c r="C4383" s="1">
        <v>1.0</v>
      </c>
      <c r="D4383" s="1" t="s">
        <v>26</v>
      </c>
      <c r="E4383" s="1" t="s">
        <v>26</v>
      </c>
      <c r="F4383" s="1">
        <v>49.0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1">
        <v>90.85</v>
      </c>
      <c r="T4383" s="1">
        <v>4515.85</v>
      </c>
      <c r="U4383" s="1">
        <v>0.0</v>
      </c>
      <c r="V4383" s="1">
        <v>3.0</v>
      </c>
      <c r="W4383" s="1" t="s">
        <v>25</v>
      </c>
    </row>
    <row r="4384" ht="15.75" customHeight="1">
      <c r="A4384" s="1" t="s">
        <v>4421</v>
      </c>
      <c r="B4384" s="1" t="s">
        <v>24</v>
      </c>
      <c r="C4384" s="1">
        <v>1.0</v>
      </c>
      <c r="D4384" s="1" t="s">
        <v>26</v>
      </c>
      <c r="E4384" s="1" t="s">
        <v>26</v>
      </c>
      <c r="F4384" s="1">
        <v>4.0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1">
        <v>48.75</v>
      </c>
      <c r="T4384" s="1">
        <v>179.85</v>
      </c>
      <c r="U4384" s="1">
        <v>0.0</v>
      </c>
      <c r="V4384" s="1">
        <v>0.0</v>
      </c>
      <c r="W4384" s="1" t="s">
        <v>26</v>
      </c>
    </row>
    <row r="4385" ht="15.75" customHeight="1">
      <c r="A4385" s="1" t="s">
        <v>4422</v>
      </c>
      <c r="B4385" s="1" t="s">
        <v>32</v>
      </c>
      <c r="C4385" s="1">
        <v>0.0</v>
      </c>
      <c r="D4385" s="1" t="s">
        <v>25</v>
      </c>
      <c r="E4385" s="1" t="s">
        <v>26</v>
      </c>
      <c r="F4385" s="1">
        <v>63.0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1">
        <v>80.0</v>
      </c>
      <c r="T4385" s="1">
        <v>5040.2</v>
      </c>
      <c r="U4385" s="1">
        <v>0.0</v>
      </c>
      <c r="V4385" s="1">
        <v>0.0</v>
      </c>
      <c r="W4385" s="1" t="s">
        <v>26</v>
      </c>
    </row>
    <row r="4386" ht="15.75" customHeight="1">
      <c r="A4386" s="1" t="s">
        <v>4423</v>
      </c>
      <c r="B4386" s="1" t="s">
        <v>24</v>
      </c>
      <c r="C4386" s="1">
        <v>0.0</v>
      </c>
      <c r="D4386" s="1" t="s">
        <v>25</v>
      </c>
      <c r="E4386" s="1" t="s">
        <v>26</v>
      </c>
      <c r="F4386" s="1">
        <v>2.0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1">
        <v>79.7</v>
      </c>
      <c r="T4386" s="1">
        <v>165.0</v>
      </c>
      <c r="U4386" s="1">
        <v>0.0</v>
      </c>
      <c r="V4386" s="1">
        <v>0.0</v>
      </c>
      <c r="W4386" s="1" t="s">
        <v>25</v>
      </c>
    </row>
    <row r="4387" ht="15.75" customHeight="1">
      <c r="A4387" s="1" t="s">
        <v>4424</v>
      </c>
      <c r="B4387" s="1" t="s">
        <v>32</v>
      </c>
      <c r="C4387" s="1">
        <v>0.0</v>
      </c>
      <c r="D4387" s="1" t="s">
        <v>26</v>
      </c>
      <c r="E4387" s="1" t="s">
        <v>26</v>
      </c>
      <c r="F4387" s="1">
        <v>21.0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1">
        <v>20.35</v>
      </c>
      <c r="T4387" s="1">
        <v>422.7</v>
      </c>
      <c r="U4387" s="1">
        <v>0.0</v>
      </c>
      <c r="V4387" s="1">
        <v>0.0</v>
      </c>
      <c r="W4387" s="1" t="s">
        <v>26</v>
      </c>
    </row>
    <row r="4388" ht="15.75" customHeight="1">
      <c r="A4388" s="1" t="s">
        <v>4425</v>
      </c>
      <c r="B4388" s="1" t="s">
        <v>32</v>
      </c>
      <c r="C4388" s="1">
        <v>0.0</v>
      </c>
      <c r="D4388" s="1" t="s">
        <v>25</v>
      </c>
      <c r="E4388" s="1" t="s">
        <v>25</v>
      </c>
      <c r="F4388" s="1">
        <v>55.0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1">
        <v>57.55</v>
      </c>
      <c r="T4388" s="1">
        <v>3046.4</v>
      </c>
      <c r="U4388" s="1">
        <v>0.0</v>
      </c>
      <c r="V4388" s="1">
        <v>5.0</v>
      </c>
      <c r="W4388" s="1" t="s">
        <v>25</v>
      </c>
    </row>
    <row r="4389" ht="15.75" customHeight="1">
      <c r="A4389" s="1" t="s">
        <v>4426</v>
      </c>
      <c r="B4389" s="1" t="s">
        <v>32</v>
      </c>
      <c r="C4389" s="1">
        <v>0.0</v>
      </c>
      <c r="D4389" s="1" t="s">
        <v>26</v>
      </c>
      <c r="E4389" s="1" t="s">
        <v>25</v>
      </c>
      <c r="F4389" s="1">
        <v>1.0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1">
        <v>20.25</v>
      </c>
      <c r="T4389" s="1">
        <v>20.25</v>
      </c>
      <c r="U4389" s="1">
        <v>0.0</v>
      </c>
      <c r="V4389" s="1">
        <v>0.0</v>
      </c>
      <c r="W4389" s="1" t="s">
        <v>26</v>
      </c>
    </row>
    <row r="4390" ht="15.75" customHeight="1">
      <c r="A4390" s="1" t="s">
        <v>4427</v>
      </c>
      <c r="B4390" s="1" t="s">
        <v>24</v>
      </c>
      <c r="C4390" s="1">
        <v>0.0</v>
      </c>
      <c r="D4390" s="1" t="s">
        <v>26</v>
      </c>
      <c r="E4390" s="1" t="s">
        <v>26</v>
      </c>
      <c r="F4390" s="1">
        <v>17.0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1">
        <v>19.4</v>
      </c>
      <c r="T4390" s="1">
        <v>358.05</v>
      </c>
      <c r="U4390" s="1">
        <v>0.0</v>
      </c>
      <c r="V4390" s="1">
        <v>0.0</v>
      </c>
      <c r="W4390" s="1" t="s">
        <v>26</v>
      </c>
    </row>
    <row r="4391" ht="15.75" customHeight="1">
      <c r="A4391" s="1" t="s">
        <v>4428</v>
      </c>
      <c r="B4391" s="1" t="s">
        <v>32</v>
      </c>
      <c r="C4391" s="1">
        <v>0.0</v>
      </c>
      <c r="D4391" s="1" t="s">
        <v>26</v>
      </c>
      <c r="E4391" s="1" t="s">
        <v>26</v>
      </c>
      <c r="F4391" s="1">
        <v>30.0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1">
        <v>100.4</v>
      </c>
      <c r="T4391" s="1">
        <v>2936.25</v>
      </c>
      <c r="U4391" s="1">
        <v>0.0</v>
      </c>
      <c r="V4391" s="1">
        <v>0.0</v>
      </c>
      <c r="W4391" s="1" t="s">
        <v>26</v>
      </c>
    </row>
    <row r="4392" ht="15.75" customHeight="1">
      <c r="A4392" s="1" t="s">
        <v>4429</v>
      </c>
      <c r="B4392" s="1" t="s">
        <v>32</v>
      </c>
      <c r="C4392" s="1">
        <v>0.0</v>
      </c>
      <c r="D4392" s="1" t="s">
        <v>25</v>
      </c>
      <c r="E4392" s="1" t="s">
        <v>25</v>
      </c>
      <c r="F4392" s="1">
        <v>22.0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1">
        <v>57.95</v>
      </c>
      <c r="T4392" s="1">
        <v>1271.8</v>
      </c>
      <c r="U4392" s="1">
        <v>0.0</v>
      </c>
      <c r="V4392" s="1">
        <v>0.0</v>
      </c>
      <c r="W4392" s="1" t="s">
        <v>26</v>
      </c>
    </row>
    <row r="4393" ht="15.75" customHeight="1">
      <c r="A4393" s="1" t="s">
        <v>4430</v>
      </c>
      <c r="B4393" s="1" t="s">
        <v>24</v>
      </c>
      <c r="C4393" s="1">
        <v>0.0</v>
      </c>
      <c r="D4393" s="1" t="s">
        <v>26</v>
      </c>
      <c r="E4393" s="1" t="s">
        <v>26</v>
      </c>
      <c r="F4393" s="1">
        <v>9.0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1">
        <v>59.5</v>
      </c>
      <c r="T4393" s="1">
        <v>530.05</v>
      </c>
      <c r="U4393" s="1">
        <v>0.0</v>
      </c>
      <c r="V4393" s="1">
        <v>0.0</v>
      </c>
      <c r="W4393" s="1" t="s">
        <v>26</v>
      </c>
    </row>
    <row r="4394" ht="15.75" customHeight="1">
      <c r="A4394" s="1" t="s">
        <v>4431</v>
      </c>
      <c r="B4394" s="1" t="s">
        <v>32</v>
      </c>
      <c r="C4394" s="1">
        <v>0.0</v>
      </c>
      <c r="D4394" s="1" t="s">
        <v>25</v>
      </c>
      <c r="E4394" s="1" t="s">
        <v>25</v>
      </c>
      <c r="F4394" s="1">
        <v>1.0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1">
        <v>19.2</v>
      </c>
      <c r="T4394" s="1">
        <v>19.2</v>
      </c>
      <c r="U4394" s="1">
        <v>5.0</v>
      </c>
      <c r="V4394" s="1">
        <v>0.0</v>
      </c>
      <c r="W4394" s="1" t="s">
        <v>26</v>
      </c>
    </row>
    <row r="4395" ht="15.75" customHeight="1">
      <c r="A4395" s="1" t="s">
        <v>4432</v>
      </c>
      <c r="B4395" s="1" t="s">
        <v>24</v>
      </c>
      <c r="C4395" s="1">
        <v>0.0</v>
      </c>
      <c r="D4395" s="1" t="s">
        <v>25</v>
      </c>
      <c r="E4395" s="1" t="s">
        <v>26</v>
      </c>
      <c r="F4395" s="1">
        <v>21.0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1">
        <v>86.5</v>
      </c>
      <c r="T4395" s="1">
        <v>1808.7</v>
      </c>
      <c r="U4395" s="1">
        <v>0.0</v>
      </c>
      <c r="V4395" s="1">
        <v>0.0</v>
      </c>
      <c r="W4395" s="1" t="s">
        <v>25</v>
      </c>
    </row>
    <row r="4396" ht="15.75" customHeight="1">
      <c r="A4396" s="1" t="s">
        <v>4433</v>
      </c>
      <c r="B4396" s="1" t="s">
        <v>32</v>
      </c>
      <c r="C4396" s="1">
        <v>0.0</v>
      </c>
      <c r="D4396" s="1" t="s">
        <v>26</v>
      </c>
      <c r="E4396" s="1" t="s">
        <v>26</v>
      </c>
      <c r="F4396" s="1">
        <v>19.0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1">
        <v>59.55</v>
      </c>
      <c r="T4396" s="1">
        <v>1144.6</v>
      </c>
      <c r="U4396" s="1">
        <v>0.0</v>
      </c>
      <c r="V4396" s="1">
        <v>1.0</v>
      </c>
      <c r="W4396" s="1" t="s">
        <v>26</v>
      </c>
    </row>
    <row r="4397" ht="15.75" customHeight="1">
      <c r="A4397" s="1" t="s">
        <v>4434</v>
      </c>
      <c r="B4397" s="1" t="s">
        <v>24</v>
      </c>
      <c r="C4397" s="1">
        <v>0.0</v>
      </c>
      <c r="D4397" s="1" t="s">
        <v>25</v>
      </c>
      <c r="E4397" s="1" t="s">
        <v>25</v>
      </c>
      <c r="F4397" s="1">
        <v>69.0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1">
        <v>103.95</v>
      </c>
      <c r="T4397" s="1">
        <v>7446.9</v>
      </c>
      <c r="U4397" s="1">
        <v>0.0</v>
      </c>
      <c r="V4397" s="1">
        <v>4.0</v>
      </c>
      <c r="W4397" s="1" t="s">
        <v>25</v>
      </c>
    </row>
    <row r="4398" ht="15.75" customHeight="1">
      <c r="A4398" s="1" t="s">
        <v>4435</v>
      </c>
      <c r="B4398" s="1" t="s">
        <v>32</v>
      </c>
      <c r="C4398" s="1">
        <v>1.0</v>
      </c>
      <c r="D4398" s="1" t="s">
        <v>26</v>
      </c>
      <c r="E4398" s="1" t="s">
        <v>26</v>
      </c>
      <c r="F4398" s="1">
        <v>1.0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1">
        <v>25.1</v>
      </c>
      <c r="T4398" s="1">
        <v>25.1</v>
      </c>
      <c r="U4398" s="1">
        <v>0.0</v>
      </c>
      <c r="V4398" s="1">
        <v>0.0</v>
      </c>
      <c r="W4398" s="1" t="s">
        <v>25</v>
      </c>
    </row>
    <row r="4399" ht="15.75" customHeight="1">
      <c r="A4399" s="1" t="s">
        <v>4436</v>
      </c>
      <c r="B4399" s="1" t="s">
        <v>24</v>
      </c>
      <c r="C4399" s="1">
        <v>0.0</v>
      </c>
      <c r="D4399" s="1" t="s">
        <v>25</v>
      </c>
      <c r="E4399" s="1" t="s">
        <v>26</v>
      </c>
      <c r="F4399" s="1">
        <v>72.0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1">
        <v>103.95</v>
      </c>
      <c r="T4399" s="1">
        <v>7556.9</v>
      </c>
      <c r="U4399" s="1">
        <v>0.0</v>
      </c>
      <c r="V4399" s="1">
        <v>1.0</v>
      </c>
      <c r="W4399" s="1" t="s">
        <v>26</v>
      </c>
    </row>
    <row r="4400" ht="15.75" customHeight="1">
      <c r="A4400" s="1" t="s">
        <v>4437</v>
      </c>
      <c r="B4400" s="1" t="s">
        <v>32</v>
      </c>
      <c r="C4400" s="1">
        <v>0.0</v>
      </c>
      <c r="D4400" s="1" t="s">
        <v>25</v>
      </c>
      <c r="E4400" s="1" t="s">
        <v>25</v>
      </c>
      <c r="F4400" s="1">
        <v>70.0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1">
        <v>68.95</v>
      </c>
      <c r="T4400" s="1">
        <v>4858.7</v>
      </c>
      <c r="U4400" s="1">
        <v>0.0</v>
      </c>
      <c r="V4400" s="1">
        <v>0.0</v>
      </c>
      <c r="W4400" s="1" t="s">
        <v>26</v>
      </c>
    </row>
    <row r="4401" ht="15.75" customHeight="1">
      <c r="A4401" s="1" t="s">
        <v>4438</v>
      </c>
      <c r="B4401" s="1" t="s">
        <v>24</v>
      </c>
      <c r="C4401" s="1">
        <v>0.0</v>
      </c>
      <c r="D4401" s="1" t="s">
        <v>26</v>
      </c>
      <c r="E4401" s="1" t="s">
        <v>26</v>
      </c>
      <c r="F4401" s="1">
        <v>66.0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1">
        <v>103.1</v>
      </c>
      <c r="T4401" s="1">
        <v>6595.0</v>
      </c>
      <c r="U4401" s="1">
        <v>3.0</v>
      </c>
      <c r="V4401" s="1">
        <v>0.0</v>
      </c>
      <c r="W4401" s="1" t="s">
        <v>26</v>
      </c>
    </row>
    <row r="4402" ht="15.75" customHeight="1">
      <c r="A4402" s="1" t="s">
        <v>4439</v>
      </c>
      <c r="B4402" s="1" t="s">
        <v>24</v>
      </c>
      <c r="C4402" s="1">
        <v>0.0</v>
      </c>
      <c r="D4402" s="1" t="s">
        <v>25</v>
      </c>
      <c r="E4402" s="1" t="s">
        <v>25</v>
      </c>
      <c r="F4402" s="1">
        <v>7.0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1">
        <v>24.7</v>
      </c>
      <c r="T4402" s="1">
        <v>149.05</v>
      </c>
      <c r="U4402" s="1">
        <v>0.0</v>
      </c>
      <c r="V4402" s="1">
        <v>0.0</v>
      </c>
      <c r="W4402" s="1" t="s">
        <v>26</v>
      </c>
    </row>
    <row r="4403" ht="15.75" customHeight="1">
      <c r="A4403" s="1" t="s">
        <v>4440</v>
      </c>
      <c r="B4403" s="1" t="s">
        <v>24</v>
      </c>
      <c r="C4403" s="1">
        <v>1.0</v>
      </c>
      <c r="D4403" s="1" t="s">
        <v>25</v>
      </c>
      <c r="E4403" s="1" t="s">
        <v>25</v>
      </c>
      <c r="F4403" s="1">
        <v>46.0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1">
        <v>110.2</v>
      </c>
      <c r="T4403" s="1">
        <v>4972.1</v>
      </c>
      <c r="U4403" s="1">
        <v>0.0</v>
      </c>
      <c r="V4403" s="1">
        <v>0.0</v>
      </c>
      <c r="W4403" s="1" t="s">
        <v>26</v>
      </c>
    </row>
    <row r="4404" ht="15.75" customHeight="1">
      <c r="A4404" s="1" t="s">
        <v>4441</v>
      </c>
      <c r="B4404" s="1" t="s">
        <v>32</v>
      </c>
      <c r="C4404" s="1">
        <v>0.0</v>
      </c>
      <c r="D4404" s="1" t="s">
        <v>26</v>
      </c>
      <c r="E4404" s="1" t="s">
        <v>26</v>
      </c>
      <c r="F4404" s="1">
        <v>39.0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1">
        <v>48.95</v>
      </c>
      <c r="T4404" s="1">
        <v>1880.85</v>
      </c>
      <c r="U4404" s="1">
        <v>0.0</v>
      </c>
      <c r="V4404" s="1">
        <v>3.0</v>
      </c>
      <c r="W4404" s="1" t="s">
        <v>25</v>
      </c>
    </row>
    <row r="4405" ht="15.75" customHeight="1">
      <c r="A4405" s="1" t="s">
        <v>4442</v>
      </c>
      <c r="B4405" s="1" t="s">
        <v>24</v>
      </c>
      <c r="C4405" s="1">
        <v>0.0</v>
      </c>
      <c r="D4405" s="1" t="s">
        <v>25</v>
      </c>
      <c r="E4405" s="1" t="s">
        <v>25</v>
      </c>
      <c r="F4405" s="1">
        <v>32.0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1">
        <v>62.45</v>
      </c>
      <c r="T4405" s="1">
        <v>2045.55</v>
      </c>
      <c r="U4405" s="1">
        <v>0.0</v>
      </c>
      <c r="V4405" s="1">
        <v>0.0</v>
      </c>
      <c r="W4405" s="1" t="s">
        <v>26</v>
      </c>
    </row>
    <row r="4406" ht="15.75" customHeight="1">
      <c r="A4406" s="1" t="s">
        <v>4443</v>
      </c>
      <c r="B4406" s="1" t="s">
        <v>32</v>
      </c>
      <c r="C4406" s="1">
        <v>0.0</v>
      </c>
      <c r="D4406" s="1" t="s">
        <v>26</v>
      </c>
      <c r="E4406" s="1" t="s">
        <v>26</v>
      </c>
      <c r="F4406" s="1">
        <v>24.0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1">
        <v>89.55</v>
      </c>
      <c r="T4406" s="1">
        <v>2187.15</v>
      </c>
      <c r="U4406" s="1">
        <v>0.0</v>
      </c>
      <c r="V4406" s="1">
        <v>0.0</v>
      </c>
      <c r="W4406" s="1" t="s">
        <v>26</v>
      </c>
    </row>
    <row r="4407" ht="15.75" customHeight="1">
      <c r="A4407" s="1" t="s">
        <v>4444</v>
      </c>
      <c r="B4407" s="1" t="s">
        <v>32</v>
      </c>
      <c r="C4407" s="1">
        <v>0.0</v>
      </c>
      <c r="D4407" s="1" t="s">
        <v>25</v>
      </c>
      <c r="E4407" s="1" t="s">
        <v>25</v>
      </c>
      <c r="F4407" s="1">
        <v>6.0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1">
        <v>83.55</v>
      </c>
      <c r="T4407" s="1">
        <v>477.55</v>
      </c>
      <c r="U4407" s="1">
        <v>0.0</v>
      </c>
      <c r="V4407" s="1">
        <v>0.0</v>
      </c>
      <c r="W4407" s="1" t="s">
        <v>25</v>
      </c>
    </row>
    <row r="4408" ht="15.75" customHeight="1">
      <c r="A4408" s="1" t="s">
        <v>4445</v>
      </c>
      <c r="B4408" s="1" t="s">
        <v>24</v>
      </c>
      <c r="C4408" s="1">
        <v>0.0</v>
      </c>
      <c r="D4408" s="1" t="s">
        <v>26</v>
      </c>
      <c r="E4408" s="1" t="s">
        <v>26</v>
      </c>
      <c r="F4408" s="1">
        <v>37.0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1">
        <v>78.9</v>
      </c>
      <c r="T4408" s="1">
        <v>2976.95</v>
      </c>
      <c r="U4408" s="1">
        <v>0.0</v>
      </c>
      <c r="V4408" s="1">
        <v>0.0</v>
      </c>
      <c r="W4408" s="1" t="s">
        <v>26</v>
      </c>
    </row>
    <row r="4409" ht="15.75" customHeight="1">
      <c r="A4409" s="1" t="s">
        <v>4446</v>
      </c>
      <c r="B4409" s="1" t="s">
        <v>32</v>
      </c>
      <c r="C4409" s="1">
        <v>0.0</v>
      </c>
      <c r="D4409" s="1" t="s">
        <v>26</v>
      </c>
      <c r="E4409" s="1" t="s">
        <v>25</v>
      </c>
      <c r="F4409" s="1">
        <v>8.0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1">
        <v>20.35</v>
      </c>
      <c r="T4409" s="1">
        <v>178.7</v>
      </c>
      <c r="U4409" s="1">
        <v>0.0</v>
      </c>
      <c r="V4409" s="1">
        <v>0.0</v>
      </c>
      <c r="W4409" s="1" t="s">
        <v>26</v>
      </c>
    </row>
    <row r="4410" ht="15.75" customHeight="1">
      <c r="A4410" s="1" t="s">
        <v>4447</v>
      </c>
      <c r="B4410" s="1" t="s">
        <v>24</v>
      </c>
      <c r="C4410" s="1">
        <v>0.0</v>
      </c>
      <c r="D4410" s="1" t="s">
        <v>25</v>
      </c>
      <c r="E4410" s="1" t="s">
        <v>25</v>
      </c>
      <c r="F4410" s="1">
        <v>72.0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1">
        <v>71.45</v>
      </c>
      <c r="T4410" s="1">
        <v>5025.85</v>
      </c>
      <c r="U4410" s="1">
        <v>0.0</v>
      </c>
      <c r="V4410" s="1">
        <v>0.0</v>
      </c>
      <c r="W4410" s="1" t="s">
        <v>26</v>
      </c>
    </row>
    <row r="4411" ht="15.75" customHeight="1">
      <c r="A4411" s="1" t="s">
        <v>4448</v>
      </c>
      <c r="B4411" s="1" t="s">
        <v>32</v>
      </c>
      <c r="C4411" s="1">
        <v>1.0</v>
      </c>
      <c r="D4411" s="1" t="s">
        <v>25</v>
      </c>
      <c r="E4411" s="1" t="s">
        <v>26</v>
      </c>
      <c r="F4411" s="1">
        <v>71.0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1">
        <v>46.35</v>
      </c>
      <c r="T4411" s="1">
        <v>3353.4</v>
      </c>
      <c r="U4411" s="1">
        <v>0.0</v>
      </c>
      <c r="V4411" s="1">
        <v>0.0</v>
      </c>
      <c r="W4411" s="1" t="s">
        <v>26</v>
      </c>
    </row>
    <row r="4412" ht="15.75" customHeight="1">
      <c r="A4412" s="1" t="s">
        <v>4449</v>
      </c>
      <c r="B4412" s="1" t="s">
        <v>24</v>
      </c>
      <c r="C4412" s="1">
        <v>0.0</v>
      </c>
      <c r="D4412" s="1" t="s">
        <v>25</v>
      </c>
      <c r="E4412" s="1" t="s">
        <v>26</v>
      </c>
      <c r="F4412" s="1">
        <v>16.0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1">
        <v>94.65</v>
      </c>
      <c r="T4412" s="1">
        <v>1461.15</v>
      </c>
      <c r="U4412" s="1">
        <v>0.0</v>
      </c>
      <c r="V4412" s="1">
        <v>0.0</v>
      </c>
      <c r="W4412" s="1" t="s">
        <v>26</v>
      </c>
    </row>
    <row r="4413" ht="15.75" customHeight="1">
      <c r="A4413" s="1" t="s">
        <v>4450</v>
      </c>
      <c r="B4413" s="1" t="s">
        <v>24</v>
      </c>
      <c r="C4413" s="1">
        <v>0.0</v>
      </c>
      <c r="D4413" s="1" t="s">
        <v>25</v>
      </c>
      <c r="E4413" s="1" t="s">
        <v>26</v>
      </c>
      <c r="F4413" s="1">
        <v>57.0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1">
        <v>49.9</v>
      </c>
      <c r="T4413" s="1">
        <v>2782.4</v>
      </c>
      <c r="U4413" s="1">
        <v>3.0</v>
      </c>
      <c r="V4413" s="1">
        <v>0.0</v>
      </c>
      <c r="W4413" s="1" t="s">
        <v>26</v>
      </c>
    </row>
    <row r="4414" ht="15.75" customHeight="1">
      <c r="A4414" s="1" t="s">
        <v>4451</v>
      </c>
      <c r="B4414" s="1" t="s">
        <v>32</v>
      </c>
      <c r="C4414" s="1">
        <v>0.0</v>
      </c>
      <c r="D4414" s="1" t="s">
        <v>26</v>
      </c>
      <c r="E4414" s="1" t="s">
        <v>26</v>
      </c>
      <c r="F4414" s="1">
        <v>66.0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1">
        <v>25.45</v>
      </c>
      <c r="T4414" s="1">
        <v>1699.15</v>
      </c>
      <c r="U4414" s="1">
        <v>0.0</v>
      </c>
      <c r="V4414" s="1">
        <v>0.0</v>
      </c>
      <c r="W4414" s="1" t="s">
        <v>26</v>
      </c>
    </row>
    <row r="4415" ht="15.75" customHeight="1">
      <c r="A4415" s="1" t="s">
        <v>4452</v>
      </c>
      <c r="B4415" s="1" t="s">
        <v>24</v>
      </c>
      <c r="C4415" s="1">
        <v>1.0</v>
      </c>
      <c r="D4415" s="1" t="s">
        <v>26</v>
      </c>
      <c r="E4415" s="1" t="s">
        <v>26</v>
      </c>
      <c r="F4415" s="1">
        <v>17.0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1">
        <v>89.15</v>
      </c>
      <c r="T4415" s="1">
        <v>1496.9</v>
      </c>
      <c r="U4415" s="1">
        <v>5.0</v>
      </c>
      <c r="V4415" s="1">
        <v>1.0</v>
      </c>
      <c r="W4415" s="1" t="s">
        <v>25</v>
      </c>
    </row>
    <row r="4416" ht="15.75" customHeight="1">
      <c r="A4416" s="1" t="s">
        <v>4453</v>
      </c>
      <c r="B4416" s="1" t="s">
        <v>24</v>
      </c>
      <c r="C4416" s="1">
        <v>0.0</v>
      </c>
      <c r="D4416" s="1" t="s">
        <v>26</v>
      </c>
      <c r="E4416" s="1" t="s">
        <v>25</v>
      </c>
      <c r="F4416" s="1">
        <v>21.0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1">
        <v>20.75</v>
      </c>
      <c r="T4416" s="1">
        <v>452.2</v>
      </c>
      <c r="U4416" s="1">
        <v>0.0</v>
      </c>
      <c r="V4416" s="1">
        <v>0.0</v>
      </c>
      <c r="W4416" s="1" t="s">
        <v>26</v>
      </c>
    </row>
    <row r="4417" ht="15.75" customHeight="1">
      <c r="A4417" s="1" t="s">
        <v>4454</v>
      </c>
      <c r="B4417" s="1" t="s">
        <v>32</v>
      </c>
      <c r="C4417" s="1">
        <v>0.0</v>
      </c>
      <c r="D4417" s="1" t="s">
        <v>25</v>
      </c>
      <c r="E4417" s="1" t="s">
        <v>26</v>
      </c>
      <c r="F4417" s="1">
        <v>66.0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1">
        <v>66.1</v>
      </c>
      <c r="T4417" s="1">
        <v>4428.45</v>
      </c>
      <c r="U4417" s="1">
        <v>2.0</v>
      </c>
      <c r="V4417" s="1">
        <v>0.0</v>
      </c>
      <c r="W4417" s="1" t="s">
        <v>26</v>
      </c>
    </row>
    <row r="4418" ht="15.75" customHeight="1">
      <c r="A4418" s="1" t="s">
        <v>4455</v>
      </c>
      <c r="B4418" s="1" t="s">
        <v>24</v>
      </c>
      <c r="C4418" s="1">
        <v>0.0</v>
      </c>
      <c r="D4418" s="1" t="s">
        <v>25</v>
      </c>
      <c r="E4418" s="1" t="s">
        <v>26</v>
      </c>
      <c r="F4418" s="1">
        <v>17.0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1">
        <v>75.4</v>
      </c>
      <c r="T4418" s="1">
        <v>1322.55</v>
      </c>
      <c r="U4418" s="1">
        <v>3.0</v>
      </c>
      <c r="V4418" s="1">
        <v>0.0</v>
      </c>
      <c r="W4418" s="1" t="s">
        <v>26</v>
      </c>
    </row>
    <row r="4419" ht="15.75" customHeight="1">
      <c r="A4419" s="1" t="s">
        <v>4456</v>
      </c>
      <c r="B4419" s="1" t="s">
        <v>32</v>
      </c>
      <c r="C4419" s="1">
        <v>0.0</v>
      </c>
      <c r="D4419" s="1" t="s">
        <v>26</v>
      </c>
      <c r="E4419" s="1" t="s">
        <v>25</v>
      </c>
      <c r="F4419" s="1">
        <v>1.0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1">
        <v>70.45</v>
      </c>
      <c r="T4419" s="1">
        <v>70.45</v>
      </c>
      <c r="U4419" s="1">
        <v>5.0</v>
      </c>
      <c r="V4419" s="1">
        <v>0.0</v>
      </c>
      <c r="W4419" s="1" t="s">
        <v>25</v>
      </c>
    </row>
    <row r="4420" ht="15.75" customHeight="1">
      <c r="A4420" s="1" t="s">
        <v>4457</v>
      </c>
      <c r="B4420" s="1" t="s">
        <v>32</v>
      </c>
      <c r="C4420" s="1">
        <v>0.0</v>
      </c>
      <c r="D4420" s="1" t="s">
        <v>25</v>
      </c>
      <c r="E4420" s="1" t="s">
        <v>26</v>
      </c>
      <c r="F4420" s="1">
        <v>58.0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1">
        <v>60.3</v>
      </c>
      <c r="T4420" s="1">
        <v>3563.8</v>
      </c>
      <c r="U4420" s="1">
        <v>0.0</v>
      </c>
      <c r="V4420" s="1">
        <v>5.0</v>
      </c>
      <c r="W4420" s="1" t="s">
        <v>25</v>
      </c>
    </row>
    <row r="4421" ht="15.75" customHeight="1">
      <c r="A4421" s="1" t="s">
        <v>4458</v>
      </c>
      <c r="B4421" s="1" t="s">
        <v>24</v>
      </c>
      <c r="C4421" s="1">
        <v>0.0</v>
      </c>
      <c r="D4421" s="1" t="s">
        <v>25</v>
      </c>
      <c r="E4421" s="1" t="s">
        <v>25</v>
      </c>
      <c r="F4421" s="1">
        <v>8.0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1">
        <v>21.05</v>
      </c>
      <c r="T4421" s="1">
        <v>139.75</v>
      </c>
      <c r="U4421" s="1">
        <v>0.0</v>
      </c>
      <c r="V4421" s="1">
        <v>0.0</v>
      </c>
      <c r="W4421" s="1" t="s">
        <v>26</v>
      </c>
    </row>
    <row r="4422" ht="15.75" customHeight="1">
      <c r="A4422" s="1" t="s">
        <v>4459</v>
      </c>
      <c r="B4422" s="1" t="s">
        <v>32</v>
      </c>
      <c r="C4422" s="1">
        <v>0.0</v>
      </c>
      <c r="D4422" s="1" t="s">
        <v>26</v>
      </c>
      <c r="E4422" s="1" t="s">
        <v>26</v>
      </c>
      <c r="F4422" s="1">
        <v>27.0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1">
        <v>69.35</v>
      </c>
      <c r="T4422" s="1">
        <v>1927.3</v>
      </c>
      <c r="U4422" s="1">
        <v>0.0</v>
      </c>
      <c r="V4422" s="1">
        <v>0.0</v>
      </c>
      <c r="W4422" s="1" t="s">
        <v>26</v>
      </c>
    </row>
    <row r="4423" ht="15.75" customHeight="1">
      <c r="A4423" s="1" t="s">
        <v>4460</v>
      </c>
      <c r="B4423" s="1" t="s">
        <v>32</v>
      </c>
      <c r="C4423" s="1">
        <v>0.0</v>
      </c>
      <c r="D4423" s="1" t="s">
        <v>25</v>
      </c>
      <c r="E4423" s="1" t="s">
        <v>26</v>
      </c>
      <c r="F4423" s="1">
        <v>34.0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1">
        <v>88.85</v>
      </c>
      <c r="T4423" s="1">
        <v>3000.25</v>
      </c>
      <c r="U4423" s="1">
        <v>2.0</v>
      </c>
      <c r="V4423" s="1">
        <v>0.0</v>
      </c>
      <c r="W4423" s="1" t="s">
        <v>26</v>
      </c>
    </row>
    <row r="4424" ht="15.75" customHeight="1">
      <c r="A4424" s="1" t="s">
        <v>4461</v>
      </c>
      <c r="B4424" s="1" t="s">
        <v>32</v>
      </c>
      <c r="C4424" s="1">
        <v>0.0</v>
      </c>
      <c r="D4424" s="1" t="s">
        <v>26</v>
      </c>
      <c r="E4424" s="1" t="s">
        <v>26</v>
      </c>
      <c r="F4424" s="1">
        <v>30.0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1">
        <v>97.0</v>
      </c>
      <c r="T4424" s="1">
        <v>3021.3</v>
      </c>
      <c r="U4424" s="1">
        <v>0.0</v>
      </c>
      <c r="V4424" s="1">
        <v>0.0</v>
      </c>
      <c r="W4424" s="1" t="s">
        <v>26</v>
      </c>
    </row>
    <row r="4425" ht="15.75" customHeight="1">
      <c r="A4425" s="1" t="s">
        <v>4462</v>
      </c>
      <c r="B4425" s="1" t="s">
        <v>32</v>
      </c>
      <c r="C4425" s="1">
        <v>0.0</v>
      </c>
      <c r="D4425" s="1" t="s">
        <v>26</v>
      </c>
      <c r="E4425" s="1" t="s">
        <v>26</v>
      </c>
      <c r="F4425" s="1">
        <v>33.0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1">
        <v>66.4</v>
      </c>
      <c r="T4425" s="1">
        <v>2245.4</v>
      </c>
      <c r="U4425" s="1">
        <v>0.0</v>
      </c>
      <c r="V4425" s="1">
        <v>0.0</v>
      </c>
      <c r="W4425" s="1" t="s">
        <v>26</v>
      </c>
    </row>
    <row r="4426" ht="15.75" customHeight="1">
      <c r="A4426" s="1" t="s">
        <v>4463</v>
      </c>
      <c r="B4426" s="1" t="s">
        <v>32</v>
      </c>
      <c r="C4426" s="1">
        <v>0.0</v>
      </c>
      <c r="D4426" s="1" t="s">
        <v>26</v>
      </c>
      <c r="E4426" s="1" t="s">
        <v>25</v>
      </c>
      <c r="F4426" s="1">
        <v>1.0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1">
        <v>24.75</v>
      </c>
      <c r="T4426" s="1">
        <v>24.75</v>
      </c>
      <c r="U4426" s="1">
        <v>2.0</v>
      </c>
      <c r="V4426" s="1">
        <v>0.0</v>
      </c>
      <c r="W4426" s="1" t="s">
        <v>25</v>
      </c>
    </row>
    <row r="4427" ht="15.75" customHeight="1">
      <c r="A4427" s="1" t="s">
        <v>4464</v>
      </c>
      <c r="B4427" s="1" t="s">
        <v>32</v>
      </c>
      <c r="C4427" s="1">
        <v>0.0</v>
      </c>
      <c r="D4427" s="1" t="s">
        <v>25</v>
      </c>
      <c r="E4427" s="1" t="s">
        <v>25</v>
      </c>
      <c r="F4427" s="1">
        <v>14.0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1">
        <v>69.2</v>
      </c>
      <c r="T4427" s="1">
        <v>944.65</v>
      </c>
      <c r="U4427" s="1">
        <v>1.0</v>
      </c>
      <c r="V4427" s="1">
        <v>0.0</v>
      </c>
      <c r="W4427" s="1" t="s">
        <v>26</v>
      </c>
    </row>
    <row r="4428" ht="15.75" customHeight="1">
      <c r="A4428" s="1" t="s">
        <v>4465</v>
      </c>
      <c r="B4428" s="1" t="s">
        <v>24</v>
      </c>
      <c r="C4428" s="1">
        <v>0.0</v>
      </c>
      <c r="D4428" s="1" t="s">
        <v>26</v>
      </c>
      <c r="E4428" s="1" t="s">
        <v>25</v>
      </c>
      <c r="F4428" s="1">
        <v>16.0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1">
        <v>79.5</v>
      </c>
      <c r="T4428" s="1">
        <v>1264.2</v>
      </c>
      <c r="U4428" s="1">
        <v>0.0</v>
      </c>
      <c r="V4428" s="1">
        <v>0.0</v>
      </c>
      <c r="W4428" s="1" t="s">
        <v>26</v>
      </c>
    </row>
    <row r="4429" ht="15.75" customHeight="1">
      <c r="A4429" s="1" t="s">
        <v>4466</v>
      </c>
      <c r="B4429" s="1" t="s">
        <v>24</v>
      </c>
      <c r="C4429" s="1">
        <v>0.0</v>
      </c>
      <c r="D4429" s="1" t="s">
        <v>26</v>
      </c>
      <c r="E4429" s="1" t="s">
        <v>26</v>
      </c>
      <c r="F4429" s="1">
        <v>49.0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1">
        <v>100.65</v>
      </c>
      <c r="T4429" s="1">
        <v>4917.75</v>
      </c>
      <c r="U4429" s="1">
        <v>0.0</v>
      </c>
      <c r="V4429" s="1">
        <v>0.0</v>
      </c>
      <c r="W4429" s="1" t="s">
        <v>26</v>
      </c>
    </row>
    <row r="4430" ht="15.75" customHeight="1">
      <c r="A4430" s="1" t="s">
        <v>4467</v>
      </c>
      <c r="B4430" s="1" t="s">
        <v>32</v>
      </c>
      <c r="C4430" s="1">
        <v>0.0</v>
      </c>
      <c r="D4430" s="1" t="s">
        <v>25</v>
      </c>
      <c r="E4430" s="1" t="s">
        <v>25</v>
      </c>
      <c r="F4430" s="1">
        <v>19.0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1">
        <v>103.3</v>
      </c>
      <c r="T4430" s="1">
        <v>2012.7</v>
      </c>
      <c r="U4430" s="1">
        <v>0.0</v>
      </c>
      <c r="V4430" s="1">
        <v>0.0</v>
      </c>
      <c r="W4430" s="1" t="s">
        <v>25</v>
      </c>
    </row>
    <row r="4431" ht="15.75" customHeight="1">
      <c r="A4431" s="1" t="s">
        <v>4468</v>
      </c>
      <c r="B4431" s="1" t="s">
        <v>24</v>
      </c>
      <c r="C4431" s="1">
        <v>0.0</v>
      </c>
      <c r="D4431" s="1" t="s">
        <v>25</v>
      </c>
      <c r="E4431" s="1" t="s">
        <v>25</v>
      </c>
      <c r="F4431" s="1">
        <v>70.0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1">
        <v>79.7</v>
      </c>
      <c r="T4431" s="1">
        <v>5743.3</v>
      </c>
      <c r="U4431" s="1">
        <v>0.0</v>
      </c>
      <c r="V4431" s="1">
        <v>0.0</v>
      </c>
      <c r="W4431" s="1" t="s">
        <v>26</v>
      </c>
    </row>
    <row r="4432" ht="15.75" customHeight="1">
      <c r="A4432" s="1" t="s">
        <v>4469</v>
      </c>
      <c r="B4432" s="1" t="s">
        <v>24</v>
      </c>
      <c r="C4432" s="1">
        <v>0.0</v>
      </c>
      <c r="D4432" s="1" t="s">
        <v>25</v>
      </c>
      <c r="E4432" s="1" t="s">
        <v>25</v>
      </c>
      <c r="F4432" s="1">
        <v>32.0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1">
        <v>61.4</v>
      </c>
      <c r="T4432" s="1">
        <v>1864.65</v>
      </c>
      <c r="U4432" s="1">
        <v>0.0</v>
      </c>
      <c r="V4432" s="1">
        <v>0.0</v>
      </c>
      <c r="W4432" s="1" t="s">
        <v>26</v>
      </c>
    </row>
    <row r="4433" ht="15.75" customHeight="1">
      <c r="A4433" s="1" t="s">
        <v>4470</v>
      </c>
      <c r="B4433" s="1" t="s">
        <v>24</v>
      </c>
      <c r="C4433" s="1">
        <v>0.0</v>
      </c>
      <c r="D4433" s="1" t="s">
        <v>26</v>
      </c>
      <c r="E4433" s="1" t="s">
        <v>26</v>
      </c>
      <c r="F4433" s="1">
        <v>18.0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1">
        <v>69.8</v>
      </c>
      <c r="T4433" s="1">
        <v>1221.65</v>
      </c>
      <c r="U4433" s="1">
        <v>0.0</v>
      </c>
      <c r="V4433" s="1">
        <v>0.0</v>
      </c>
      <c r="W4433" s="1" t="s">
        <v>26</v>
      </c>
    </row>
    <row r="4434" ht="15.75" customHeight="1">
      <c r="A4434" s="1" t="s">
        <v>4471</v>
      </c>
      <c r="B4434" s="1" t="s">
        <v>32</v>
      </c>
      <c r="C4434" s="1">
        <v>0.0</v>
      </c>
      <c r="D4434" s="1" t="s">
        <v>26</v>
      </c>
      <c r="E4434" s="1" t="s">
        <v>26</v>
      </c>
      <c r="F4434" s="1">
        <v>37.0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1">
        <v>40.55</v>
      </c>
      <c r="T4434" s="1">
        <v>1390.85</v>
      </c>
      <c r="U4434" s="1">
        <v>0.0</v>
      </c>
      <c r="V4434" s="1">
        <v>0.0</v>
      </c>
      <c r="W4434" s="1" t="s">
        <v>26</v>
      </c>
    </row>
    <row r="4435" ht="15.75" customHeight="1">
      <c r="A4435" s="1" t="s">
        <v>4472</v>
      </c>
      <c r="B4435" s="1" t="s">
        <v>24</v>
      </c>
      <c r="C4435" s="1">
        <v>0.0</v>
      </c>
      <c r="D4435" s="1" t="s">
        <v>26</v>
      </c>
      <c r="E4435" s="1" t="s">
        <v>26</v>
      </c>
      <c r="F4435" s="1">
        <v>4.0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1">
        <v>75.65</v>
      </c>
      <c r="T4435" s="1">
        <v>302.35</v>
      </c>
      <c r="U4435" s="1">
        <v>0.0</v>
      </c>
      <c r="V4435" s="1">
        <v>0.0</v>
      </c>
      <c r="W4435" s="1" t="s">
        <v>26</v>
      </c>
    </row>
    <row r="4436" ht="15.75" customHeight="1">
      <c r="A4436" s="1" t="s">
        <v>4473</v>
      </c>
      <c r="B4436" s="1" t="s">
        <v>24</v>
      </c>
      <c r="C4436" s="1">
        <v>0.0</v>
      </c>
      <c r="D4436" s="1" t="s">
        <v>25</v>
      </c>
      <c r="E4436" s="1" t="s">
        <v>26</v>
      </c>
      <c r="F4436" s="1">
        <v>16.0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1">
        <v>90.7</v>
      </c>
      <c r="T4436" s="1">
        <v>1374.9</v>
      </c>
      <c r="U4436" s="1">
        <v>4.0</v>
      </c>
      <c r="V4436" s="1">
        <v>0.0</v>
      </c>
      <c r="W4436" s="1" t="s">
        <v>26</v>
      </c>
    </row>
    <row r="4437" ht="15.75" customHeight="1">
      <c r="A4437" s="1" t="s">
        <v>4474</v>
      </c>
      <c r="B4437" s="1" t="s">
        <v>32</v>
      </c>
      <c r="C4437" s="1">
        <v>0.0</v>
      </c>
      <c r="D4437" s="1" t="s">
        <v>25</v>
      </c>
      <c r="E4437" s="1" t="s">
        <v>26</v>
      </c>
      <c r="F4437" s="1">
        <v>17.0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1">
        <v>80.5</v>
      </c>
      <c r="T4437" s="1">
        <v>1336.9</v>
      </c>
      <c r="U4437" s="1">
        <v>0.0</v>
      </c>
      <c r="V4437" s="1">
        <v>0.0</v>
      </c>
      <c r="W4437" s="1" t="s">
        <v>26</v>
      </c>
    </row>
    <row r="4438" ht="15.75" customHeight="1">
      <c r="A4438" s="1" t="s">
        <v>4475</v>
      </c>
      <c r="B4438" s="1" t="s">
        <v>24</v>
      </c>
      <c r="C4438" s="1">
        <v>0.0</v>
      </c>
      <c r="D4438" s="1" t="s">
        <v>26</v>
      </c>
      <c r="E4438" s="1" t="s">
        <v>25</v>
      </c>
      <c r="F4438" s="1">
        <v>19.0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1">
        <v>60.6</v>
      </c>
      <c r="T4438" s="1">
        <v>1297.8</v>
      </c>
      <c r="U4438" s="1">
        <v>0.0</v>
      </c>
      <c r="V4438" s="1">
        <v>0.0</v>
      </c>
      <c r="W4438" s="1" t="s">
        <v>26</v>
      </c>
    </row>
    <row r="4439" ht="15.75" customHeight="1">
      <c r="A4439" s="1" t="s">
        <v>4476</v>
      </c>
      <c r="B4439" s="1" t="s">
        <v>32</v>
      </c>
      <c r="C4439" s="1">
        <v>0.0</v>
      </c>
      <c r="D4439" s="1" t="s">
        <v>25</v>
      </c>
      <c r="E4439" s="1" t="s">
        <v>26</v>
      </c>
      <c r="F4439" s="1">
        <v>60.0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1">
        <v>101.15</v>
      </c>
      <c r="T4439" s="1">
        <v>6067.4</v>
      </c>
      <c r="U4439" s="1">
        <v>0.0</v>
      </c>
      <c r="V4439" s="1">
        <v>0.0</v>
      </c>
      <c r="W4439" s="1" t="s">
        <v>26</v>
      </c>
    </row>
    <row r="4440" ht="15.75" customHeight="1">
      <c r="A4440" s="1" t="s">
        <v>4477</v>
      </c>
      <c r="B4440" s="1" t="s">
        <v>32</v>
      </c>
      <c r="C4440" s="1">
        <v>0.0</v>
      </c>
      <c r="D4440" s="1" t="s">
        <v>25</v>
      </c>
      <c r="E4440" s="1" t="s">
        <v>25</v>
      </c>
      <c r="F4440" s="1">
        <v>51.0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1">
        <v>24.95</v>
      </c>
      <c r="T4440" s="1">
        <v>1222.25</v>
      </c>
      <c r="U4440" s="1">
        <v>0.0</v>
      </c>
      <c r="V4440" s="1">
        <v>0.0</v>
      </c>
      <c r="W4440" s="1" t="s">
        <v>26</v>
      </c>
    </row>
    <row r="4441" ht="15.75" customHeight="1">
      <c r="A4441" s="1" t="s">
        <v>4478</v>
      </c>
      <c r="B4441" s="1" t="s">
        <v>32</v>
      </c>
      <c r="C4441" s="1">
        <v>0.0</v>
      </c>
      <c r="D4441" s="1" t="s">
        <v>25</v>
      </c>
      <c r="E4441" s="1" t="s">
        <v>25</v>
      </c>
      <c r="F4441" s="1">
        <v>28.0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1">
        <v>20.3</v>
      </c>
      <c r="T4441" s="1">
        <v>487.95</v>
      </c>
      <c r="U4441" s="1">
        <v>0.0</v>
      </c>
      <c r="V4441" s="1">
        <v>2.0</v>
      </c>
      <c r="W4441" s="1" t="s">
        <v>26</v>
      </c>
    </row>
    <row r="4442" ht="15.75" customHeight="1">
      <c r="A4442" s="1" t="s">
        <v>4479</v>
      </c>
      <c r="B4442" s="1" t="s">
        <v>32</v>
      </c>
      <c r="C4442" s="1">
        <v>0.0</v>
      </c>
      <c r="D4442" s="1" t="s">
        <v>26</v>
      </c>
      <c r="E4442" s="1" t="s">
        <v>26</v>
      </c>
      <c r="F4442" s="1">
        <v>43.0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1">
        <v>60.0</v>
      </c>
      <c r="T4442" s="1">
        <v>2548.55</v>
      </c>
      <c r="U4442" s="1">
        <v>0.0</v>
      </c>
      <c r="V4442" s="1">
        <v>0.0</v>
      </c>
      <c r="W4442" s="1" t="s">
        <v>26</v>
      </c>
    </row>
    <row r="4443" ht="15.75" customHeight="1">
      <c r="A4443" s="1" t="s">
        <v>4480</v>
      </c>
      <c r="B4443" s="1" t="s">
        <v>32</v>
      </c>
      <c r="C4443" s="1">
        <v>0.0</v>
      </c>
      <c r="D4443" s="1" t="s">
        <v>25</v>
      </c>
      <c r="E4443" s="1" t="s">
        <v>26</v>
      </c>
      <c r="F4443" s="1">
        <v>42.0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1">
        <v>20.25</v>
      </c>
      <c r="T4443" s="1">
        <v>835.5</v>
      </c>
      <c r="U4443" s="1">
        <v>0.0</v>
      </c>
      <c r="V4443" s="1">
        <v>2.0</v>
      </c>
      <c r="W4443" s="1" t="s">
        <v>26</v>
      </c>
    </row>
    <row r="4444" ht="15.75" customHeight="1">
      <c r="A4444" s="1" t="s">
        <v>4481</v>
      </c>
      <c r="B4444" s="1" t="s">
        <v>32</v>
      </c>
      <c r="C4444" s="1">
        <v>0.0</v>
      </c>
      <c r="D4444" s="1" t="s">
        <v>26</v>
      </c>
      <c r="E4444" s="1" t="s">
        <v>26</v>
      </c>
      <c r="F4444" s="1">
        <v>3.0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1">
        <v>78.5</v>
      </c>
      <c r="T4444" s="1">
        <v>242.05</v>
      </c>
      <c r="U4444" s="1">
        <v>0.0</v>
      </c>
      <c r="V4444" s="1">
        <v>0.0</v>
      </c>
      <c r="W4444" s="1" t="s">
        <v>25</v>
      </c>
    </row>
    <row r="4445" ht="15.75" customHeight="1">
      <c r="A4445" s="1" t="s">
        <v>4482</v>
      </c>
      <c r="B4445" s="1" t="s">
        <v>24</v>
      </c>
      <c r="C4445" s="1">
        <v>0.0</v>
      </c>
      <c r="D4445" s="1" t="s">
        <v>26</v>
      </c>
      <c r="E4445" s="1" t="s">
        <v>26</v>
      </c>
      <c r="F4445" s="1">
        <v>1.0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1">
        <v>44.75</v>
      </c>
      <c r="T4445" s="1">
        <v>44.75</v>
      </c>
      <c r="U4445" s="1">
        <v>0.0</v>
      </c>
      <c r="V4445" s="1">
        <v>0.0</v>
      </c>
      <c r="W4445" s="1" t="s">
        <v>26</v>
      </c>
    </row>
    <row r="4446" ht="15.75" customHeight="1">
      <c r="A4446" s="1" t="s">
        <v>4483</v>
      </c>
      <c r="B4446" s="1" t="s">
        <v>24</v>
      </c>
      <c r="C4446" s="1">
        <v>0.0</v>
      </c>
      <c r="D4446" s="1" t="s">
        <v>26</v>
      </c>
      <c r="E4446" s="1" t="s">
        <v>26</v>
      </c>
      <c r="F4446" s="1">
        <v>3.0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1">
        <v>19.85</v>
      </c>
      <c r="T4446" s="1">
        <v>63.75</v>
      </c>
      <c r="U4446" s="1">
        <v>1.0</v>
      </c>
      <c r="V4446" s="1">
        <v>0.0</v>
      </c>
      <c r="W4446" s="1" t="s">
        <v>25</v>
      </c>
    </row>
    <row r="4447" ht="15.75" customHeight="1">
      <c r="A4447" s="1" t="s">
        <v>4484</v>
      </c>
      <c r="B4447" s="1" t="s">
        <v>24</v>
      </c>
      <c r="C4447" s="1">
        <v>0.0</v>
      </c>
      <c r="D4447" s="1" t="s">
        <v>26</v>
      </c>
      <c r="E4447" s="1" t="s">
        <v>26</v>
      </c>
      <c r="F4447" s="1">
        <v>63.0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1">
        <v>98.0</v>
      </c>
      <c r="T4447" s="1">
        <v>6218.45</v>
      </c>
      <c r="U4447" s="1">
        <v>0.0</v>
      </c>
      <c r="V4447" s="1">
        <v>0.0</v>
      </c>
      <c r="W4447" s="1" t="s">
        <v>26</v>
      </c>
    </row>
    <row r="4448" ht="15.75" customHeight="1">
      <c r="A4448" s="1" t="s">
        <v>4485</v>
      </c>
      <c r="B4448" s="1" t="s">
        <v>32</v>
      </c>
      <c r="C4448" s="1">
        <v>1.0</v>
      </c>
      <c r="D4448" s="1" t="s">
        <v>26</v>
      </c>
      <c r="E4448" s="1" t="s">
        <v>26</v>
      </c>
      <c r="F4448" s="1">
        <v>3.0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1">
        <v>79.9</v>
      </c>
      <c r="T4448" s="1">
        <v>260.9</v>
      </c>
      <c r="U4448" s="1">
        <v>0.0</v>
      </c>
      <c r="V4448" s="1">
        <v>0.0</v>
      </c>
      <c r="W4448" s="1" t="s">
        <v>25</v>
      </c>
    </row>
    <row r="4449" ht="15.75" customHeight="1">
      <c r="A4449" s="1" t="s">
        <v>4486</v>
      </c>
      <c r="B4449" s="1" t="s">
        <v>32</v>
      </c>
      <c r="C4449" s="1">
        <v>0.0</v>
      </c>
      <c r="D4449" s="1" t="s">
        <v>25</v>
      </c>
      <c r="E4449" s="1" t="s">
        <v>26</v>
      </c>
      <c r="F4449" s="1">
        <v>68.0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1">
        <v>107.7</v>
      </c>
      <c r="T4449" s="1">
        <v>7320.9</v>
      </c>
      <c r="U4449" s="1">
        <v>0.0</v>
      </c>
      <c r="V4449" s="1">
        <v>0.0</v>
      </c>
      <c r="W4449" s="1" t="s">
        <v>26</v>
      </c>
    </row>
    <row r="4450" ht="15.75" customHeight="1">
      <c r="A4450" s="1" t="s">
        <v>4487</v>
      </c>
      <c r="B4450" s="1" t="s">
        <v>24</v>
      </c>
      <c r="C4450" s="1">
        <v>1.0</v>
      </c>
      <c r="D4450" s="1" t="s">
        <v>26</v>
      </c>
      <c r="E4450" s="1" t="s">
        <v>26</v>
      </c>
      <c r="F4450" s="1">
        <v>30.0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1">
        <v>99.7</v>
      </c>
      <c r="T4450" s="1">
        <v>2967.35</v>
      </c>
      <c r="U4450" s="1">
        <v>0.0</v>
      </c>
      <c r="V4450" s="1">
        <v>3.0</v>
      </c>
      <c r="W4450" s="1" t="s">
        <v>25</v>
      </c>
    </row>
    <row r="4451" ht="15.75" customHeight="1">
      <c r="A4451" s="1" t="s">
        <v>4488</v>
      </c>
      <c r="B4451" s="1" t="s">
        <v>24</v>
      </c>
      <c r="C4451" s="1">
        <v>0.0</v>
      </c>
      <c r="D4451" s="1" t="s">
        <v>26</v>
      </c>
      <c r="E4451" s="1" t="s">
        <v>26</v>
      </c>
      <c r="F4451" s="1">
        <v>60.0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1">
        <v>104.7</v>
      </c>
      <c r="T4451" s="1">
        <v>6333.8</v>
      </c>
      <c r="U4451" s="1">
        <v>5.0</v>
      </c>
      <c r="V4451" s="1">
        <v>0.0</v>
      </c>
      <c r="W4451" s="1" t="s">
        <v>26</v>
      </c>
    </row>
    <row r="4452" ht="15.75" customHeight="1">
      <c r="A4452" s="1" t="s">
        <v>4489</v>
      </c>
      <c r="B4452" s="1" t="s">
        <v>32</v>
      </c>
      <c r="C4452" s="1">
        <v>0.0</v>
      </c>
      <c r="D4452" s="1" t="s">
        <v>26</v>
      </c>
      <c r="E4452" s="1" t="s">
        <v>26</v>
      </c>
      <c r="F4452" s="1">
        <v>15.0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1">
        <v>58.6</v>
      </c>
      <c r="T4452" s="1">
        <v>939.7</v>
      </c>
      <c r="U4452" s="1">
        <v>0.0</v>
      </c>
      <c r="V4452" s="1">
        <v>0.0</v>
      </c>
      <c r="W4452" s="1" t="s">
        <v>25</v>
      </c>
    </row>
    <row r="4453" ht="15.75" customHeight="1">
      <c r="A4453" s="1" t="s">
        <v>4490</v>
      </c>
      <c r="B4453" s="1" t="s">
        <v>32</v>
      </c>
      <c r="C4453" s="1">
        <v>1.0</v>
      </c>
      <c r="D4453" s="1" t="s">
        <v>26</v>
      </c>
      <c r="E4453" s="1" t="s">
        <v>26</v>
      </c>
      <c r="F4453" s="1">
        <v>45.0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1">
        <v>93.9</v>
      </c>
      <c r="T4453" s="1">
        <v>4200.25</v>
      </c>
      <c r="U4453" s="1">
        <v>0.0</v>
      </c>
      <c r="V4453" s="1">
        <v>0.0</v>
      </c>
      <c r="W4453" s="1" t="s">
        <v>26</v>
      </c>
    </row>
    <row r="4454" ht="15.75" customHeight="1">
      <c r="A4454" s="1" t="s">
        <v>4491</v>
      </c>
      <c r="B4454" s="1" t="s">
        <v>24</v>
      </c>
      <c r="C4454" s="1">
        <v>0.0</v>
      </c>
      <c r="D4454" s="1" t="s">
        <v>25</v>
      </c>
      <c r="E4454" s="1" t="s">
        <v>26</v>
      </c>
      <c r="F4454" s="1">
        <v>70.0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1">
        <v>86.45</v>
      </c>
      <c r="T4454" s="1">
        <v>5950.2</v>
      </c>
      <c r="U4454" s="1">
        <v>0.0</v>
      </c>
      <c r="V4454" s="1">
        <v>0.0</v>
      </c>
      <c r="W4454" s="1" t="s">
        <v>26</v>
      </c>
    </row>
    <row r="4455" ht="15.75" customHeight="1">
      <c r="A4455" s="1" t="s">
        <v>4492</v>
      </c>
      <c r="B4455" s="1" t="s">
        <v>32</v>
      </c>
      <c r="C4455" s="1">
        <v>0.0</v>
      </c>
      <c r="D4455" s="1" t="s">
        <v>25</v>
      </c>
      <c r="E4455" s="1" t="s">
        <v>26</v>
      </c>
      <c r="F4455" s="1">
        <v>10.0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1">
        <v>98.5</v>
      </c>
      <c r="T4455" s="1">
        <v>1037.75</v>
      </c>
      <c r="U4455" s="1">
        <v>0.0</v>
      </c>
      <c r="V4455" s="1">
        <v>3.0</v>
      </c>
      <c r="W4455" s="1" t="s">
        <v>25</v>
      </c>
    </row>
    <row r="4456" ht="15.75" customHeight="1">
      <c r="A4456" s="1" t="s">
        <v>4493</v>
      </c>
      <c r="B4456" s="1" t="s">
        <v>32</v>
      </c>
      <c r="C4456" s="1">
        <v>0.0</v>
      </c>
      <c r="D4456" s="1" t="s">
        <v>26</v>
      </c>
      <c r="E4456" s="1" t="s">
        <v>26</v>
      </c>
      <c r="F4456" s="1">
        <v>4.0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1">
        <v>19.4</v>
      </c>
      <c r="T4456" s="1">
        <v>93.4</v>
      </c>
      <c r="U4456" s="1">
        <v>0.0</v>
      </c>
      <c r="V4456" s="1">
        <v>0.0</v>
      </c>
      <c r="W4456" s="1" t="s">
        <v>26</v>
      </c>
    </row>
    <row r="4457" ht="15.75" customHeight="1">
      <c r="A4457" s="1" t="s">
        <v>4494</v>
      </c>
      <c r="B4457" s="1" t="s">
        <v>24</v>
      </c>
      <c r="C4457" s="1">
        <v>0.0</v>
      </c>
      <c r="D4457" s="1" t="s">
        <v>26</v>
      </c>
      <c r="E4457" s="1" t="s">
        <v>26</v>
      </c>
      <c r="F4457" s="1">
        <v>1.0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1">
        <v>50.45</v>
      </c>
      <c r="T4457" s="1">
        <v>50.45</v>
      </c>
      <c r="U4457" s="1">
        <v>0.0</v>
      </c>
      <c r="V4457" s="1">
        <v>0.0</v>
      </c>
      <c r="W4457" s="1" t="s">
        <v>25</v>
      </c>
    </row>
    <row r="4458" ht="15.75" customHeight="1">
      <c r="A4458" s="1" t="s">
        <v>4495</v>
      </c>
      <c r="B4458" s="1" t="s">
        <v>24</v>
      </c>
      <c r="C4458" s="1">
        <v>0.0</v>
      </c>
      <c r="D4458" s="1" t="s">
        <v>25</v>
      </c>
      <c r="E4458" s="1" t="s">
        <v>26</v>
      </c>
      <c r="F4458" s="1">
        <v>68.0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1">
        <v>24.95</v>
      </c>
      <c r="T4458" s="1">
        <v>1614.9</v>
      </c>
      <c r="U4458" s="1">
        <v>0.0</v>
      </c>
      <c r="V4458" s="1">
        <v>0.0</v>
      </c>
      <c r="W4458" s="1" t="s">
        <v>26</v>
      </c>
    </row>
    <row r="4459" ht="15.75" customHeight="1">
      <c r="A4459" s="1" t="s">
        <v>4496</v>
      </c>
      <c r="B4459" s="1" t="s">
        <v>32</v>
      </c>
      <c r="C4459" s="1">
        <v>0.0</v>
      </c>
      <c r="D4459" s="1" t="s">
        <v>25</v>
      </c>
      <c r="E4459" s="1" t="s">
        <v>25</v>
      </c>
      <c r="F4459" s="1">
        <v>22.0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1">
        <v>75.0</v>
      </c>
      <c r="T4459" s="1">
        <v>1573.95</v>
      </c>
      <c r="U4459" s="1">
        <v>0.0</v>
      </c>
      <c r="V4459" s="1">
        <v>0.0</v>
      </c>
      <c r="W4459" s="1" t="s">
        <v>26</v>
      </c>
    </row>
    <row r="4460" ht="15.75" customHeight="1">
      <c r="A4460" s="1" t="s">
        <v>4497</v>
      </c>
      <c r="B4460" s="1" t="s">
        <v>32</v>
      </c>
      <c r="C4460" s="1">
        <v>0.0</v>
      </c>
      <c r="D4460" s="1" t="s">
        <v>25</v>
      </c>
      <c r="E4460" s="1" t="s">
        <v>25</v>
      </c>
      <c r="F4460" s="1">
        <v>38.0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1">
        <v>94.65</v>
      </c>
      <c r="T4460" s="1">
        <v>3624.3</v>
      </c>
      <c r="U4460" s="1">
        <v>0.0</v>
      </c>
      <c r="V4460" s="1">
        <v>2.0</v>
      </c>
      <c r="W4460" s="1" t="s">
        <v>25</v>
      </c>
    </row>
    <row r="4461" ht="15.75" customHeight="1">
      <c r="A4461" s="1" t="s">
        <v>4498</v>
      </c>
      <c r="B4461" s="1" t="s">
        <v>24</v>
      </c>
      <c r="C4461" s="1">
        <v>0.0</v>
      </c>
      <c r="D4461" s="1" t="s">
        <v>26</v>
      </c>
      <c r="E4461" s="1" t="s">
        <v>26</v>
      </c>
      <c r="F4461" s="1">
        <v>1.0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1">
        <v>100.25</v>
      </c>
      <c r="T4461" s="1">
        <v>100.25</v>
      </c>
      <c r="U4461" s="1">
        <v>0.0</v>
      </c>
      <c r="V4461" s="1">
        <v>0.0</v>
      </c>
      <c r="W4461" s="1" t="s">
        <v>25</v>
      </c>
    </row>
    <row r="4462" ht="15.75" customHeight="1">
      <c r="A4462" s="1" t="s">
        <v>4499</v>
      </c>
      <c r="B4462" s="1" t="s">
        <v>32</v>
      </c>
      <c r="C4462" s="1">
        <v>0.0</v>
      </c>
      <c r="D4462" s="1" t="s">
        <v>25</v>
      </c>
      <c r="E4462" s="1" t="s">
        <v>26</v>
      </c>
      <c r="F4462" s="1">
        <v>18.0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1">
        <v>78.2</v>
      </c>
      <c r="T4462" s="1">
        <v>1468.75</v>
      </c>
      <c r="U4462" s="1">
        <v>1.0</v>
      </c>
      <c r="V4462" s="1">
        <v>0.0</v>
      </c>
      <c r="W4462" s="1" t="s">
        <v>26</v>
      </c>
    </row>
    <row r="4463" ht="15.75" customHeight="1">
      <c r="A4463" s="1" t="s">
        <v>4500</v>
      </c>
      <c r="B4463" s="1" t="s">
        <v>32</v>
      </c>
      <c r="C4463" s="1">
        <v>0.0</v>
      </c>
      <c r="D4463" s="1" t="s">
        <v>26</v>
      </c>
      <c r="E4463" s="1" t="s">
        <v>26</v>
      </c>
      <c r="F4463" s="1">
        <v>29.0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1">
        <v>94.2</v>
      </c>
      <c r="T4463" s="1">
        <v>2607.6</v>
      </c>
      <c r="U4463" s="1">
        <v>3.0</v>
      </c>
      <c r="V4463" s="1">
        <v>0.0</v>
      </c>
      <c r="W4463" s="1" t="s">
        <v>26</v>
      </c>
    </row>
    <row r="4464" ht="15.75" customHeight="1">
      <c r="A4464" s="1" t="s">
        <v>4501</v>
      </c>
      <c r="B4464" s="1" t="s">
        <v>24</v>
      </c>
      <c r="C4464" s="1">
        <v>0.0</v>
      </c>
      <c r="D4464" s="1" t="s">
        <v>26</v>
      </c>
      <c r="E4464" s="1" t="s">
        <v>26</v>
      </c>
      <c r="F4464" s="1">
        <v>16.0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1">
        <v>88.45</v>
      </c>
      <c r="T4464" s="1">
        <v>1422.1</v>
      </c>
      <c r="U4464" s="1">
        <v>0.0</v>
      </c>
      <c r="V4464" s="1">
        <v>0.0</v>
      </c>
      <c r="W4464" s="1" t="s">
        <v>25</v>
      </c>
    </row>
    <row r="4465" ht="15.75" customHeight="1">
      <c r="A4465" s="1" t="s">
        <v>4502</v>
      </c>
      <c r="B4465" s="1" t="s">
        <v>32</v>
      </c>
      <c r="C4465" s="1">
        <v>0.0</v>
      </c>
      <c r="D4465" s="1" t="s">
        <v>26</v>
      </c>
      <c r="E4465" s="1" t="s">
        <v>26</v>
      </c>
      <c r="F4465" s="1">
        <v>1.0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1">
        <v>69.85</v>
      </c>
      <c r="T4465" s="1">
        <v>69.85</v>
      </c>
      <c r="U4465" s="1">
        <v>0.0</v>
      </c>
      <c r="V4465" s="1">
        <v>0.0</v>
      </c>
      <c r="W4465" s="1" t="s">
        <v>25</v>
      </c>
    </row>
    <row r="4466" ht="15.75" customHeight="1">
      <c r="A4466" s="1" t="s">
        <v>4503</v>
      </c>
      <c r="B4466" s="1" t="s">
        <v>32</v>
      </c>
      <c r="C4466" s="1">
        <v>0.0</v>
      </c>
      <c r="D4466" s="1" t="s">
        <v>26</v>
      </c>
      <c r="E4466" s="1" t="s">
        <v>26</v>
      </c>
      <c r="F4466" s="1">
        <v>12.0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1">
        <v>81.7</v>
      </c>
      <c r="T4466" s="1">
        <v>858.6</v>
      </c>
      <c r="U4466" s="1">
        <v>0.0</v>
      </c>
      <c r="V4466" s="1">
        <v>2.0</v>
      </c>
      <c r="W4466" s="1" t="s">
        <v>25</v>
      </c>
    </row>
    <row r="4467" ht="15.75" customHeight="1">
      <c r="A4467" s="1" t="s">
        <v>4504</v>
      </c>
      <c r="B4467" s="1" t="s">
        <v>32</v>
      </c>
      <c r="C4467" s="1">
        <v>0.0</v>
      </c>
      <c r="D4467" s="1" t="s">
        <v>26</v>
      </c>
      <c r="E4467" s="1" t="s">
        <v>26</v>
      </c>
      <c r="F4467" s="1">
        <v>31.0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1">
        <v>50.05</v>
      </c>
      <c r="T4467" s="1">
        <v>1523.4</v>
      </c>
      <c r="U4467" s="1">
        <v>5.0</v>
      </c>
      <c r="V4467" s="1">
        <v>0.0</v>
      </c>
      <c r="W4467" s="1" t="s">
        <v>26</v>
      </c>
    </row>
    <row r="4468" ht="15.75" customHeight="1">
      <c r="A4468" s="1" t="s">
        <v>4505</v>
      </c>
      <c r="B4468" s="1" t="s">
        <v>32</v>
      </c>
      <c r="C4468" s="1">
        <v>0.0</v>
      </c>
      <c r="D4468" s="1" t="s">
        <v>26</v>
      </c>
      <c r="E4468" s="1" t="s">
        <v>26</v>
      </c>
      <c r="F4468" s="1">
        <v>4.0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1">
        <v>79.9</v>
      </c>
      <c r="T4468" s="1">
        <v>324.3</v>
      </c>
      <c r="U4468" s="1">
        <v>0.0</v>
      </c>
      <c r="V4468" s="1">
        <v>0.0</v>
      </c>
      <c r="W4468" s="1" t="s">
        <v>25</v>
      </c>
    </row>
    <row r="4469" ht="15.75" customHeight="1">
      <c r="A4469" s="1" t="s">
        <v>4506</v>
      </c>
      <c r="B4469" s="1" t="s">
        <v>24</v>
      </c>
      <c r="C4469" s="1">
        <v>0.0</v>
      </c>
      <c r="D4469" s="1" t="s">
        <v>25</v>
      </c>
      <c r="E4469" s="1" t="s">
        <v>26</v>
      </c>
      <c r="F4469" s="1">
        <v>48.0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1">
        <v>69.55</v>
      </c>
      <c r="T4469" s="1">
        <v>3435.6</v>
      </c>
      <c r="U4469" s="1">
        <v>0.0</v>
      </c>
      <c r="V4469" s="1">
        <v>0.0</v>
      </c>
      <c r="W4469" s="1" t="s">
        <v>26</v>
      </c>
    </row>
    <row r="4470" ht="15.75" customHeight="1">
      <c r="A4470" s="1" t="s">
        <v>4507</v>
      </c>
      <c r="B4470" s="1" t="s">
        <v>24</v>
      </c>
      <c r="C4470" s="1">
        <v>0.0</v>
      </c>
      <c r="D4470" s="1" t="s">
        <v>26</v>
      </c>
      <c r="E4470" s="1" t="s">
        <v>26</v>
      </c>
      <c r="F4470" s="1">
        <v>15.0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1">
        <v>25.4</v>
      </c>
      <c r="T4470" s="1">
        <v>399.6</v>
      </c>
      <c r="U4470" s="1">
        <v>0.0</v>
      </c>
      <c r="V4470" s="1">
        <v>0.0</v>
      </c>
      <c r="W4470" s="1" t="s">
        <v>25</v>
      </c>
    </row>
    <row r="4471" ht="15.75" customHeight="1">
      <c r="A4471" s="1" t="s">
        <v>4508</v>
      </c>
      <c r="B4471" s="1" t="s">
        <v>32</v>
      </c>
      <c r="C4471" s="1">
        <v>0.0</v>
      </c>
      <c r="D4471" s="1" t="s">
        <v>26</v>
      </c>
      <c r="E4471" s="1" t="s">
        <v>26</v>
      </c>
      <c r="F4471" s="1">
        <v>50.0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1">
        <v>90.1</v>
      </c>
      <c r="T4471" s="1">
        <v>4549.45</v>
      </c>
      <c r="U4471" s="1">
        <v>0.0</v>
      </c>
      <c r="V4471" s="1">
        <v>0.0</v>
      </c>
      <c r="W4471" s="1" t="s">
        <v>26</v>
      </c>
    </row>
    <row r="4472" ht="15.75" customHeight="1">
      <c r="A4472" s="1" t="s">
        <v>4509</v>
      </c>
      <c r="B4472" s="1" t="s">
        <v>32</v>
      </c>
      <c r="C4472" s="1">
        <v>0.0</v>
      </c>
      <c r="D4472" s="1" t="s">
        <v>26</v>
      </c>
      <c r="E4472" s="1" t="s">
        <v>26</v>
      </c>
      <c r="F4472" s="1">
        <v>7.0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1">
        <v>44.65</v>
      </c>
      <c r="T4472" s="1">
        <v>322.5</v>
      </c>
      <c r="U4472" s="1">
        <v>0.0</v>
      </c>
      <c r="V4472" s="1">
        <v>0.0</v>
      </c>
      <c r="W4472" s="1" t="s">
        <v>26</v>
      </c>
    </row>
    <row r="4473" ht="15.75" customHeight="1">
      <c r="A4473" s="1" t="s">
        <v>4510</v>
      </c>
      <c r="B4473" s="1" t="s">
        <v>32</v>
      </c>
      <c r="C4473" s="1">
        <v>1.0</v>
      </c>
      <c r="D4473" s="1" t="s">
        <v>25</v>
      </c>
      <c r="E4473" s="1" t="s">
        <v>26</v>
      </c>
      <c r="F4473" s="1">
        <v>41.0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1">
        <v>83.75</v>
      </c>
      <c r="T4473" s="1">
        <v>3273.55</v>
      </c>
      <c r="U4473" s="1">
        <v>0.0</v>
      </c>
      <c r="V4473" s="1">
        <v>4.0</v>
      </c>
      <c r="W4473" s="1" t="s">
        <v>25</v>
      </c>
    </row>
    <row r="4474" ht="15.75" customHeight="1">
      <c r="A4474" s="1" t="s">
        <v>4511</v>
      </c>
      <c r="B4474" s="1" t="s">
        <v>32</v>
      </c>
      <c r="C4474" s="1">
        <v>0.0</v>
      </c>
      <c r="D4474" s="1" t="s">
        <v>25</v>
      </c>
      <c r="E4474" s="1" t="s">
        <v>25</v>
      </c>
      <c r="F4474" s="1">
        <v>68.0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1">
        <v>80.35</v>
      </c>
      <c r="T4474" s="1">
        <v>5375.15</v>
      </c>
      <c r="U4474" s="1">
        <v>1.0</v>
      </c>
      <c r="V4474" s="1">
        <v>0.0</v>
      </c>
      <c r="W4474" s="1" t="s">
        <v>26</v>
      </c>
    </row>
    <row r="4475" ht="15.75" customHeight="1">
      <c r="A4475" s="1" t="s">
        <v>4512</v>
      </c>
      <c r="B4475" s="1" t="s">
        <v>24</v>
      </c>
      <c r="C4475" s="1">
        <v>1.0</v>
      </c>
      <c r="D4475" s="1" t="s">
        <v>25</v>
      </c>
      <c r="E4475" s="1" t="s">
        <v>26</v>
      </c>
      <c r="F4475" s="1">
        <v>26.0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1">
        <v>98.1</v>
      </c>
      <c r="T4475" s="1">
        <v>2510.7</v>
      </c>
      <c r="U4475" s="1">
        <v>0.0</v>
      </c>
      <c r="V4475" s="1">
        <v>0.0</v>
      </c>
      <c r="W4475" s="1" t="s">
        <v>26</v>
      </c>
    </row>
    <row r="4476" ht="15.75" customHeight="1">
      <c r="A4476" s="1" t="s">
        <v>4513</v>
      </c>
      <c r="B4476" s="1" t="s">
        <v>32</v>
      </c>
      <c r="C4476" s="1">
        <v>0.0</v>
      </c>
      <c r="D4476" s="1" t="s">
        <v>26</v>
      </c>
      <c r="E4476" s="1" t="s">
        <v>26</v>
      </c>
      <c r="F4476" s="1">
        <v>57.0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1">
        <v>53.35</v>
      </c>
      <c r="T4476" s="1">
        <v>3090.05</v>
      </c>
      <c r="U4476" s="1">
        <v>0.0</v>
      </c>
      <c r="V4476" s="1">
        <v>0.0</v>
      </c>
      <c r="W4476" s="1" t="s">
        <v>26</v>
      </c>
    </row>
    <row r="4477" ht="15.75" customHeight="1">
      <c r="A4477" s="1" t="s">
        <v>4514</v>
      </c>
      <c r="B4477" s="1" t="s">
        <v>24</v>
      </c>
      <c r="C4477" s="1">
        <v>0.0</v>
      </c>
      <c r="D4477" s="1" t="s">
        <v>26</v>
      </c>
      <c r="E4477" s="1" t="s">
        <v>26</v>
      </c>
      <c r="F4477" s="1">
        <v>3.0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1">
        <v>19.55</v>
      </c>
      <c r="T4477" s="1">
        <v>61.05</v>
      </c>
      <c r="U4477" s="1">
        <v>0.0</v>
      </c>
      <c r="V4477" s="1">
        <v>0.0</v>
      </c>
      <c r="W4477" s="1" t="s">
        <v>26</v>
      </c>
    </row>
    <row r="4478" ht="15.75" customHeight="1">
      <c r="A4478" s="1" t="s">
        <v>4515</v>
      </c>
      <c r="B4478" s="1" t="s">
        <v>24</v>
      </c>
      <c r="C4478" s="1">
        <v>0.0</v>
      </c>
      <c r="D4478" s="1" t="s">
        <v>26</v>
      </c>
      <c r="E4478" s="1" t="s">
        <v>26</v>
      </c>
      <c r="F4478" s="1">
        <v>1.0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1">
        <v>20.9</v>
      </c>
      <c r="T4478" s="1">
        <v>20.9</v>
      </c>
      <c r="U4478" s="1">
        <v>0.0</v>
      </c>
      <c r="V4478" s="1">
        <v>0.0</v>
      </c>
      <c r="W4478" s="1" t="s">
        <v>25</v>
      </c>
    </row>
    <row r="4479" ht="15.75" customHeight="1">
      <c r="A4479" s="1" t="s">
        <v>4516</v>
      </c>
      <c r="B4479" s="1" t="s">
        <v>32</v>
      </c>
      <c r="C4479" s="1">
        <v>0.0</v>
      </c>
      <c r="D4479" s="1" t="s">
        <v>25</v>
      </c>
      <c r="E4479" s="1" t="s">
        <v>25</v>
      </c>
      <c r="F4479" s="1">
        <v>19.0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1">
        <v>48.95</v>
      </c>
      <c r="T4479" s="1">
        <v>955.6</v>
      </c>
      <c r="U4479" s="1">
        <v>0.0</v>
      </c>
      <c r="V4479" s="1">
        <v>0.0</v>
      </c>
      <c r="W4479" s="1" t="s">
        <v>26</v>
      </c>
    </row>
    <row r="4480" ht="15.75" customHeight="1">
      <c r="A4480" s="1" t="s">
        <v>4517</v>
      </c>
      <c r="B4480" s="1" t="s">
        <v>24</v>
      </c>
      <c r="C4480" s="1">
        <v>0.0</v>
      </c>
      <c r="D4480" s="1" t="s">
        <v>26</v>
      </c>
      <c r="E4480" s="1" t="s">
        <v>26</v>
      </c>
      <c r="F4480" s="1">
        <v>3.0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1">
        <v>54.2</v>
      </c>
      <c r="T4480" s="1">
        <v>140.4</v>
      </c>
      <c r="U4480" s="1">
        <v>2.0</v>
      </c>
      <c r="V4480" s="1">
        <v>0.0</v>
      </c>
      <c r="W4480" s="1" t="s">
        <v>26</v>
      </c>
    </row>
    <row r="4481" ht="15.75" customHeight="1">
      <c r="A4481" s="1" t="s">
        <v>4518</v>
      </c>
      <c r="B4481" s="1" t="s">
        <v>24</v>
      </c>
      <c r="C4481" s="1">
        <v>0.0</v>
      </c>
      <c r="D4481" s="1" t="s">
        <v>26</v>
      </c>
      <c r="E4481" s="1" t="s">
        <v>26</v>
      </c>
      <c r="F4481" s="1">
        <v>59.0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1">
        <v>24.45</v>
      </c>
      <c r="T4481" s="1">
        <v>1493.1</v>
      </c>
      <c r="U4481" s="1">
        <v>0.0</v>
      </c>
      <c r="V4481" s="1">
        <v>0.0</v>
      </c>
      <c r="W4481" s="1" t="s">
        <v>26</v>
      </c>
    </row>
    <row r="4482" ht="15.75" customHeight="1">
      <c r="A4482" s="1" t="s">
        <v>4519</v>
      </c>
      <c r="B4482" s="1" t="s">
        <v>24</v>
      </c>
      <c r="C4482" s="1">
        <v>0.0</v>
      </c>
      <c r="D4482" s="1" t="s">
        <v>25</v>
      </c>
      <c r="E4482" s="1" t="s">
        <v>26</v>
      </c>
      <c r="F4482" s="1">
        <v>1.0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1">
        <v>69.4</v>
      </c>
      <c r="T4482" s="1">
        <v>69.4</v>
      </c>
      <c r="U4482" s="1">
        <v>0.0</v>
      </c>
      <c r="V4482" s="1">
        <v>0.0</v>
      </c>
      <c r="W4482" s="1" t="s">
        <v>25</v>
      </c>
    </row>
    <row r="4483" ht="15.75" customHeight="1">
      <c r="A4483" s="1" t="s">
        <v>4520</v>
      </c>
      <c r="B4483" s="1" t="s">
        <v>32</v>
      </c>
      <c r="C4483" s="1">
        <v>0.0</v>
      </c>
      <c r="D4483" s="1" t="s">
        <v>25</v>
      </c>
      <c r="E4483" s="1" t="s">
        <v>26</v>
      </c>
      <c r="F4483" s="1">
        <v>42.0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1">
        <v>40.15</v>
      </c>
      <c r="T4483" s="1">
        <v>1626.05</v>
      </c>
      <c r="U4483" s="1">
        <v>0.0</v>
      </c>
      <c r="V4483" s="1">
        <v>0.0</v>
      </c>
      <c r="W4483" s="1" t="s">
        <v>26</v>
      </c>
    </row>
    <row r="4484" ht="15.75" customHeight="1">
      <c r="A4484" s="1" t="s">
        <v>4521</v>
      </c>
      <c r="B4484" s="1" t="s">
        <v>24</v>
      </c>
      <c r="C4484" s="1">
        <v>0.0</v>
      </c>
      <c r="D4484" s="1" t="s">
        <v>26</v>
      </c>
      <c r="E4484" s="1" t="s">
        <v>26</v>
      </c>
      <c r="F4484" s="1">
        <v>7.0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1">
        <v>74.9</v>
      </c>
      <c r="T4484" s="1">
        <v>541.15</v>
      </c>
      <c r="U4484" s="1">
        <v>0.0</v>
      </c>
      <c r="V4484" s="1">
        <v>0.0</v>
      </c>
      <c r="W4484" s="1" t="s">
        <v>25</v>
      </c>
    </row>
    <row r="4485" ht="15.75" customHeight="1">
      <c r="A4485" s="1" t="s">
        <v>4522</v>
      </c>
      <c r="B4485" s="1" t="s">
        <v>32</v>
      </c>
      <c r="C4485" s="1">
        <v>0.0</v>
      </c>
      <c r="D4485" s="1" t="s">
        <v>25</v>
      </c>
      <c r="E4485" s="1" t="s">
        <v>26</v>
      </c>
      <c r="F4485" s="1">
        <v>67.0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1">
        <v>25.6</v>
      </c>
      <c r="T4485" s="1">
        <v>1784.9</v>
      </c>
      <c r="U4485" s="1">
        <v>0.0</v>
      </c>
      <c r="V4485" s="1">
        <v>5.0</v>
      </c>
      <c r="W4485" s="1" t="s">
        <v>26</v>
      </c>
    </row>
    <row r="4486" ht="15.75" customHeight="1">
      <c r="A4486" s="1" t="s">
        <v>4523</v>
      </c>
      <c r="B4486" s="1" t="s">
        <v>32</v>
      </c>
      <c r="C4486" s="1">
        <v>0.0</v>
      </c>
      <c r="D4486" s="1" t="s">
        <v>26</v>
      </c>
      <c r="E4486" s="1" t="s">
        <v>26</v>
      </c>
      <c r="F4486" s="1">
        <v>1.0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1">
        <v>70.35</v>
      </c>
      <c r="T4486" s="1">
        <v>70.35</v>
      </c>
      <c r="U4486" s="1">
        <v>0.0</v>
      </c>
      <c r="V4486" s="1">
        <v>0.0</v>
      </c>
      <c r="W4486" s="1" t="s">
        <v>26</v>
      </c>
    </row>
    <row r="4487" ht="15.75" customHeight="1">
      <c r="A4487" s="1" t="s">
        <v>4524</v>
      </c>
      <c r="B4487" s="1" t="s">
        <v>32</v>
      </c>
      <c r="C4487" s="1">
        <v>0.0</v>
      </c>
      <c r="D4487" s="1" t="s">
        <v>25</v>
      </c>
      <c r="E4487" s="1" t="s">
        <v>26</v>
      </c>
      <c r="F4487" s="1">
        <v>66.0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1">
        <v>91.7</v>
      </c>
      <c r="T4487" s="1">
        <v>6075.9</v>
      </c>
      <c r="U4487" s="1">
        <v>0.0</v>
      </c>
      <c r="V4487" s="1">
        <v>0.0</v>
      </c>
      <c r="W4487" s="1" t="s">
        <v>26</v>
      </c>
    </row>
    <row r="4488" ht="15.75" customHeight="1">
      <c r="A4488" s="1" t="s">
        <v>4525</v>
      </c>
      <c r="B4488" s="1" t="s">
        <v>24</v>
      </c>
      <c r="C4488" s="1">
        <v>0.0</v>
      </c>
      <c r="D4488" s="1" t="s">
        <v>26</v>
      </c>
      <c r="E4488" s="1" t="s">
        <v>26</v>
      </c>
      <c r="F4488" s="1">
        <v>61.0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1">
        <v>89.2</v>
      </c>
      <c r="T4488" s="1">
        <v>5500.6</v>
      </c>
      <c r="U4488" s="1">
        <v>0.0</v>
      </c>
      <c r="V4488" s="1">
        <v>0.0</v>
      </c>
      <c r="W4488" s="1" t="s">
        <v>26</v>
      </c>
    </row>
    <row r="4489" ht="15.75" customHeight="1">
      <c r="A4489" s="1" t="s">
        <v>4526</v>
      </c>
      <c r="B4489" s="1" t="s">
        <v>32</v>
      </c>
      <c r="C4489" s="1">
        <v>0.0</v>
      </c>
      <c r="D4489" s="1" t="s">
        <v>25</v>
      </c>
      <c r="E4489" s="1" t="s">
        <v>25</v>
      </c>
      <c r="F4489" s="1">
        <v>4.0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1">
        <v>24.1</v>
      </c>
      <c r="T4489" s="1">
        <v>73.1</v>
      </c>
      <c r="U4489" s="1">
        <v>3.0</v>
      </c>
      <c r="V4489" s="1">
        <v>0.0</v>
      </c>
      <c r="W4489" s="1" t="s">
        <v>26</v>
      </c>
    </row>
    <row r="4490" ht="15.75" customHeight="1">
      <c r="A4490" s="1" t="s">
        <v>4527</v>
      </c>
      <c r="B4490" s="1" t="s">
        <v>24</v>
      </c>
      <c r="C4490" s="1">
        <v>1.0</v>
      </c>
      <c r="D4490" s="1" t="s">
        <v>25</v>
      </c>
      <c r="E4490" s="1" t="s">
        <v>26</v>
      </c>
      <c r="F4490" s="1">
        <v>42.0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1">
        <v>74.15</v>
      </c>
      <c r="T4490" s="1">
        <v>3229.4</v>
      </c>
      <c r="U4490" s="1">
        <v>5.0</v>
      </c>
      <c r="V4490" s="1">
        <v>0.0</v>
      </c>
      <c r="W4490" s="1" t="s">
        <v>25</v>
      </c>
    </row>
    <row r="4491" ht="15.75" customHeight="1">
      <c r="A4491" s="1" t="s">
        <v>4528</v>
      </c>
      <c r="B4491" s="1" t="s">
        <v>24</v>
      </c>
      <c r="C4491" s="1">
        <v>0.0</v>
      </c>
      <c r="D4491" s="1" t="s">
        <v>25</v>
      </c>
      <c r="E4491" s="1" t="s">
        <v>25</v>
      </c>
      <c r="F4491" s="1">
        <v>64.0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1">
        <v>53.85</v>
      </c>
      <c r="T4491" s="1">
        <v>3399.85</v>
      </c>
      <c r="U4491" s="1">
        <v>0.0</v>
      </c>
      <c r="V4491" s="1">
        <v>0.0</v>
      </c>
      <c r="W4491" s="1" t="s">
        <v>26</v>
      </c>
    </row>
    <row r="4492" ht="15.75" customHeight="1">
      <c r="A4492" s="1" t="s">
        <v>4529</v>
      </c>
      <c r="B4492" s="1" t="s">
        <v>24</v>
      </c>
      <c r="C4492" s="1">
        <v>1.0</v>
      </c>
      <c r="D4492" s="1" t="s">
        <v>25</v>
      </c>
      <c r="E4492" s="1" t="s">
        <v>26</v>
      </c>
      <c r="F4492" s="1">
        <v>54.0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1">
        <v>115.6</v>
      </c>
      <c r="T4492" s="1">
        <v>6431.05</v>
      </c>
      <c r="U4492" s="1">
        <v>3.0</v>
      </c>
      <c r="V4492" s="1">
        <v>0.0</v>
      </c>
      <c r="W4492" s="1" t="s">
        <v>26</v>
      </c>
    </row>
    <row r="4493" ht="15.75" customHeight="1">
      <c r="A4493" s="1" t="s">
        <v>4530</v>
      </c>
      <c r="B4493" s="1" t="s">
        <v>32</v>
      </c>
      <c r="C4493" s="1">
        <v>0.0</v>
      </c>
      <c r="D4493" s="1" t="s">
        <v>26</v>
      </c>
      <c r="E4493" s="1" t="s">
        <v>26</v>
      </c>
      <c r="F4493" s="1">
        <v>1.0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1">
        <v>19.75</v>
      </c>
      <c r="T4493" s="1">
        <v>19.75</v>
      </c>
      <c r="U4493" s="1">
        <v>5.0</v>
      </c>
      <c r="V4493" s="1">
        <v>0.0</v>
      </c>
      <c r="W4493" s="1" t="s">
        <v>26</v>
      </c>
    </row>
    <row r="4494" ht="15.75" customHeight="1">
      <c r="A4494" s="1" t="s">
        <v>4531</v>
      </c>
      <c r="B4494" s="1" t="s">
        <v>32</v>
      </c>
      <c r="C4494" s="1">
        <v>0.0</v>
      </c>
      <c r="D4494" s="1" t="s">
        <v>25</v>
      </c>
      <c r="E4494" s="1" t="s">
        <v>25</v>
      </c>
      <c r="F4494" s="1">
        <v>54.0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1">
        <v>24.05</v>
      </c>
      <c r="T4494" s="1">
        <v>1230.9</v>
      </c>
      <c r="U4494" s="1">
        <v>0.0</v>
      </c>
      <c r="V4494" s="1">
        <v>3.0</v>
      </c>
      <c r="W4494" s="1" t="s">
        <v>26</v>
      </c>
    </row>
    <row r="4495" ht="15.75" customHeight="1">
      <c r="A4495" s="1" t="s">
        <v>4532</v>
      </c>
      <c r="B4495" s="1" t="s">
        <v>24</v>
      </c>
      <c r="C4495" s="1">
        <v>0.0</v>
      </c>
      <c r="D4495" s="1" t="s">
        <v>26</v>
      </c>
      <c r="E4495" s="1" t="s">
        <v>25</v>
      </c>
      <c r="F4495" s="1">
        <v>18.0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1">
        <v>25.3</v>
      </c>
      <c r="T4495" s="1">
        <v>454.65</v>
      </c>
      <c r="U4495" s="1">
        <v>0.0</v>
      </c>
      <c r="V4495" s="1">
        <v>0.0</v>
      </c>
      <c r="W4495" s="1" t="s">
        <v>26</v>
      </c>
    </row>
    <row r="4496" ht="15.75" customHeight="1">
      <c r="A4496" s="1" t="s">
        <v>4533</v>
      </c>
      <c r="B4496" s="1" t="s">
        <v>32</v>
      </c>
      <c r="C4496" s="1">
        <v>0.0</v>
      </c>
      <c r="D4496" s="1" t="s">
        <v>26</v>
      </c>
      <c r="E4496" s="1" t="s">
        <v>26</v>
      </c>
      <c r="F4496" s="1">
        <v>3.0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1">
        <v>84.3</v>
      </c>
      <c r="T4496" s="1">
        <v>235.05</v>
      </c>
      <c r="U4496" s="1">
        <v>0.0</v>
      </c>
      <c r="V4496" s="1">
        <v>0.0</v>
      </c>
      <c r="W4496" s="1" t="s">
        <v>26</v>
      </c>
    </row>
    <row r="4497" ht="15.75" customHeight="1">
      <c r="A4497" s="1" t="s">
        <v>4534</v>
      </c>
      <c r="B4497" s="1" t="s">
        <v>24</v>
      </c>
      <c r="C4497" s="1">
        <v>0.0</v>
      </c>
      <c r="D4497" s="1" t="s">
        <v>26</v>
      </c>
      <c r="E4497" s="1" t="s">
        <v>26</v>
      </c>
      <c r="F4497" s="1">
        <v>1.0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1">
        <v>70.1</v>
      </c>
      <c r="T4497" s="1">
        <v>70.1</v>
      </c>
      <c r="U4497" s="1">
        <v>5.0</v>
      </c>
      <c r="V4497" s="1">
        <v>0.0</v>
      </c>
      <c r="W4497" s="1" t="s">
        <v>25</v>
      </c>
    </row>
    <row r="4498" ht="15.75" customHeight="1">
      <c r="A4498" s="1" t="s">
        <v>4535</v>
      </c>
      <c r="B4498" s="1" t="s">
        <v>24</v>
      </c>
      <c r="C4498" s="1">
        <v>0.0</v>
      </c>
      <c r="D4498" s="1" t="s">
        <v>25</v>
      </c>
      <c r="E4498" s="1" t="s">
        <v>25</v>
      </c>
      <c r="F4498" s="1">
        <v>72.0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1">
        <v>89.75</v>
      </c>
      <c r="T4498" s="1">
        <v>6595.9</v>
      </c>
      <c r="U4498" s="1">
        <v>0.0</v>
      </c>
      <c r="V4498" s="1">
        <v>0.0</v>
      </c>
      <c r="W4498" s="1" t="s">
        <v>26</v>
      </c>
    </row>
    <row r="4499" ht="15.75" customHeight="1">
      <c r="A4499" s="1" t="s">
        <v>4536</v>
      </c>
      <c r="B4499" s="1" t="s">
        <v>32</v>
      </c>
      <c r="C4499" s="1">
        <v>1.0</v>
      </c>
      <c r="D4499" s="1" t="s">
        <v>25</v>
      </c>
      <c r="E4499" s="1" t="s">
        <v>26</v>
      </c>
      <c r="F4499" s="1">
        <v>60.0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1">
        <v>97.95</v>
      </c>
      <c r="T4499" s="1">
        <v>5867.0</v>
      </c>
      <c r="U4499" s="1">
        <v>0.0</v>
      </c>
      <c r="V4499" s="1">
        <v>0.0</v>
      </c>
      <c r="W4499" s="1" t="s">
        <v>26</v>
      </c>
    </row>
    <row r="4500" ht="15.75" customHeight="1">
      <c r="A4500" s="1" t="s">
        <v>4537</v>
      </c>
      <c r="B4500" s="1" t="s">
        <v>24</v>
      </c>
      <c r="C4500" s="1">
        <v>0.0</v>
      </c>
      <c r="D4500" s="1" t="s">
        <v>25</v>
      </c>
      <c r="E4500" s="1" t="s">
        <v>25</v>
      </c>
      <c r="F4500" s="1">
        <v>11.0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1">
        <v>20.0</v>
      </c>
      <c r="T4500" s="1">
        <v>196.35</v>
      </c>
      <c r="U4500" s="1">
        <v>0.0</v>
      </c>
      <c r="V4500" s="1">
        <v>0.0</v>
      </c>
      <c r="W4500" s="1" t="s">
        <v>26</v>
      </c>
    </row>
    <row r="4501" ht="15.75" customHeight="1">
      <c r="A4501" s="1" t="s">
        <v>4538</v>
      </c>
      <c r="B4501" s="1" t="s">
        <v>24</v>
      </c>
      <c r="C4501" s="1">
        <v>0.0</v>
      </c>
      <c r="D4501" s="1" t="s">
        <v>26</v>
      </c>
      <c r="E4501" s="1" t="s">
        <v>25</v>
      </c>
      <c r="F4501" s="1">
        <v>12.0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1">
        <v>78.3</v>
      </c>
      <c r="T4501" s="1">
        <v>909.25</v>
      </c>
      <c r="U4501" s="1">
        <v>0.0</v>
      </c>
      <c r="V4501" s="1">
        <v>0.0</v>
      </c>
      <c r="W4501" s="1" t="s">
        <v>25</v>
      </c>
    </row>
    <row r="4502" ht="15.75" customHeight="1">
      <c r="A4502" s="1" t="s">
        <v>4539</v>
      </c>
      <c r="B4502" s="1" t="s">
        <v>32</v>
      </c>
      <c r="C4502" s="1">
        <v>0.0</v>
      </c>
      <c r="D4502" s="1" t="s">
        <v>25</v>
      </c>
      <c r="E4502" s="1" t="s">
        <v>25</v>
      </c>
      <c r="F4502" s="1">
        <v>61.0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1">
        <v>103.9</v>
      </c>
      <c r="T4502" s="1">
        <v>6449.15</v>
      </c>
      <c r="U4502" s="1">
        <v>0.0</v>
      </c>
      <c r="V4502" s="1">
        <v>0.0</v>
      </c>
      <c r="W4502" s="1" t="s">
        <v>26</v>
      </c>
    </row>
    <row r="4503" ht="15.75" customHeight="1">
      <c r="A4503" s="1" t="s">
        <v>4540</v>
      </c>
      <c r="B4503" s="1" t="s">
        <v>24</v>
      </c>
      <c r="C4503" s="1">
        <v>0.0</v>
      </c>
      <c r="D4503" s="1" t="s">
        <v>26</v>
      </c>
      <c r="E4503" s="1" t="s">
        <v>26</v>
      </c>
      <c r="F4503" s="1">
        <v>39.0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1">
        <v>20.7</v>
      </c>
      <c r="T4503" s="1">
        <v>762.45</v>
      </c>
      <c r="U4503" s="1">
        <v>0.0</v>
      </c>
      <c r="V4503" s="1">
        <v>0.0</v>
      </c>
      <c r="W4503" s="1" t="s">
        <v>26</v>
      </c>
    </row>
    <row r="4504" ht="15.75" customHeight="1">
      <c r="A4504" s="1" t="s">
        <v>4541</v>
      </c>
      <c r="B4504" s="1" t="s">
        <v>32</v>
      </c>
      <c r="C4504" s="1">
        <v>0.0</v>
      </c>
      <c r="D4504" s="1" t="s">
        <v>26</v>
      </c>
      <c r="E4504" s="1" t="s">
        <v>26</v>
      </c>
      <c r="F4504" s="1">
        <v>55.0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1">
        <v>96.8</v>
      </c>
      <c r="T4504" s="1">
        <v>5283.95</v>
      </c>
      <c r="U4504" s="1">
        <v>0.0</v>
      </c>
      <c r="V4504" s="1">
        <v>4.0</v>
      </c>
      <c r="W4504" s="1" t="s">
        <v>25</v>
      </c>
    </row>
    <row r="4505" ht="15.75" customHeight="1">
      <c r="A4505" s="1" t="s">
        <v>4542</v>
      </c>
      <c r="B4505" s="1" t="s">
        <v>24</v>
      </c>
      <c r="C4505" s="1">
        <v>0.0</v>
      </c>
      <c r="D4505" s="1" t="s">
        <v>26</v>
      </c>
      <c r="E4505" s="1" t="s">
        <v>26</v>
      </c>
      <c r="F4505" s="1">
        <v>17.0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1">
        <v>94.4</v>
      </c>
      <c r="T4505" s="1">
        <v>1617.5</v>
      </c>
      <c r="U4505" s="1">
        <v>0.0</v>
      </c>
      <c r="V4505" s="1">
        <v>2.0</v>
      </c>
      <c r="W4505" s="1" t="s">
        <v>25</v>
      </c>
    </row>
    <row r="4506" ht="15.75" customHeight="1">
      <c r="A4506" s="1" t="s">
        <v>4543</v>
      </c>
      <c r="B4506" s="1" t="s">
        <v>32</v>
      </c>
      <c r="C4506" s="1">
        <v>0.0</v>
      </c>
      <c r="D4506" s="1" t="s">
        <v>26</v>
      </c>
      <c r="E4506" s="1" t="s">
        <v>26</v>
      </c>
      <c r="F4506" s="1">
        <v>37.0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1">
        <v>20.15</v>
      </c>
      <c r="T4506" s="1">
        <v>785.75</v>
      </c>
      <c r="U4506" s="1">
        <v>0.0</v>
      </c>
      <c r="V4506" s="1">
        <v>0.0</v>
      </c>
      <c r="W4506" s="1" t="s">
        <v>26</v>
      </c>
    </row>
    <row r="4507" ht="15.75" customHeight="1">
      <c r="A4507" s="1" t="s">
        <v>4544</v>
      </c>
      <c r="B4507" s="1" t="s">
        <v>24</v>
      </c>
      <c r="C4507" s="1">
        <v>0.0</v>
      </c>
      <c r="D4507" s="1" t="s">
        <v>25</v>
      </c>
      <c r="E4507" s="1" t="s">
        <v>26</v>
      </c>
      <c r="F4507" s="1">
        <v>72.0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1">
        <v>26.0</v>
      </c>
      <c r="T4507" s="1">
        <v>1776.0</v>
      </c>
      <c r="U4507" s="1">
        <v>0.0</v>
      </c>
      <c r="V4507" s="1">
        <v>0.0</v>
      </c>
      <c r="W4507" s="1" t="s">
        <v>26</v>
      </c>
    </row>
    <row r="4508" ht="15.75" customHeight="1">
      <c r="A4508" s="1" t="s">
        <v>4545</v>
      </c>
      <c r="B4508" s="1" t="s">
        <v>32</v>
      </c>
      <c r="C4508" s="1">
        <v>1.0</v>
      </c>
      <c r="D4508" s="1" t="s">
        <v>25</v>
      </c>
      <c r="E4508" s="1" t="s">
        <v>26</v>
      </c>
      <c r="F4508" s="1">
        <v>72.0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1">
        <v>77.35</v>
      </c>
      <c r="T4508" s="1">
        <v>5396.25</v>
      </c>
      <c r="U4508" s="1">
        <v>0.0</v>
      </c>
      <c r="V4508" s="1">
        <v>0.0</v>
      </c>
      <c r="W4508" s="1" t="s">
        <v>26</v>
      </c>
    </row>
    <row r="4509" ht="15.75" customHeight="1">
      <c r="A4509" s="1" t="s">
        <v>4546</v>
      </c>
      <c r="B4509" s="1" t="s">
        <v>24</v>
      </c>
      <c r="C4509" s="1">
        <v>0.0</v>
      </c>
      <c r="D4509" s="1" t="s">
        <v>26</v>
      </c>
      <c r="E4509" s="1" t="s">
        <v>26</v>
      </c>
      <c r="F4509" s="1">
        <v>8.0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1">
        <v>66.05</v>
      </c>
      <c r="T4509" s="1">
        <v>574.5</v>
      </c>
      <c r="U4509" s="1">
        <v>2.0</v>
      </c>
      <c r="V4509" s="1">
        <v>0.0</v>
      </c>
      <c r="W4509" s="1" t="s">
        <v>26</v>
      </c>
    </row>
    <row r="4510" ht="15.75" customHeight="1">
      <c r="A4510" s="1" t="s">
        <v>4547</v>
      </c>
      <c r="B4510" s="1" t="s">
        <v>24</v>
      </c>
      <c r="C4510" s="1">
        <v>0.0</v>
      </c>
      <c r="D4510" s="1" t="s">
        <v>25</v>
      </c>
      <c r="E4510" s="1" t="s">
        <v>25</v>
      </c>
      <c r="F4510" s="1">
        <v>22.0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1">
        <v>19.9</v>
      </c>
      <c r="T4510" s="1">
        <v>400.3</v>
      </c>
      <c r="U4510" s="1">
        <v>0.0</v>
      </c>
      <c r="V4510" s="1">
        <v>0.0</v>
      </c>
      <c r="W4510" s="1" t="s">
        <v>26</v>
      </c>
    </row>
    <row r="4511" ht="15.75" customHeight="1">
      <c r="A4511" s="1" t="s">
        <v>4548</v>
      </c>
      <c r="B4511" s="1" t="s">
        <v>24</v>
      </c>
      <c r="C4511" s="1">
        <v>0.0</v>
      </c>
      <c r="D4511" s="1" t="s">
        <v>26</v>
      </c>
      <c r="E4511" s="1" t="s">
        <v>26</v>
      </c>
      <c r="F4511" s="1">
        <v>1.0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1">
        <v>84.3</v>
      </c>
      <c r="T4511" s="1">
        <v>84.3</v>
      </c>
      <c r="U4511" s="1">
        <v>2.0</v>
      </c>
      <c r="V4511" s="1">
        <v>0.0</v>
      </c>
      <c r="W4511" s="1" t="s">
        <v>25</v>
      </c>
    </row>
    <row r="4512" ht="15.75" customHeight="1">
      <c r="A4512" s="1" t="s">
        <v>4549</v>
      </c>
      <c r="B4512" s="1" t="s">
        <v>24</v>
      </c>
      <c r="C4512" s="1">
        <v>0.0</v>
      </c>
      <c r="D4512" s="1" t="s">
        <v>26</v>
      </c>
      <c r="E4512" s="1" t="s">
        <v>26</v>
      </c>
      <c r="F4512" s="1">
        <v>38.0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1">
        <v>68.15</v>
      </c>
      <c r="T4512" s="1">
        <v>2656.3</v>
      </c>
      <c r="U4512" s="1">
        <v>4.0</v>
      </c>
      <c r="V4512" s="1">
        <v>0.0</v>
      </c>
      <c r="W4512" s="1" t="s">
        <v>26</v>
      </c>
    </row>
    <row r="4513" ht="15.75" customHeight="1">
      <c r="A4513" s="1" t="s">
        <v>4550</v>
      </c>
      <c r="B4513" s="1" t="s">
        <v>32</v>
      </c>
      <c r="C4513" s="1">
        <v>0.0</v>
      </c>
      <c r="D4513" s="1" t="s">
        <v>26</v>
      </c>
      <c r="E4513" s="1" t="s">
        <v>25</v>
      </c>
      <c r="F4513" s="1">
        <v>17.0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1">
        <v>80.85</v>
      </c>
      <c r="T4513" s="1">
        <v>1445.95</v>
      </c>
      <c r="U4513" s="1">
        <v>0.0</v>
      </c>
      <c r="V4513" s="1">
        <v>0.0</v>
      </c>
      <c r="W4513" s="1" t="s">
        <v>26</v>
      </c>
    </row>
    <row r="4514" ht="15.75" customHeight="1">
      <c r="A4514" s="1" t="s">
        <v>4551</v>
      </c>
      <c r="B4514" s="1" t="s">
        <v>24</v>
      </c>
      <c r="C4514" s="1">
        <v>1.0</v>
      </c>
      <c r="D4514" s="1" t="s">
        <v>26</v>
      </c>
      <c r="E4514" s="1" t="s">
        <v>26</v>
      </c>
      <c r="F4514" s="1">
        <v>70.0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1">
        <v>75.5</v>
      </c>
      <c r="T4514" s="1">
        <v>5212.65</v>
      </c>
      <c r="U4514" s="1">
        <v>0.0</v>
      </c>
      <c r="V4514" s="1">
        <v>2.0</v>
      </c>
      <c r="W4514" s="1" t="s">
        <v>26</v>
      </c>
    </row>
    <row r="4515" ht="15.75" customHeight="1">
      <c r="A4515" s="1" t="s">
        <v>4552</v>
      </c>
      <c r="B4515" s="1" t="s">
        <v>24</v>
      </c>
      <c r="C4515" s="1">
        <v>1.0</v>
      </c>
      <c r="D4515" s="1" t="s">
        <v>25</v>
      </c>
      <c r="E4515" s="1" t="s">
        <v>25</v>
      </c>
      <c r="F4515" s="1">
        <v>72.0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1">
        <v>92.45</v>
      </c>
      <c r="T4515" s="1">
        <v>6440.25</v>
      </c>
      <c r="U4515" s="1">
        <v>0.0</v>
      </c>
      <c r="V4515" s="1">
        <v>8.0</v>
      </c>
      <c r="W4515" s="1" t="s">
        <v>25</v>
      </c>
    </row>
    <row r="4516" ht="15.75" customHeight="1">
      <c r="A4516" s="1" t="s">
        <v>4553</v>
      </c>
      <c r="B4516" s="1" t="s">
        <v>24</v>
      </c>
      <c r="C4516" s="1">
        <v>0.0</v>
      </c>
      <c r="D4516" s="1" t="s">
        <v>26</v>
      </c>
      <c r="E4516" s="1" t="s">
        <v>26</v>
      </c>
      <c r="F4516" s="1">
        <v>28.0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1">
        <v>80.6</v>
      </c>
      <c r="T4516" s="1">
        <v>2244.95</v>
      </c>
      <c r="U4516" s="1">
        <v>0.0</v>
      </c>
      <c r="V4516" s="1">
        <v>0.0</v>
      </c>
      <c r="W4516" s="1" t="s">
        <v>26</v>
      </c>
    </row>
    <row r="4517" ht="15.75" customHeight="1">
      <c r="A4517" s="1" t="s">
        <v>4554</v>
      </c>
      <c r="B4517" s="1" t="s">
        <v>24</v>
      </c>
      <c r="C4517" s="1">
        <v>0.0</v>
      </c>
      <c r="D4517" s="1" t="s">
        <v>26</v>
      </c>
      <c r="E4517" s="1" t="s">
        <v>26</v>
      </c>
      <c r="F4517" s="1">
        <v>15.0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1">
        <v>83.2</v>
      </c>
      <c r="T4517" s="1">
        <v>1130.0</v>
      </c>
      <c r="U4517" s="1">
        <v>0.0</v>
      </c>
      <c r="V4517" s="1">
        <v>0.0</v>
      </c>
      <c r="W4517" s="1" t="s">
        <v>26</v>
      </c>
    </row>
    <row r="4518" ht="15.75" customHeight="1">
      <c r="A4518" s="1" t="s">
        <v>4555</v>
      </c>
      <c r="B4518" s="1" t="s">
        <v>32</v>
      </c>
      <c r="C4518" s="1">
        <v>0.0</v>
      </c>
      <c r="D4518" s="1" t="s">
        <v>25</v>
      </c>
      <c r="E4518" s="1" t="s">
        <v>25</v>
      </c>
      <c r="F4518" s="1">
        <v>72.0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1">
        <v>87.55</v>
      </c>
      <c r="T4518" s="1">
        <v>6463.15</v>
      </c>
      <c r="U4518" s="1">
        <v>3.0</v>
      </c>
      <c r="V4518" s="1">
        <v>0.0</v>
      </c>
      <c r="W4518" s="1" t="s">
        <v>26</v>
      </c>
    </row>
    <row r="4519" ht="15.75" customHeight="1">
      <c r="A4519" s="1" t="s">
        <v>4556</v>
      </c>
      <c r="B4519" s="1" t="s">
        <v>24</v>
      </c>
      <c r="C4519" s="1">
        <v>1.0</v>
      </c>
      <c r="D4519" s="1" t="s">
        <v>25</v>
      </c>
      <c r="E4519" s="1" t="s">
        <v>26</v>
      </c>
      <c r="F4519" s="1">
        <v>11.0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1">
        <v>99.55</v>
      </c>
      <c r="T4519" s="1">
        <v>1131.2</v>
      </c>
      <c r="U4519" s="1">
        <v>0.0</v>
      </c>
      <c r="V4519" s="1">
        <v>1.0</v>
      </c>
      <c r="W4519" s="1" t="s">
        <v>25</v>
      </c>
    </row>
    <row r="4520" ht="15.75" customHeight="1">
      <c r="A4520" s="1" t="s">
        <v>4557</v>
      </c>
      <c r="B4520" s="1" t="s">
        <v>32</v>
      </c>
      <c r="C4520" s="1">
        <v>1.0</v>
      </c>
      <c r="D4520" s="1" t="s">
        <v>26</v>
      </c>
      <c r="E4520" s="1" t="s">
        <v>26</v>
      </c>
      <c r="F4520" s="1">
        <v>8.0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1">
        <v>81.25</v>
      </c>
      <c r="T4520" s="1">
        <v>585.95</v>
      </c>
      <c r="U4520" s="1">
        <v>0.0</v>
      </c>
      <c r="V4520" s="1">
        <v>0.0</v>
      </c>
      <c r="W4520" s="1" t="s">
        <v>25</v>
      </c>
    </row>
    <row r="4521" ht="15.75" customHeight="1">
      <c r="A4521" s="1" t="s">
        <v>4558</v>
      </c>
      <c r="B4521" s="1" t="s">
        <v>24</v>
      </c>
      <c r="C4521" s="1">
        <v>0.0</v>
      </c>
      <c r="D4521" s="1" t="s">
        <v>25</v>
      </c>
      <c r="E4521" s="1" t="s">
        <v>26</v>
      </c>
      <c r="F4521" s="1">
        <v>57.0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1">
        <v>109.4</v>
      </c>
      <c r="T4521" s="1">
        <v>6252.7</v>
      </c>
      <c r="U4521" s="1">
        <v>0.0</v>
      </c>
      <c r="V4521" s="1">
        <v>0.0</v>
      </c>
      <c r="W4521" s="1" t="s">
        <v>26</v>
      </c>
    </row>
    <row r="4522" ht="15.75" customHeight="1">
      <c r="A4522" s="1" t="s">
        <v>4559</v>
      </c>
      <c r="B4522" s="1" t="s">
        <v>32</v>
      </c>
      <c r="C4522" s="1">
        <v>0.0</v>
      </c>
      <c r="D4522" s="1" t="s">
        <v>25</v>
      </c>
      <c r="E4522" s="1" t="s">
        <v>25</v>
      </c>
      <c r="F4522" s="1">
        <v>1.0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1">
        <v>19.95</v>
      </c>
      <c r="T4522" s="1">
        <v>19.95</v>
      </c>
      <c r="U4522" s="1">
        <v>1.0</v>
      </c>
      <c r="V4522" s="1">
        <v>0.0</v>
      </c>
      <c r="W4522" s="1" t="s">
        <v>25</v>
      </c>
    </row>
    <row r="4523" ht="15.75" customHeight="1">
      <c r="A4523" s="1" t="s">
        <v>4560</v>
      </c>
      <c r="B4523" s="1" t="s">
        <v>24</v>
      </c>
      <c r="C4523" s="1">
        <v>0.0</v>
      </c>
      <c r="D4523" s="1" t="s">
        <v>25</v>
      </c>
      <c r="E4523" s="1" t="s">
        <v>26</v>
      </c>
      <c r="F4523" s="1">
        <v>46.0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1">
        <v>45.55</v>
      </c>
      <c r="T4523" s="1">
        <v>2062.15</v>
      </c>
      <c r="U4523" s="1">
        <v>0.0</v>
      </c>
      <c r="V4523" s="1">
        <v>0.0</v>
      </c>
      <c r="W4523" s="1" t="s">
        <v>26</v>
      </c>
    </row>
    <row r="4524" ht="15.75" customHeight="1">
      <c r="A4524" s="1" t="s">
        <v>4561</v>
      </c>
      <c r="B4524" s="1" t="s">
        <v>32</v>
      </c>
      <c r="C4524" s="1">
        <v>0.0</v>
      </c>
      <c r="D4524" s="1" t="s">
        <v>25</v>
      </c>
      <c r="E4524" s="1" t="s">
        <v>26</v>
      </c>
      <c r="F4524" s="1">
        <v>30.0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1">
        <v>20.7</v>
      </c>
      <c r="T4524" s="1">
        <v>587.1</v>
      </c>
      <c r="U4524" s="1">
        <v>0.0</v>
      </c>
      <c r="V4524" s="1">
        <v>0.0</v>
      </c>
      <c r="W4524" s="1" t="s">
        <v>26</v>
      </c>
    </row>
    <row r="4525" ht="15.75" customHeight="1">
      <c r="A4525" s="1" t="s">
        <v>4562</v>
      </c>
      <c r="B4525" s="1" t="s">
        <v>32</v>
      </c>
      <c r="C4525" s="1">
        <v>1.0</v>
      </c>
      <c r="D4525" s="1" t="s">
        <v>25</v>
      </c>
      <c r="E4525" s="1" t="s">
        <v>26</v>
      </c>
      <c r="F4525" s="1">
        <v>10.0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1">
        <v>75.3</v>
      </c>
      <c r="T4525" s="1">
        <v>720.45</v>
      </c>
      <c r="U4525" s="1">
        <v>3.0</v>
      </c>
      <c r="V4525" s="1">
        <v>0.0</v>
      </c>
      <c r="W4525" s="1" t="s">
        <v>26</v>
      </c>
    </row>
    <row r="4526" ht="15.75" customHeight="1">
      <c r="A4526" s="1" t="s">
        <v>4563</v>
      </c>
      <c r="B4526" s="1" t="s">
        <v>32</v>
      </c>
      <c r="C4526" s="1">
        <v>0.0</v>
      </c>
      <c r="D4526" s="1" t="s">
        <v>25</v>
      </c>
      <c r="E4526" s="1" t="s">
        <v>26</v>
      </c>
      <c r="F4526" s="1">
        <v>23.0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1">
        <v>99.25</v>
      </c>
      <c r="T4526" s="1">
        <v>2186.4</v>
      </c>
      <c r="U4526" s="1">
        <v>0.0</v>
      </c>
      <c r="V4526" s="1">
        <v>2.0</v>
      </c>
      <c r="W4526" s="1" t="s">
        <v>25</v>
      </c>
    </row>
    <row r="4527" ht="15.75" customHeight="1">
      <c r="A4527" s="1" t="s">
        <v>4564</v>
      </c>
      <c r="B4527" s="1" t="s">
        <v>32</v>
      </c>
      <c r="C4527" s="1">
        <v>0.0</v>
      </c>
      <c r="D4527" s="1" t="s">
        <v>26</v>
      </c>
      <c r="E4527" s="1" t="s">
        <v>26</v>
      </c>
      <c r="F4527" s="1">
        <v>32.0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1">
        <v>93.4</v>
      </c>
      <c r="T4527" s="1">
        <v>2979.3</v>
      </c>
      <c r="U4527" s="1">
        <v>0.0</v>
      </c>
      <c r="V4527" s="1">
        <v>0.0</v>
      </c>
      <c r="W4527" s="1" t="s">
        <v>26</v>
      </c>
    </row>
    <row r="4528" ht="15.75" customHeight="1">
      <c r="A4528" s="1" t="s">
        <v>4565</v>
      </c>
      <c r="B4528" s="1" t="s">
        <v>32</v>
      </c>
      <c r="C4528" s="1">
        <v>0.0</v>
      </c>
      <c r="D4528" s="1" t="s">
        <v>26</v>
      </c>
      <c r="E4528" s="1" t="s">
        <v>26</v>
      </c>
      <c r="F4528" s="1">
        <v>13.0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1">
        <v>73.75</v>
      </c>
      <c r="T4528" s="1">
        <v>956.65</v>
      </c>
      <c r="U4528" s="1">
        <v>0.0</v>
      </c>
      <c r="V4528" s="1">
        <v>0.0</v>
      </c>
      <c r="W4528" s="1" t="s">
        <v>26</v>
      </c>
    </row>
    <row r="4529" ht="15.75" customHeight="1">
      <c r="A4529" s="1" t="s">
        <v>4566</v>
      </c>
      <c r="B4529" s="1" t="s">
        <v>24</v>
      </c>
      <c r="C4529" s="1">
        <v>0.0</v>
      </c>
      <c r="D4529" s="1" t="s">
        <v>26</v>
      </c>
      <c r="E4529" s="1" t="s">
        <v>26</v>
      </c>
      <c r="F4529" s="1">
        <v>39.0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1">
        <v>80.45</v>
      </c>
      <c r="T4529" s="1">
        <v>3201.55</v>
      </c>
      <c r="U4529" s="1">
        <v>0.0</v>
      </c>
      <c r="V4529" s="1">
        <v>1.0</v>
      </c>
      <c r="W4529" s="1" t="s">
        <v>25</v>
      </c>
    </row>
    <row r="4530" ht="15.75" customHeight="1">
      <c r="A4530" s="1" t="s">
        <v>4567</v>
      </c>
      <c r="B4530" s="1" t="s">
        <v>24</v>
      </c>
      <c r="C4530" s="1">
        <v>0.0</v>
      </c>
      <c r="D4530" s="1" t="s">
        <v>26</v>
      </c>
      <c r="E4530" s="1" t="s">
        <v>26</v>
      </c>
      <c r="F4530" s="1">
        <v>44.0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1">
        <v>88.15</v>
      </c>
      <c r="T4530" s="1">
        <v>3973.2</v>
      </c>
      <c r="U4530" s="1">
        <v>0.0</v>
      </c>
      <c r="V4530" s="1">
        <v>0.0</v>
      </c>
      <c r="W4530" s="1" t="s">
        <v>26</v>
      </c>
    </row>
    <row r="4531" ht="15.75" customHeight="1">
      <c r="A4531" s="1" t="s">
        <v>4568</v>
      </c>
      <c r="B4531" s="1" t="s">
        <v>32</v>
      </c>
      <c r="C4531" s="1">
        <v>1.0</v>
      </c>
      <c r="D4531" s="1" t="s">
        <v>26</v>
      </c>
      <c r="E4531" s="1" t="s">
        <v>26</v>
      </c>
      <c r="F4531" s="1">
        <v>9.0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1">
        <v>49.2</v>
      </c>
      <c r="T4531" s="1">
        <v>447.9</v>
      </c>
      <c r="U4531" s="1">
        <v>0.0</v>
      </c>
      <c r="V4531" s="1">
        <v>0.0</v>
      </c>
      <c r="W4531" s="1" t="s">
        <v>26</v>
      </c>
    </row>
    <row r="4532" ht="15.75" customHeight="1">
      <c r="A4532" s="1" t="s">
        <v>4569</v>
      </c>
      <c r="B4532" s="1" t="s">
        <v>24</v>
      </c>
      <c r="C4532" s="1">
        <v>0.0</v>
      </c>
      <c r="D4532" s="1" t="s">
        <v>25</v>
      </c>
      <c r="E4532" s="1" t="s">
        <v>26</v>
      </c>
      <c r="F4532" s="1">
        <v>67.0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1">
        <v>19.65</v>
      </c>
      <c r="T4532" s="1">
        <v>1335.2</v>
      </c>
      <c r="U4532" s="1">
        <v>0.0</v>
      </c>
      <c r="V4532" s="1">
        <v>0.0</v>
      </c>
      <c r="W4532" s="1" t="s">
        <v>26</v>
      </c>
    </row>
    <row r="4533" ht="15.75" customHeight="1">
      <c r="A4533" s="1" t="s">
        <v>4570</v>
      </c>
      <c r="B4533" s="1" t="s">
        <v>32</v>
      </c>
      <c r="C4533" s="1">
        <v>0.0</v>
      </c>
      <c r="D4533" s="1" t="s">
        <v>25</v>
      </c>
      <c r="E4533" s="1" t="s">
        <v>25</v>
      </c>
      <c r="F4533" s="1">
        <v>9.0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1">
        <v>79.35</v>
      </c>
      <c r="T4533" s="1">
        <v>661.25</v>
      </c>
      <c r="U4533" s="1">
        <v>0.0</v>
      </c>
      <c r="V4533" s="1">
        <v>0.0</v>
      </c>
      <c r="W4533" s="1" t="s">
        <v>25</v>
      </c>
    </row>
    <row r="4534" ht="15.75" customHeight="1">
      <c r="A4534" s="1" t="s">
        <v>4571</v>
      </c>
      <c r="B4534" s="1" t="s">
        <v>24</v>
      </c>
      <c r="C4534" s="1">
        <v>0.0</v>
      </c>
      <c r="D4534" s="1" t="s">
        <v>26</v>
      </c>
      <c r="E4534" s="1" t="s">
        <v>26</v>
      </c>
      <c r="F4534" s="1">
        <v>15.0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1">
        <v>79.75</v>
      </c>
      <c r="T4534" s="1">
        <v>1111.85</v>
      </c>
      <c r="U4534" s="1">
        <v>0.0</v>
      </c>
      <c r="V4534" s="1">
        <v>0.0</v>
      </c>
      <c r="W4534" s="1" t="s">
        <v>25</v>
      </c>
    </row>
    <row r="4535" ht="15.75" customHeight="1">
      <c r="A4535" s="1" t="s">
        <v>4572</v>
      </c>
      <c r="B4535" s="1" t="s">
        <v>24</v>
      </c>
      <c r="C4535" s="1">
        <v>0.0</v>
      </c>
      <c r="D4535" s="1" t="s">
        <v>25</v>
      </c>
      <c r="E4535" s="1" t="s">
        <v>26</v>
      </c>
      <c r="F4535" s="1">
        <v>71.0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1">
        <v>105.15</v>
      </c>
      <c r="T4535" s="1">
        <v>7555.0</v>
      </c>
      <c r="U4535" s="1">
        <v>0.0</v>
      </c>
      <c r="V4535" s="1">
        <v>0.0</v>
      </c>
      <c r="W4535" s="1" t="s">
        <v>26</v>
      </c>
    </row>
    <row r="4536" ht="15.75" customHeight="1">
      <c r="A4536" s="1" t="s">
        <v>4573</v>
      </c>
      <c r="B4536" s="1" t="s">
        <v>32</v>
      </c>
      <c r="C4536" s="1">
        <v>0.0</v>
      </c>
      <c r="D4536" s="1" t="s">
        <v>26</v>
      </c>
      <c r="E4536" s="1" t="s">
        <v>26</v>
      </c>
      <c r="F4536" s="1">
        <v>1.0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1">
        <v>49.0</v>
      </c>
      <c r="T4536" s="1">
        <v>49.0</v>
      </c>
      <c r="U4536" s="1">
        <v>0.0</v>
      </c>
      <c r="V4536" s="1">
        <v>0.0</v>
      </c>
      <c r="W4536" s="1" t="s">
        <v>26</v>
      </c>
    </row>
    <row r="4537" ht="15.75" customHeight="1">
      <c r="A4537" s="1" t="s">
        <v>4574</v>
      </c>
      <c r="B4537" s="1" t="s">
        <v>24</v>
      </c>
      <c r="C4537" s="1">
        <v>0.0</v>
      </c>
      <c r="D4537" s="1" t="s">
        <v>25</v>
      </c>
      <c r="E4537" s="1" t="s">
        <v>25</v>
      </c>
      <c r="F4537" s="1">
        <v>30.0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1">
        <v>100.05</v>
      </c>
      <c r="T4537" s="1">
        <v>3046.15</v>
      </c>
      <c r="U4537" s="1">
        <v>5.0</v>
      </c>
      <c r="V4537" s="1">
        <v>3.0</v>
      </c>
      <c r="W4537" s="1" t="s">
        <v>25</v>
      </c>
    </row>
    <row r="4538" ht="15.75" customHeight="1">
      <c r="A4538" s="1" t="s">
        <v>4575</v>
      </c>
      <c r="B4538" s="1" t="s">
        <v>32</v>
      </c>
      <c r="C4538" s="1">
        <v>0.0</v>
      </c>
      <c r="D4538" s="1" t="s">
        <v>26</v>
      </c>
      <c r="E4538" s="1" t="s">
        <v>26</v>
      </c>
      <c r="F4538" s="1">
        <v>1.0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1">
        <v>69.35</v>
      </c>
      <c r="T4538" s="1">
        <v>69.35</v>
      </c>
      <c r="U4538" s="1">
        <v>0.0</v>
      </c>
      <c r="V4538" s="1">
        <v>0.0</v>
      </c>
      <c r="W4538" s="1" t="s">
        <v>25</v>
      </c>
    </row>
    <row r="4539" ht="15.75" customHeight="1">
      <c r="A4539" s="1" t="s">
        <v>4576</v>
      </c>
      <c r="B4539" s="1" t="s">
        <v>32</v>
      </c>
      <c r="C4539" s="1">
        <v>0.0</v>
      </c>
      <c r="D4539" s="1" t="s">
        <v>25</v>
      </c>
      <c r="E4539" s="1" t="s">
        <v>26</v>
      </c>
      <c r="F4539" s="1">
        <v>17.0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1">
        <v>49.8</v>
      </c>
      <c r="T4539" s="1">
        <v>836.35</v>
      </c>
      <c r="U4539" s="1">
        <v>0.0</v>
      </c>
      <c r="V4539" s="1">
        <v>0.0</v>
      </c>
      <c r="W4539" s="1" t="s">
        <v>26</v>
      </c>
    </row>
    <row r="4540" ht="15.75" customHeight="1">
      <c r="A4540" s="1" t="s">
        <v>4577</v>
      </c>
      <c r="B4540" s="1" t="s">
        <v>24</v>
      </c>
      <c r="C4540" s="1">
        <v>0.0</v>
      </c>
      <c r="D4540" s="1" t="s">
        <v>26</v>
      </c>
      <c r="E4540" s="1" t="s">
        <v>26</v>
      </c>
      <c r="F4540" s="1">
        <v>3.0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1">
        <v>85.8</v>
      </c>
      <c r="T4540" s="1">
        <v>272.2</v>
      </c>
      <c r="U4540" s="1">
        <v>0.0</v>
      </c>
      <c r="V4540" s="1">
        <v>0.0</v>
      </c>
      <c r="W4540" s="1" t="s">
        <v>25</v>
      </c>
    </row>
    <row r="4541" ht="15.75" customHeight="1">
      <c r="A4541" s="1" t="s">
        <v>4578</v>
      </c>
      <c r="B4541" s="1" t="s">
        <v>32</v>
      </c>
      <c r="C4541" s="1">
        <v>0.0</v>
      </c>
      <c r="D4541" s="1" t="s">
        <v>25</v>
      </c>
      <c r="E4541" s="1" t="s">
        <v>25</v>
      </c>
      <c r="F4541" s="1">
        <v>67.0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1">
        <v>79.7</v>
      </c>
      <c r="T4541" s="1">
        <v>5293.4</v>
      </c>
      <c r="U4541" s="1">
        <v>2.0</v>
      </c>
      <c r="V4541" s="1">
        <v>7.0</v>
      </c>
      <c r="W4541" s="1" t="s">
        <v>25</v>
      </c>
    </row>
    <row r="4542" ht="15.75" customHeight="1">
      <c r="A4542" s="1" t="s">
        <v>4579</v>
      </c>
      <c r="B4542" s="1" t="s">
        <v>32</v>
      </c>
      <c r="C4542" s="1">
        <v>0.0</v>
      </c>
      <c r="D4542" s="1" t="s">
        <v>26</v>
      </c>
      <c r="E4542" s="1" t="s">
        <v>26</v>
      </c>
      <c r="F4542" s="1">
        <v>1.0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1">
        <v>20.95</v>
      </c>
      <c r="T4542" s="1">
        <v>20.95</v>
      </c>
      <c r="U4542" s="1">
        <v>0.0</v>
      </c>
      <c r="V4542" s="1">
        <v>0.0</v>
      </c>
      <c r="W4542" s="1" t="s">
        <v>26</v>
      </c>
    </row>
    <row r="4543" ht="15.75" customHeight="1">
      <c r="A4543" s="1" t="s">
        <v>4580</v>
      </c>
      <c r="B4543" s="1" t="s">
        <v>24</v>
      </c>
      <c r="C4543" s="1">
        <v>1.0</v>
      </c>
      <c r="D4543" s="1" t="s">
        <v>26</v>
      </c>
      <c r="E4543" s="1" t="s">
        <v>26</v>
      </c>
      <c r="F4543" s="1">
        <v>1.0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1">
        <v>50.55</v>
      </c>
      <c r="T4543" s="1">
        <v>50.55</v>
      </c>
      <c r="U4543" s="1">
        <v>0.0</v>
      </c>
      <c r="V4543" s="1">
        <v>0.0</v>
      </c>
      <c r="W4543" s="1" t="s">
        <v>25</v>
      </c>
    </row>
    <row r="4544" ht="15.75" customHeight="1">
      <c r="A4544" s="1" t="s">
        <v>4581</v>
      </c>
      <c r="B4544" s="1" t="s">
        <v>24</v>
      </c>
      <c r="C4544" s="1">
        <v>1.0</v>
      </c>
      <c r="D4544" s="1" t="s">
        <v>25</v>
      </c>
      <c r="E4544" s="1" t="s">
        <v>26</v>
      </c>
      <c r="F4544" s="1">
        <v>32.0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1">
        <v>79.3</v>
      </c>
      <c r="T4544" s="1">
        <v>2570.0</v>
      </c>
      <c r="U4544" s="1">
        <v>0.0</v>
      </c>
      <c r="V4544" s="1">
        <v>0.0</v>
      </c>
      <c r="W4544" s="1" t="s">
        <v>26</v>
      </c>
    </row>
    <row r="4545" ht="15.75" customHeight="1">
      <c r="A4545" s="1" t="s">
        <v>4582</v>
      </c>
      <c r="B4545" s="1" t="s">
        <v>32</v>
      </c>
      <c r="C4545" s="1">
        <v>0.0</v>
      </c>
      <c r="D4545" s="1" t="s">
        <v>25</v>
      </c>
      <c r="E4545" s="1" t="s">
        <v>25</v>
      </c>
      <c r="F4545" s="1">
        <v>41.0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1">
        <v>19.5</v>
      </c>
      <c r="T4545" s="1">
        <v>798.2</v>
      </c>
      <c r="U4545" s="1">
        <v>0.0</v>
      </c>
      <c r="V4545" s="1">
        <v>1.0</v>
      </c>
      <c r="W4545" s="1" t="s">
        <v>26</v>
      </c>
    </row>
    <row r="4546" ht="15.75" customHeight="1">
      <c r="A4546" s="1" t="s">
        <v>4583</v>
      </c>
      <c r="B4546" s="1" t="s">
        <v>32</v>
      </c>
      <c r="C4546" s="1">
        <v>0.0</v>
      </c>
      <c r="D4546" s="1" t="s">
        <v>25</v>
      </c>
      <c r="E4546" s="1" t="s">
        <v>26</v>
      </c>
      <c r="F4546" s="1">
        <v>1.0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1">
        <v>80.55</v>
      </c>
      <c r="T4546" s="1">
        <v>80.55</v>
      </c>
      <c r="U4546" s="1">
        <v>0.0</v>
      </c>
      <c r="V4546" s="1">
        <v>0.0</v>
      </c>
      <c r="W4546" s="1" t="s">
        <v>25</v>
      </c>
    </row>
    <row r="4547" ht="15.75" customHeight="1">
      <c r="A4547" s="1" t="s">
        <v>4584</v>
      </c>
      <c r="B4547" s="1" t="s">
        <v>24</v>
      </c>
      <c r="C4547" s="1">
        <v>0.0</v>
      </c>
      <c r="D4547" s="1" t="s">
        <v>26</v>
      </c>
      <c r="E4547" s="1" t="s">
        <v>26</v>
      </c>
      <c r="F4547" s="1">
        <v>1.0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1">
        <v>44.15</v>
      </c>
      <c r="T4547" s="1">
        <v>44.15</v>
      </c>
      <c r="U4547" s="1">
        <v>0.0</v>
      </c>
      <c r="V4547" s="1">
        <v>0.0</v>
      </c>
      <c r="W4547" s="1" t="s">
        <v>26</v>
      </c>
    </row>
    <row r="4548" ht="15.75" customHeight="1">
      <c r="A4548" s="1" t="s">
        <v>4585</v>
      </c>
      <c r="B4548" s="1" t="s">
        <v>24</v>
      </c>
      <c r="C4548" s="1">
        <v>0.0</v>
      </c>
      <c r="D4548" s="1" t="s">
        <v>25</v>
      </c>
      <c r="E4548" s="1" t="s">
        <v>25</v>
      </c>
      <c r="F4548" s="1">
        <v>12.0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1">
        <v>84.5</v>
      </c>
      <c r="T4548" s="1">
        <v>916.9</v>
      </c>
      <c r="U4548" s="1">
        <v>0.0</v>
      </c>
      <c r="V4548" s="1">
        <v>1.0</v>
      </c>
      <c r="W4548" s="1" t="s">
        <v>25</v>
      </c>
    </row>
    <row r="4549" ht="15.75" customHeight="1">
      <c r="A4549" s="1" t="s">
        <v>4586</v>
      </c>
      <c r="B4549" s="1" t="s">
        <v>32</v>
      </c>
      <c r="C4549" s="1">
        <v>0.0</v>
      </c>
      <c r="D4549" s="1" t="s">
        <v>25</v>
      </c>
      <c r="E4549" s="1" t="s">
        <v>25</v>
      </c>
      <c r="F4549" s="1">
        <v>62.0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1">
        <v>105.5</v>
      </c>
      <c r="T4549" s="1">
        <v>6487.2</v>
      </c>
      <c r="U4549" s="1">
        <v>0.0</v>
      </c>
      <c r="V4549" s="1">
        <v>0.0</v>
      </c>
      <c r="W4549" s="1" t="s">
        <v>26</v>
      </c>
    </row>
    <row r="4550" ht="15.75" customHeight="1">
      <c r="A4550" s="1" t="s">
        <v>4587</v>
      </c>
      <c r="B4550" s="1" t="s">
        <v>24</v>
      </c>
      <c r="C4550" s="1">
        <v>0.0</v>
      </c>
      <c r="D4550" s="1" t="s">
        <v>26</v>
      </c>
      <c r="E4550" s="1" t="s">
        <v>26</v>
      </c>
      <c r="F4550" s="1">
        <v>22.0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1">
        <v>84.3</v>
      </c>
      <c r="T4550" s="1">
        <v>1855.65</v>
      </c>
      <c r="U4550" s="1">
        <v>3.0</v>
      </c>
      <c r="V4550" s="1">
        <v>2.0</v>
      </c>
      <c r="W4550" s="1" t="s">
        <v>25</v>
      </c>
    </row>
    <row r="4551" ht="15.75" customHeight="1">
      <c r="A4551" s="1" t="s">
        <v>4588</v>
      </c>
      <c r="B4551" s="1" t="s">
        <v>24</v>
      </c>
      <c r="C4551" s="1">
        <v>0.0</v>
      </c>
      <c r="D4551" s="1" t="s">
        <v>26</v>
      </c>
      <c r="E4551" s="1" t="s">
        <v>25</v>
      </c>
      <c r="F4551" s="1">
        <v>17.0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1">
        <v>92.7</v>
      </c>
      <c r="T4551" s="1">
        <v>1556.85</v>
      </c>
      <c r="U4551" s="1">
        <v>0.0</v>
      </c>
      <c r="V4551" s="1">
        <v>0.0</v>
      </c>
      <c r="W4551" s="1" t="s">
        <v>26</v>
      </c>
    </row>
    <row r="4552" ht="15.75" customHeight="1">
      <c r="A4552" s="1" t="s">
        <v>4589</v>
      </c>
      <c r="B4552" s="1" t="s">
        <v>24</v>
      </c>
      <c r="C4552" s="1">
        <v>0.0</v>
      </c>
      <c r="D4552" s="1" t="s">
        <v>25</v>
      </c>
      <c r="E4552" s="1" t="s">
        <v>25</v>
      </c>
      <c r="F4552" s="1">
        <v>72.0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1">
        <v>26.25</v>
      </c>
      <c r="T4552" s="1">
        <v>1988.05</v>
      </c>
      <c r="U4552" s="1">
        <v>0.0</v>
      </c>
      <c r="V4552" s="1">
        <v>0.0</v>
      </c>
      <c r="W4552" s="1" t="s">
        <v>26</v>
      </c>
    </row>
    <row r="4553" ht="15.75" customHeight="1">
      <c r="A4553" s="1" t="s">
        <v>4590</v>
      </c>
      <c r="B4553" s="1" t="s">
        <v>32</v>
      </c>
      <c r="C4553" s="1">
        <v>0.0</v>
      </c>
      <c r="D4553" s="1" t="s">
        <v>25</v>
      </c>
      <c r="E4553" s="1" t="s">
        <v>25</v>
      </c>
      <c r="F4553" s="1">
        <v>56.0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1">
        <v>96.95</v>
      </c>
      <c r="T4553" s="1">
        <v>5432.2</v>
      </c>
      <c r="U4553" s="1">
        <v>3.0</v>
      </c>
      <c r="V4553" s="1">
        <v>0.0</v>
      </c>
      <c r="W4553" s="1" t="s">
        <v>26</v>
      </c>
    </row>
    <row r="4554" ht="15.75" customHeight="1">
      <c r="A4554" s="1" t="s">
        <v>4591</v>
      </c>
      <c r="B4554" s="1" t="s">
        <v>24</v>
      </c>
      <c r="C4554" s="1">
        <v>0.0</v>
      </c>
      <c r="D4554" s="1" t="s">
        <v>26</v>
      </c>
      <c r="E4554" s="1" t="s">
        <v>26</v>
      </c>
      <c r="F4554" s="1">
        <v>9.0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1">
        <v>20.45</v>
      </c>
      <c r="T4554" s="1">
        <v>147.55</v>
      </c>
      <c r="U4554" s="1">
        <v>0.0</v>
      </c>
      <c r="V4554" s="1">
        <v>0.0</v>
      </c>
      <c r="W4554" s="1" t="s">
        <v>26</v>
      </c>
    </row>
    <row r="4555" ht="15.75" customHeight="1">
      <c r="A4555" s="1" t="s">
        <v>4592</v>
      </c>
      <c r="B4555" s="1" t="s">
        <v>32</v>
      </c>
      <c r="C4555" s="1">
        <v>0.0</v>
      </c>
      <c r="D4555" s="1" t="s">
        <v>25</v>
      </c>
      <c r="E4555" s="1" t="s">
        <v>26</v>
      </c>
      <c r="F4555" s="1">
        <v>72.0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1">
        <v>115.8</v>
      </c>
      <c r="T4555" s="1">
        <v>8424.9</v>
      </c>
      <c r="U4555" s="1">
        <v>0.0</v>
      </c>
      <c r="V4555" s="1">
        <v>0.0</v>
      </c>
      <c r="W4555" s="1" t="s">
        <v>26</v>
      </c>
    </row>
    <row r="4556" ht="15.75" customHeight="1">
      <c r="A4556" s="1" t="s">
        <v>4593</v>
      </c>
      <c r="B4556" s="1" t="s">
        <v>32</v>
      </c>
      <c r="C4556" s="1">
        <v>0.0</v>
      </c>
      <c r="D4556" s="1" t="s">
        <v>26</v>
      </c>
      <c r="E4556" s="1" t="s">
        <v>26</v>
      </c>
      <c r="F4556" s="1">
        <v>20.0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1">
        <v>108.2</v>
      </c>
      <c r="T4556" s="1">
        <v>2203.7</v>
      </c>
      <c r="U4556" s="1">
        <v>0.0</v>
      </c>
      <c r="V4556" s="1">
        <v>0.0</v>
      </c>
      <c r="W4556" s="1" t="s">
        <v>26</v>
      </c>
    </row>
    <row r="4557" ht="15.75" customHeight="1">
      <c r="A4557" s="1" t="s">
        <v>4594</v>
      </c>
      <c r="B4557" s="1" t="s">
        <v>32</v>
      </c>
      <c r="C4557" s="1">
        <v>0.0</v>
      </c>
      <c r="D4557" s="1" t="s">
        <v>25</v>
      </c>
      <c r="E4557" s="1" t="s">
        <v>25</v>
      </c>
      <c r="F4557" s="1">
        <v>19.0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1">
        <v>20.2</v>
      </c>
      <c r="T4557" s="1">
        <v>387.4</v>
      </c>
      <c r="U4557" s="1">
        <v>0.0</v>
      </c>
      <c r="V4557" s="1">
        <v>0.0</v>
      </c>
      <c r="W4557" s="1" t="s">
        <v>26</v>
      </c>
    </row>
    <row r="4558" ht="15.75" customHeight="1">
      <c r="A4558" s="1" t="s">
        <v>4595</v>
      </c>
      <c r="B4558" s="1" t="s">
        <v>32</v>
      </c>
      <c r="C4558" s="1">
        <v>0.0</v>
      </c>
      <c r="D4558" s="1" t="s">
        <v>26</v>
      </c>
      <c r="E4558" s="1" t="s">
        <v>26</v>
      </c>
      <c r="F4558" s="1">
        <v>2.0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1">
        <v>67.75</v>
      </c>
      <c r="T4558" s="1">
        <v>116.65</v>
      </c>
      <c r="U4558" s="1">
        <v>0.0</v>
      </c>
      <c r="V4558" s="1">
        <v>0.0</v>
      </c>
      <c r="W4558" s="1" t="s">
        <v>25</v>
      </c>
    </row>
    <row r="4559" ht="15.75" customHeight="1">
      <c r="A4559" s="1" t="s">
        <v>4596</v>
      </c>
      <c r="B4559" s="1" t="s">
        <v>32</v>
      </c>
      <c r="C4559" s="1">
        <v>0.0</v>
      </c>
      <c r="D4559" s="1" t="s">
        <v>26</v>
      </c>
      <c r="E4559" s="1" t="s">
        <v>26</v>
      </c>
      <c r="F4559" s="1">
        <v>53.0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1">
        <v>54.9</v>
      </c>
      <c r="T4559" s="1">
        <v>3045.75</v>
      </c>
      <c r="U4559" s="1">
        <v>0.0</v>
      </c>
      <c r="V4559" s="1">
        <v>4.0</v>
      </c>
      <c r="W4559" s="1" t="s">
        <v>26</v>
      </c>
    </row>
    <row r="4560" ht="15.75" customHeight="1">
      <c r="A4560" s="1" t="s">
        <v>4597</v>
      </c>
      <c r="B4560" s="1" t="s">
        <v>24</v>
      </c>
      <c r="C4560" s="1">
        <v>1.0</v>
      </c>
      <c r="D4560" s="1" t="s">
        <v>26</v>
      </c>
      <c r="E4560" s="1" t="s">
        <v>26</v>
      </c>
      <c r="F4560" s="1">
        <v>27.0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1">
        <v>85.25</v>
      </c>
      <c r="T4560" s="1">
        <v>2287.25</v>
      </c>
      <c r="U4560" s="1">
        <v>0.0</v>
      </c>
      <c r="V4560" s="1">
        <v>0.0</v>
      </c>
      <c r="W4560" s="1" t="s">
        <v>25</v>
      </c>
    </row>
    <row r="4561" ht="15.75" customHeight="1">
      <c r="A4561" s="1" t="s">
        <v>4598</v>
      </c>
      <c r="B4561" s="1" t="s">
        <v>32</v>
      </c>
      <c r="C4561" s="1">
        <v>0.0</v>
      </c>
      <c r="D4561" s="1" t="s">
        <v>26</v>
      </c>
      <c r="E4561" s="1" t="s">
        <v>26</v>
      </c>
      <c r="F4561" s="1">
        <v>6.0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1">
        <v>20.15</v>
      </c>
      <c r="T4561" s="1">
        <v>130.5</v>
      </c>
      <c r="U4561" s="1">
        <v>0.0</v>
      </c>
      <c r="V4561" s="1">
        <v>0.0</v>
      </c>
      <c r="W4561" s="1" t="s">
        <v>26</v>
      </c>
    </row>
    <row r="4562" ht="15.75" customHeight="1">
      <c r="A4562" s="1" t="s">
        <v>4599</v>
      </c>
      <c r="B4562" s="1" t="s">
        <v>32</v>
      </c>
      <c r="C4562" s="1">
        <v>0.0</v>
      </c>
      <c r="D4562" s="1" t="s">
        <v>25</v>
      </c>
      <c r="E4562" s="1" t="s">
        <v>25</v>
      </c>
      <c r="F4562" s="1">
        <v>9.0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1">
        <v>90.35</v>
      </c>
      <c r="T4562" s="1">
        <v>767.9</v>
      </c>
      <c r="U4562" s="1">
        <v>0.0</v>
      </c>
      <c r="V4562" s="1">
        <v>0.0</v>
      </c>
      <c r="W4562" s="1" t="s">
        <v>26</v>
      </c>
    </row>
    <row r="4563" ht="15.75" customHeight="1">
      <c r="A4563" s="1" t="s">
        <v>4600</v>
      </c>
      <c r="B4563" s="1" t="s">
        <v>24</v>
      </c>
      <c r="C4563" s="1">
        <v>0.0</v>
      </c>
      <c r="D4563" s="1" t="s">
        <v>25</v>
      </c>
      <c r="E4563" s="1" t="s">
        <v>25</v>
      </c>
      <c r="F4563" s="1">
        <v>8.0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1">
        <v>55.75</v>
      </c>
      <c r="T4563" s="1">
        <v>446.8</v>
      </c>
      <c r="U4563" s="1">
        <v>5.0</v>
      </c>
      <c r="V4563" s="1">
        <v>0.0</v>
      </c>
      <c r="W4563" s="1" t="s">
        <v>26</v>
      </c>
    </row>
    <row r="4564" ht="15.75" customHeight="1">
      <c r="A4564" s="1" t="s">
        <v>4601</v>
      </c>
      <c r="B4564" s="1" t="s">
        <v>24</v>
      </c>
      <c r="C4564" s="1">
        <v>0.0</v>
      </c>
      <c r="D4564" s="1" t="s">
        <v>25</v>
      </c>
      <c r="E4564" s="1" t="s">
        <v>25</v>
      </c>
      <c r="F4564" s="1">
        <v>71.0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1">
        <v>114.6</v>
      </c>
      <c r="T4564" s="1">
        <v>8100.25</v>
      </c>
      <c r="U4564" s="1">
        <v>0.0</v>
      </c>
      <c r="V4564" s="1">
        <v>0.0</v>
      </c>
      <c r="W4564" s="1" t="s">
        <v>26</v>
      </c>
    </row>
    <row r="4565" ht="15.75" customHeight="1">
      <c r="A4565" s="1" t="s">
        <v>4602</v>
      </c>
      <c r="B4565" s="1" t="s">
        <v>24</v>
      </c>
      <c r="C4565" s="1">
        <v>0.0</v>
      </c>
      <c r="D4565" s="1" t="s">
        <v>26</v>
      </c>
      <c r="E4565" s="1" t="s">
        <v>26</v>
      </c>
      <c r="F4565" s="1">
        <v>10.0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1">
        <v>80.05</v>
      </c>
      <c r="T4565" s="1">
        <v>830.7</v>
      </c>
      <c r="U4565" s="1">
        <v>0.0</v>
      </c>
      <c r="V4565" s="1">
        <v>0.0</v>
      </c>
      <c r="W4565" s="1" t="s">
        <v>25</v>
      </c>
    </row>
    <row r="4566" ht="15.75" customHeight="1">
      <c r="A4566" s="1" t="s">
        <v>4603</v>
      </c>
      <c r="B4566" s="1" t="s">
        <v>32</v>
      </c>
      <c r="C4566" s="1">
        <v>0.0</v>
      </c>
      <c r="D4566" s="1" t="s">
        <v>26</v>
      </c>
      <c r="E4566" s="1" t="s">
        <v>26</v>
      </c>
      <c r="F4566" s="1">
        <v>1.0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1">
        <v>20.0</v>
      </c>
      <c r="T4566" s="1">
        <v>20.0</v>
      </c>
      <c r="U4566" s="1">
        <v>0.0</v>
      </c>
      <c r="V4566" s="1">
        <v>0.0</v>
      </c>
      <c r="W4566" s="1" t="s">
        <v>25</v>
      </c>
    </row>
    <row r="4567" ht="15.75" customHeight="1">
      <c r="A4567" s="1" t="s">
        <v>4604</v>
      </c>
      <c r="B4567" s="1" t="s">
        <v>24</v>
      </c>
      <c r="C4567" s="1">
        <v>0.0</v>
      </c>
      <c r="D4567" s="1" t="s">
        <v>25</v>
      </c>
      <c r="E4567" s="1" t="s">
        <v>26</v>
      </c>
      <c r="F4567" s="1">
        <v>71.0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1">
        <v>66.8</v>
      </c>
      <c r="T4567" s="1">
        <v>4689.15</v>
      </c>
      <c r="U4567" s="1">
        <v>0.0</v>
      </c>
      <c r="V4567" s="1">
        <v>0.0</v>
      </c>
      <c r="W4567" s="1" t="s">
        <v>26</v>
      </c>
    </row>
    <row r="4568" ht="15.75" customHeight="1">
      <c r="A4568" s="1" t="s">
        <v>4605</v>
      </c>
      <c r="B4568" s="1" t="s">
        <v>32</v>
      </c>
      <c r="C4568" s="1">
        <v>0.0</v>
      </c>
      <c r="D4568" s="1" t="s">
        <v>25</v>
      </c>
      <c r="E4568" s="1" t="s">
        <v>26</v>
      </c>
      <c r="F4568" s="1">
        <v>68.0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1">
        <v>100.3</v>
      </c>
      <c r="T4568" s="1">
        <v>6754.35</v>
      </c>
      <c r="U4568" s="1">
        <v>0.0</v>
      </c>
      <c r="V4568" s="1">
        <v>0.0</v>
      </c>
      <c r="W4568" s="1" t="s">
        <v>26</v>
      </c>
    </row>
    <row r="4569" ht="15.75" customHeight="1">
      <c r="A4569" s="1" t="s">
        <v>4606</v>
      </c>
      <c r="B4569" s="1" t="s">
        <v>32</v>
      </c>
      <c r="C4569" s="1">
        <v>0.0</v>
      </c>
      <c r="D4569" s="1" t="s">
        <v>26</v>
      </c>
      <c r="E4569" s="1" t="s">
        <v>26</v>
      </c>
      <c r="F4569" s="1">
        <v>34.0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1">
        <v>105.35</v>
      </c>
      <c r="T4569" s="1">
        <v>3540.65</v>
      </c>
      <c r="U4569" s="1">
        <v>1.0</v>
      </c>
      <c r="V4569" s="1">
        <v>0.0</v>
      </c>
      <c r="W4569" s="1" t="s">
        <v>26</v>
      </c>
    </row>
    <row r="4570" ht="15.75" customHeight="1">
      <c r="A4570" s="1" t="s">
        <v>4607</v>
      </c>
      <c r="B4570" s="1" t="s">
        <v>32</v>
      </c>
      <c r="C4570" s="1">
        <v>0.0</v>
      </c>
      <c r="D4570" s="1" t="s">
        <v>26</v>
      </c>
      <c r="E4570" s="1" t="s">
        <v>26</v>
      </c>
      <c r="F4570" s="1">
        <v>26.0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1">
        <v>85.2</v>
      </c>
      <c r="T4570" s="1">
        <v>2184.6</v>
      </c>
      <c r="U4570" s="1">
        <v>0.0</v>
      </c>
      <c r="V4570" s="1">
        <v>0.0</v>
      </c>
      <c r="W4570" s="1" t="s">
        <v>26</v>
      </c>
    </row>
    <row r="4571" ht="15.75" customHeight="1">
      <c r="A4571" s="1" t="s">
        <v>4608</v>
      </c>
      <c r="B4571" s="1" t="s">
        <v>24</v>
      </c>
      <c r="C4571" s="1">
        <v>0.0</v>
      </c>
      <c r="D4571" s="1" t="s">
        <v>26</v>
      </c>
      <c r="E4571" s="1" t="s">
        <v>26</v>
      </c>
      <c r="F4571" s="1">
        <v>22.0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1">
        <v>48.8</v>
      </c>
      <c r="T4571" s="1">
        <v>1054.6</v>
      </c>
      <c r="U4571" s="1">
        <v>0.0</v>
      </c>
      <c r="V4571" s="1">
        <v>0.0</v>
      </c>
      <c r="W4571" s="1" t="s">
        <v>25</v>
      </c>
    </row>
    <row r="4572" ht="15.75" customHeight="1">
      <c r="A4572" s="1" t="s">
        <v>4609</v>
      </c>
      <c r="B4572" s="1" t="s">
        <v>32</v>
      </c>
      <c r="C4572" s="1">
        <v>0.0</v>
      </c>
      <c r="D4572" s="1" t="s">
        <v>26</v>
      </c>
      <c r="E4572" s="1" t="s">
        <v>26</v>
      </c>
      <c r="F4572" s="1">
        <v>7.0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1">
        <v>18.95</v>
      </c>
      <c r="T4572" s="1">
        <v>130.55</v>
      </c>
      <c r="U4572" s="1">
        <v>0.0</v>
      </c>
      <c r="V4572" s="1">
        <v>0.0</v>
      </c>
      <c r="W4572" s="1" t="s">
        <v>26</v>
      </c>
    </row>
    <row r="4573" ht="15.75" customHeight="1">
      <c r="A4573" s="1" t="s">
        <v>4610</v>
      </c>
      <c r="B4573" s="1" t="s">
        <v>24</v>
      </c>
      <c r="C4573" s="1">
        <v>0.0</v>
      </c>
      <c r="D4573" s="1" t="s">
        <v>25</v>
      </c>
      <c r="E4573" s="1" t="s">
        <v>26</v>
      </c>
      <c r="F4573" s="1">
        <v>20.0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1">
        <v>69.8</v>
      </c>
      <c r="T4573" s="1">
        <v>1540.35</v>
      </c>
      <c r="U4573" s="1">
        <v>0.0</v>
      </c>
      <c r="V4573" s="1">
        <v>0.0</v>
      </c>
      <c r="W4573" s="1" t="s">
        <v>26</v>
      </c>
    </row>
    <row r="4574" ht="15.75" customHeight="1">
      <c r="A4574" s="1" t="s">
        <v>4611</v>
      </c>
      <c r="B4574" s="1" t="s">
        <v>24</v>
      </c>
      <c r="C4574" s="1">
        <v>0.0</v>
      </c>
      <c r="D4574" s="1" t="s">
        <v>25</v>
      </c>
      <c r="E4574" s="1" t="s">
        <v>26</v>
      </c>
      <c r="F4574" s="1">
        <v>60.0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1">
        <v>106.15</v>
      </c>
      <c r="T4574" s="1">
        <v>6411.25</v>
      </c>
      <c r="U4574" s="1">
        <v>0.0</v>
      </c>
      <c r="V4574" s="1">
        <v>0.0</v>
      </c>
      <c r="W4574" s="1" t="s">
        <v>26</v>
      </c>
    </row>
    <row r="4575" ht="15.75" customHeight="1">
      <c r="A4575" s="1" t="s">
        <v>4612</v>
      </c>
      <c r="B4575" s="1" t="s">
        <v>32</v>
      </c>
      <c r="C4575" s="1">
        <v>0.0</v>
      </c>
      <c r="D4575" s="1" t="s">
        <v>25</v>
      </c>
      <c r="E4575" s="1" t="s">
        <v>25</v>
      </c>
      <c r="F4575" s="1">
        <v>72.0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1">
        <v>20.55</v>
      </c>
      <c r="T4575" s="1">
        <v>1432.55</v>
      </c>
      <c r="U4575" s="1">
        <v>4.0</v>
      </c>
      <c r="V4575" s="1">
        <v>0.0</v>
      </c>
      <c r="W4575" s="1" t="s">
        <v>26</v>
      </c>
    </row>
    <row r="4576" ht="15.75" customHeight="1">
      <c r="A4576" s="1" t="s">
        <v>4613</v>
      </c>
      <c r="B4576" s="1" t="s">
        <v>24</v>
      </c>
      <c r="C4576" s="1">
        <v>1.0</v>
      </c>
      <c r="D4576" s="1" t="s">
        <v>25</v>
      </c>
      <c r="E4576" s="1" t="s">
        <v>26</v>
      </c>
      <c r="F4576" s="1">
        <v>72.0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1">
        <v>105.75</v>
      </c>
      <c r="T4576" s="1">
        <v>7629.85</v>
      </c>
      <c r="U4576" s="1">
        <v>0.0</v>
      </c>
      <c r="V4576" s="1">
        <v>3.0</v>
      </c>
      <c r="W4576" s="1" t="s">
        <v>26</v>
      </c>
    </row>
    <row r="4577" ht="15.75" customHeight="1">
      <c r="A4577" s="1" t="s">
        <v>4614</v>
      </c>
      <c r="B4577" s="1" t="s">
        <v>32</v>
      </c>
      <c r="C4577" s="1">
        <v>0.0</v>
      </c>
      <c r="D4577" s="1" t="s">
        <v>26</v>
      </c>
      <c r="E4577" s="1" t="s">
        <v>26</v>
      </c>
      <c r="F4577" s="1">
        <v>4.0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1">
        <v>25.25</v>
      </c>
      <c r="T4577" s="1">
        <v>101.9</v>
      </c>
      <c r="U4577" s="1">
        <v>2.0</v>
      </c>
      <c r="V4577" s="1">
        <v>0.0</v>
      </c>
      <c r="W4577" s="1" t="s">
        <v>26</v>
      </c>
    </row>
    <row r="4578" ht="15.75" customHeight="1">
      <c r="A4578" s="1" t="s">
        <v>4615</v>
      </c>
      <c r="B4578" s="1" t="s">
        <v>32</v>
      </c>
      <c r="C4578" s="1">
        <v>0.0</v>
      </c>
      <c r="D4578" s="1" t="s">
        <v>25</v>
      </c>
      <c r="E4578" s="1" t="s">
        <v>25</v>
      </c>
      <c r="F4578" s="1">
        <v>16.0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1">
        <v>19.75</v>
      </c>
      <c r="T4578" s="1">
        <v>313.4</v>
      </c>
      <c r="U4578" s="1">
        <v>0.0</v>
      </c>
      <c r="V4578" s="1">
        <v>0.0</v>
      </c>
      <c r="W4578" s="1" t="s">
        <v>26</v>
      </c>
    </row>
    <row r="4579" ht="15.75" customHeight="1">
      <c r="A4579" s="1" t="s">
        <v>4616</v>
      </c>
      <c r="B4579" s="1" t="s">
        <v>24</v>
      </c>
      <c r="C4579" s="1">
        <v>1.0</v>
      </c>
      <c r="D4579" s="1" t="s">
        <v>25</v>
      </c>
      <c r="E4579" s="1" t="s">
        <v>26</v>
      </c>
      <c r="F4579" s="1">
        <v>62.0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1">
        <v>104.85</v>
      </c>
      <c r="T4579" s="1">
        <v>6312.9</v>
      </c>
      <c r="U4579" s="1">
        <v>0.0</v>
      </c>
      <c r="V4579" s="1">
        <v>0.0</v>
      </c>
      <c r="W4579" s="1" t="s">
        <v>26</v>
      </c>
    </row>
    <row r="4580" ht="15.75" customHeight="1">
      <c r="A4580" s="1" t="s">
        <v>4617</v>
      </c>
      <c r="B4580" s="1" t="s">
        <v>24</v>
      </c>
      <c r="C4580" s="1">
        <v>0.0</v>
      </c>
      <c r="D4580" s="1" t="s">
        <v>26</v>
      </c>
      <c r="E4580" s="1" t="s">
        <v>26</v>
      </c>
      <c r="F4580" s="1">
        <v>10.0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1">
        <v>60.95</v>
      </c>
      <c r="T4580" s="1">
        <v>629.55</v>
      </c>
      <c r="U4580" s="1">
        <v>0.0</v>
      </c>
      <c r="V4580" s="1">
        <v>0.0</v>
      </c>
      <c r="W4580" s="1" t="s">
        <v>26</v>
      </c>
    </row>
    <row r="4581" ht="15.75" customHeight="1">
      <c r="A4581" s="1" t="s">
        <v>4618</v>
      </c>
      <c r="B4581" s="1" t="s">
        <v>32</v>
      </c>
      <c r="C4581" s="1">
        <v>0.0</v>
      </c>
      <c r="D4581" s="1" t="s">
        <v>26</v>
      </c>
      <c r="E4581" s="1" t="s">
        <v>26</v>
      </c>
      <c r="F4581" s="1">
        <v>31.0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1">
        <v>81.15</v>
      </c>
      <c r="T4581" s="1">
        <v>2640.55</v>
      </c>
      <c r="U4581" s="1">
        <v>0.0</v>
      </c>
      <c r="V4581" s="1">
        <v>0.0</v>
      </c>
      <c r="W4581" s="1" t="s">
        <v>26</v>
      </c>
    </row>
    <row r="4582" ht="15.75" customHeight="1">
      <c r="A4582" s="1" t="s">
        <v>4619</v>
      </c>
      <c r="B4582" s="1" t="s">
        <v>24</v>
      </c>
      <c r="C4582" s="1">
        <v>0.0</v>
      </c>
      <c r="D4582" s="1" t="s">
        <v>25</v>
      </c>
      <c r="E4582" s="1" t="s">
        <v>26</v>
      </c>
      <c r="F4582" s="1">
        <v>71.0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1">
        <v>19.1</v>
      </c>
      <c r="T4582" s="1">
        <v>1372.45</v>
      </c>
      <c r="U4582" s="1">
        <v>0.0</v>
      </c>
      <c r="V4582" s="1">
        <v>0.0</v>
      </c>
      <c r="W4582" s="1" t="s">
        <v>26</v>
      </c>
    </row>
    <row r="4583" ht="15.75" customHeight="1">
      <c r="A4583" s="1" t="s">
        <v>4620</v>
      </c>
      <c r="B4583" s="1" t="s">
        <v>32</v>
      </c>
      <c r="C4583" s="1">
        <v>0.0</v>
      </c>
      <c r="D4583" s="1" t="s">
        <v>26</v>
      </c>
      <c r="E4583" s="1" t="s">
        <v>26</v>
      </c>
      <c r="F4583" s="1">
        <v>58.0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1">
        <v>20.8</v>
      </c>
      <c r="T4583" s="1">
        <v>1212.25</v>
      </c>
      <c r="U4583" s="1">
        <v>0.0</v>
      </c>
      <c r="V4583" s="1">
        <v>0.0</v>
      </c>
      <c r="W4583" s="1" t="s">
        <v>26</v>
      </c>
    </row>
    <row r="4584" ht="15.75" customHeight="1">
      <c r="A4584" s="1" t="s">
        <v>4621</v>
      </c>
      <c r="B4584" s="1" t="s">
        <v>32</v>
      </c>
      <c r="C4584" s="1">
        <v>0.0</v>
      </c>
      <c r="D4584" s="1" t="s">
        <v>25</v>
      </c>
      <c r="E4584" s="1" t="s">
        <v>25</v>
      </c>
      <c r="F4584" s="1">
        <v>70.0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1">
        <v>90.15</v>
      </c>
      <c r="T4584" s="1">
        <v>6237.05</v>
      </c>
      <c r="U4584" s="1">
        <v>0.0</v>
      </c>
      <c r="V4584" s="1">
        <v>0.0</v>
      </c>
      <c r="W4584" s="1" t="s">
        <v>26</v>
      </c>
    </row>
    <row r="4585" ht="15.75" customHeight="1">
      <c r="A4585" s="1" t="s">
        <v>4622</v>
      </c>
      <c r="B4585" s="1" t="s">
        <v>24</v>
      </c>
      <c r="C4585" s="1">
        <v>0.0</v>
      </c>
      <c r="D4585" s="1" t="s">
        <v>25</v>
      </c>
      <c r="E4585" s="1" t="s">
        <v>26</v>
      </c>
      <c r="F4585" s="1">
        <v>71.0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1">
        <v>90.1</v>
      </c>
      <c r="T4585" s="1">
        <v>6310.9</v>
      </c>
      <c r="U4585" s="1">
        <v>0.0</v>
      </c>
      <c r="V4585" s="1">
        <v>0.0</v>
      </c>
      <c r="W4585" s="1" t="s">
        <v>26</v>
      </c>
    </row>
    <row r="4586" ht="15.75" customHeight="1">
      <c r="A4586" s="1" t="s">
        <v>4623</v>
      </c>
      <c r="B4586" s="1" t="s">
        <v>32</v>
      </c>
      <c r="C4586" s="1">
        <v>1.0</v>
      </c>
      <c r="D4586" s="1" t="s">
        <v>26</v>
      </c>
      <c r="E4586" s="1" t="s">
        <v>26</v>
      </c>
      <c r="F4586" s="1">
        <v>69.0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1">
        <v>74.1</v>
      </c>
      <c r="T4586" s="1">
        <v>5031.0</v>
      </c>
      <c r="U4586" s="1">
        <v>0.0</v>
      </c>
      <c r="V4586" s="1">
        <v>0.0</v>
      </c>
      <c r="W4586" s="1" t="s">
        <v>26</v>
      </c>
    </row>
    <row r="4587" ht="15.75" customHeight="1">
      <c r="A4587" s="1" t="s">
        <v>4624</v>
      </c>
      <c r="B4587" s="1" t="s">
        <v>24</v>
      </c>
      <c r="C4587" s="1">
        <v>1.0</v>
      </c>
      <c r="D4587" s="1" t="s">
        <v>26</v>
      </c>
      <c r="E4587" s="1" t="s">
        <v>26</v>
      </c>
      <c r="F4587" s="1">
        <v>1.0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1">
        <v>85.05</v>
      </c>
      <c r="T4587" s="1">
        <v>85.05</v>
      </c>
      <c r="U4587" s="1">
        <v>0.0</v>
      </c>
      <c r="V4587" s="1">
        <v>0.0</v>
      </c>
      <c r="W4587" s="1" t="s">
        <v>25</v>
      </c>
    </row>
    <row r="4588" ht="15.75" customHeight="1">
      <c r="A4588" s="1" t="s">
        <v>4625</v>
      </c>
      <c r="B4588" s="1" t="s">
        <v>24</v>
      </c>
      <c r="C4588" s="1">
        <v>0.0</v>
      </c>
      <c r="D4588" s="1" t="s">
        <v>25</v>
      </c>
      <c r="E4588" s="1" t="s">
        <v>25</v>
      </c>
      <c r="F4588" s="1">
        <v>72.0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1">
        <v>118.75</v>
      </c>
      <c r="T4588" s="1">
        <v>8672.45</v>
      </c>
      <c r="U4588" s="1">
        <v>0.0</v>
      </c>
      <c r="V4588" s="1">
        <v>0.0</v>
      </c>
      <c r="W4588" s="1" t="s">
        <v>26</v>
      </c>
    </row>
    <row r="4589" ht="15.75" customHeight="1">
      <c r="A4589" s="1" t="s">
        <v>4626</v>
      </c>
      <c r="B4589" s="1" t="s">
        <v>24</v>
      </c>
      <c r="C4589" s="1">
        <v>0.0</v>
      </c>
      <c r="D4589" s="1" t="s">
        <v>25</v>
      </c>
      <c r="E4589" s="1" t="s">
        <v>26</v>
      </c>
      <c r="F4589" s="1">
        <v>26.0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1">
        <v>85.9</v>
      </c>
      <c r="T4589" s="1">
        <v>2196.45</v>
      </c>
      <c r="U4589" s="1">
        <v>0.0</v>
      </c>
      <c r="V4589" s="1">
        <v>0.0</v>
      </c>
      <c r="W4589" s="1" t="s">
        <v>26</v>
      </c>
    </row>
    <row r="4590" ht="15.75" customHeight="1">
      <c r="A4590" s="1" t="s">
        <v>4627</v>
      </c>
      <c r="B4590" s="1" t="s">
        <v>24</v>
      </c>
      <c r="C4590" s="1">
        <v>0.0</v>
      </c>
      <c r="D4590" s="1" t="s">
        <v>25</v>
      </c>
      <c r="E4590" s="1" t="s">
        <v>26</v>
      </c>
      <c r="F4590" s="1">
        <v>33.0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1">
        <v>95.0</v>
      </c>
      <c r="T4590" s="1">
        <v>3008.15</v>
      </c>
      <c r="U4590" s="1">
        <v>0.0</v>
      </c>
      <c r="V4590" s="1">
        <v>0.0</v>
      </c>
      <c r="W4590" s="1" t="s">
        <v>26</v>
      </c>
    </row>
    <row r="4591" ht="15.75" customHeight="1">
      <c r="A4591" s="1" t="s">
        <v>4628</v>
      </c>
      <c r="B4591" s="1" t="s">
        <v>24</v>
      </c>
      <c r="C4591" s="1">
        <v>0.0</v>
      </c>
      <c r="D4591" s="1" t="s">
        <v>25</v>
      </c>
      <c r="E4591" s="1" t="s">
        <v>25</v>
      </c>
      <c r="F4591" s="1">
        <v>10.0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1">
        <v>20.15</v>
      </c>
      <c r="T4591" s="1">
        <v>220.8</v>
      </c>
      <c r="U4591" s="1">
        <v>2.0</v>
      </c>
      <c r="V4591" s="1">
        <v>0.0</v>
      </c>
      <c r="W4591" s="1" t="s">
        <v>26</v>
      </c>
    </row>
    <row r="4592" ht="15.75" customHeight="1">
      <c r="A4592" s="1" t="s">
        <v>4629</v>
      </c>
      <c r="B4592" s="1" t="s">
        <v>24</v>
      </c>
      <c r="C4592" s="1">
        <v>1.0</v>
      </c>
      <c r="D4592" s="1" t="s">
        <v>26</v>
      </c>
      <c r="E4592" s="1" t="s">
        <v>26</v>
      </c>
      <c r="F4592" s="1">
        <v>57.0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1">
        <v>101.3</v>
      </c>
      <c r="T4592" s="1">
        <v>5779.6</v>
      </c>
      <c r="U4592" s="1">
        <v>0.0</v>
      </c>
      <c r="V4592" s="1">
        <v>0.0</v>
      </c>
      <c r="W4592" s="1" t="s">
        <v>26</v>
      </c>
    </row>
    <row r="4593" ht="15.75" customHeight="1">
      <c r="A4593" s="1" t="s">
        <v>4630</v>
      </c>
      <c r="B4593" s="1" t="s">
        <v>24</v>
      </c>
      <c r="C4593" s="1">
        <v>0.0</v>
      </c>
      <c r="D4593" s="1" t="s">
        <v>26</v>
      </c>
      <c r="E4593" s="1" t="s">
        <v>26</v>
      </c>
      <c r="F4593" s="1">
        <v>10.0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1">
        <v>21.2</v>
      </c>
      <c r="T4593" s="1">
        <v>222.65</v>
      </c>
      <c r="U4593" s="1">
        <v>0.0</v>
      </c>
      <c r="V4593" s="1">
        <v>0.0</v>
      </c>
      <c r="W4593" s="1" t="s">
        <v>26</v>
      </c>
    </row>
    <row r="4594" ht="15.75" customHeight="1">
      <c r="A4594" s="1" t="s">
        <v>4631</v>
      </c>
      <c r="B4594" s="1" t="s">
        <v>24</v>
      </c>
      <c r="C4594" s="1">
        <v>0.0</v>
      </c>
      <c r="D4594" s="1" t="s">
        <v>25</v>
      </c>
      <c r="E4594" s="1" t="s">
        <v>25</v>
      </c>
      <c r="F4594" s="1">
        <v>39.0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1">
        <v>24.2</v>
      </c>
      <c r="T4594" s="1">
        <v>914.6</v>
      </c>
      <c r="U4594" s="1">
        <v>0.0</v>
      </c>
      <c r="V4594" s="1">
        <v>0.0</v>
      </c>
      <c r="W4594" s="1" t="s">
        <v>26</v>
      </c>
    </row>
    <row r="4595" ht="15.75" customHeight="1">
      <c r="A4595" s="1" t="s">
        <v>4632</v>
      </c>
      <c r="B4595" s="1" t="s">
        <v>24</v>
      </c>
      <c r="C4595" s="1">
        <v>0.0</v>
      </c>
      <c r="D4595" s="1" t="s">
        <v>26</v>
      </c>
      <c r="E4595" s="1" t="s">
        <v>26</v>
      </c>
      <c r="F4595" s="1">
        <v>11.0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1">
        <v>20.3</v>
      </c>
      <c r="T4595" s="1">
        <v>246.3</v>
      </c>
      <c r="U4595" s="1">
        <v>0.0</v>
      </c>
      <c r="V4595" s="1">
        <v>0.0</v>
      </c>
      <c r="W4595" s="1" t="s">
        <v>26</v>
      </c>
    </row>
    <row r="4596" ht="15.75" customHeight="1">
      <c r="A4596" s="1" t="s">
        <v>4633</v>
      </c>
      <c r="B4596" s="1" t="s">
        <v>24</v>
      </c>
      <c r="C4596" s="1">
        <v>0.0</v>
      </c>
      <c r="D4596" s="1" t="s">
        <v>25</v>
      </c>
      <c r="E4596" s="1" t="s">
        <v>25</v>
      </c>
      <c r="F4596" s="1">
        <v>21.0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1">
        <v>102.8</v>
      </c>
      <c r="T4596" s="1">
        <v>2110.15</v>
      </c>
      <c r="U4596" s="1">
        <v>1.0</v>
      </c>
      <c r="V4596" s="1">
        <v>4.0</v>
      </c>
      <c r="W4596" s="1" t="s">
        <v>25</v>
      </c>
    </row>
    <row r="4597" ht="15.75" customHeight="1">
      <c r="A4597" s="1" t="s">
        <v>4634</v>
      </c>
      <c r="B4597" s="1" t="s">
        <v>24</v>
      </c>
      <c r="C4597" s="1">
        <v>0.0</v>
      </c>
      <c r="D4597" s="1" t="s">
        <v>25</v>
      </c>
      <c r="E4597" s="1" t="s">
        <v>25</v>
      </c>
      <c r="F4597" s="1">
        <v>68.0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1">
        <v>85.3</v>
      </c>
      <c r="T4597" s="1">
        <v>5560.0</v>
      </c>
      <c r="U4597" s="1">
        <v>0.0</v>
      </c>
      <c r="V4597" s="1">
        <v>2.0</v>
      </c>
      <c r="W4597" s="1" t="s">
        <v>26</v>
      </c>
    </row>
    <row r="4598" ht="15.75" customHeight="1">
      <c r="A4598" s="1" t="s">
        <v>4635</v>
      </c>
      <c r="B4598" s="1" t="s">
        <v>32</v>
      </c>
      <c r="C4598" s="1">
        <v>0.0</v>
      </c>
      <c r="D4598" s="1" t="s">
        <v>26</v>
      </c>
      <c r="E4598" s="1" t="s">
        <v>26</v>
      </c>
      <c r="F4598" s="1">
        <v>18.0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1">
        <v>89.6</v>
      </c>
      <c r="T4598" s="1">
        <v>1633.0</v>
      </c>
      <c r="U4598" s="1">
        <v>0.0</v>
      </c>
      <c r="V4598" s="1">
        <v>0.0</v>
      </c>
      <c r="W4598" s="1" t="s">
        <v>26</v>
      </c>
    </row>
    <row r="4599" ht="15.75" customHeight="1">
      <c r="A4599" s="1" t="s">
        <v>4636</v>
      </c>
      <c r="B4599" s="1" t="s">
        <v>24</v>
      </c>
      <c r="C4599" s="1">
        <v>0.0</v>
      </c>
      <c r="D4599" s="1" t="s">
        <v>26</v>
      </c>
      <c r="E4599" s="1" t="s">
        <v>26</v>
      </c>
      <c r="F4599" s="1">
        <v>6.0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1">
        <v>99.95</v>
      </c>
      <c r="T4599" s="1">
        <v>547.65</v>
      </c>
      <c r="U4599" s="1">
        <v>0.0</v>
      </c>
      <c r="V4599" s="1">
        <v>0.0</v>
      </c>
      <c r="W4599" s="1" t="s">
        <v>25</v>
      </c>
    </row>
    <row r="4600" ht="15.75" customHeight="1">
      <c r="A4600" s="1" t="s">
        <v>4637</v>
      </c>
      <c r="B4600" s="1" t="s">
        <v>32</v>
      </c>
      <c r="C4600" s="1">
        <v>0.0</v>
      </c>
      <c r="D4600" s="1" t="s">
        <v>26</v>
      </c>
      <c r="E4600" s="1" t="s">
        <v>26</v>
      </c>
      <c r="F4600" s="1">
        <v>18.0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1">
        <v>56.25</v>
      </c>
      <c r="T4600" s="1">
        <v>969.85</v>
      </c>
      <c r="U4600" s="1">
        <v>0.0</v>
      </c>
      <c r="V4600" s="1">
        <v>0.0</v>
      </c>
      <c r="W4600" s="1" t="s">
        <v>26</v>
      </c>
    </row>
    <row r="4601" ht="15.75" customHeight="1">
      <c r="A4601" s="1" t="s">
        <v>4638</v>
      </c>
      <c r="B4601" s="1" t="s">
        <v>24</v>
      </c>
      <c r="C4601" s="1">
        <v>0.0</v>
      </c>
      <c r="D4601" s="1" t="s">
        <v>25</v>
      </c>
      <c r="E4601" s="1" t="s">
        <v>25</v>
      </c>
      <c r="F4601" s="1">
        <v>52.0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1">
        <v>50.95</v>
      </c>
      <c r="T4601" s="1">
        <v>2610.65</v>
      </c>
      <c r="U4601" s="1">
        <v>0.0</v>
      </c>
      <c r="V4601" s="1">
        <v>0.0</v>
      </c>
      <c r="W4601" s="1" t="s">
        <v>26</v>
      </c>
    </row>
    <row r="4602" ht="15.75" customHeight="1">
      <c r="A4602" s="1" t="s">
        <v>4639</v>
      </c>
      <c r="B4602" s="1" t="s">
        <v>32</v>
      </c>
      <c r="C4602" s="1">
        <v>0.0</v>
      </c>
      <c r="D4602" s="1" t="s">
        <v>25</v>
      </c>
      <c r="E4602" s="1" t="s">
        <v>25</v>
      </c>
      <c r="F4602" s="1">
        <v>56.0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1">
        <v>115.85</v>
      </c>
      <c r="T4602" s="1">
        <v>6567.9</v>
      </c>
      <c r="U4602" s="1">
        <v>0.0</v>
      </c>
      <c r="V4602" s="1">
        <v>0.0</v>
      </c>
      <c r="W4602" s="1" t="s">
        <v>26</v>
      </c>
    </row>
    <row r="4603" ht="15.75" customHeight="1">
      <c r="A4603" s="1" t="s">
        <v>4640</v>
      </c>
      <c r="B4603" s="1" t="s">
        <v>32</v>
      </c>
      <c r="C4603" s="1">
        <v>0.0</v>
      </c>
      <c r="D4603" s="1" t="s">
        <v>26</v>
      </c>
      <c r="E4603" s="1" t="s">
        <v>26</v>
      </c>
      <c r="F4603" s="1">
        <v>45.0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1">
        <v>103.65</v>
      </c>
      <c r="T4603" s="1">
        <v>4747.85</v>
      </c>
      <c r="U4603" s="1">
        <v>0.0</v>
      </c>
      <c r="V4603" s="1">
        <v>0.0</v>
      </c>
      <c r="W4603" s="1" t="s">
        <v>26</v>
      </c>
    </row>
    <row r="4604" ht="15.75" customHeight="1">
      <c r="A4604" s="1" t="s">
        <v>4641</v>
      </c>
      <c r="B4604" s="1" t="s">
        <v>24</v>
      </c>
      <c r="C4604" s="1">
        <v>0.0</v>
      </c>
      <c r="D4604" s="1" t="s">
        <v>26</v>
      </c>
      <c r="E4604" s="1" t="s">
        <v>26</v>
      </c>
      <c r="F4604" s="1">
        <v>67.0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1">
        <v>26.1</v>
      </c>
      <c r="T4604" s="1">
        <v>1759.55</v>
      </c>
      <c r="U4604" s="1">
        <v>4.0</v>
      </c>
      <c r="V4604" s="1">
        <v>0.0</v>
      </c>
      <c r="W4604" s="1" t="s">
        <v>26</v>
      </c>
    </row>
    <row r="4605" ht="15.75" customHeight="1">
      <c r="A4605" s="1" t="s">
        <v>4642</v>
      </c>
      <c r="B4605" s="1" t="s">
        <v>32</v>
      </c>
      <c r="C4605" s="1">
        <v>0.0</v>
      </c>
      <c r="D4605" s="1" t="s">
        <v>25</v>
      </c>
      <c r="E4605" s="1" t="s">
        <v>26</v>
      </c>
      <c r="F4605" s="1">
        <v>3.0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1">
        <v>35.1</v>
      </c>
      <c r="T4605" s="1">
        <v>101.1</v>
      </c>
      <c r="U4605" s="1">
        <v>0.0</v>
      </c>
      <c r="V4605" s="1">
        <v>0.0</v>
      </c>
      <c r="W4605" s="1" t="s">
        <v>26</v>
      </c>
    </row>
    <row r="4606" ht="15.75" customHeight="1">
      <c r="A4606" s="1" t="s">
        <v>4643</v>
      </c>
      <c r="B4606" s="1" t="s">
        <v>32</v>
      </c>
      <c r="C4606" s="1">
        <v>1.0</v>
      </c>
      <c r="D4606" s="1" t="s">
        <v>26</v>
      </c>
      <c r="E4606" s="1" t="s">
        <v>26</v>
      </c>
      <c r="F4606" s="1">
        <v>65.0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1">
        <v>99.1</v>
      </c>
      <c r="T4606" s="1">
        <v>6496.15</v>
      </c>
      <c r="U4606" s="1">
        <v>5.0</v>
      </c>
      <c r="V4606" s="1">
        <v>0.0</v>
      </c>
      <c r="W4606" s="1" t="s">
        <v>26</v>
      </c>
    </row>
    <row r="4607" ht="15.75" customHeight="1">
      <c r="A4607" s="1" t="s">
        <v>4644</v>
      </c>
      <c r="B4607" s="1" t="s">
        <v>32</v>
      </c>
      <c r="C4607" s="1">
        <v>0.0</v>
      </c>
      <c r="D4607" s="1" t="s">
        <v>25</v>
      </c>
      <c r="E4607" s="1" t="s">
        <v>26</v>
      </c>
      <c r="F4607" s="1">
        <v>63.0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1">
        <v>67.25</v>
      </c>
      <c r="T4607" s="1">
        <v>4234.15</v>
      </c>
      <c r="U4607" s="1">
        <v>0.0</v>
      </c>
      <c r="V4607" s="1">
        <v>0.0</v>
      </c>
      <c r="W4607" s="1" t="s">
        <v>26</v>
      </c>
    </row>
    <row r="4608" ht="15.75" customHeight="1">
      <c r="A4608" s="1" t="s">
        <v>4645</v>
      </c>
      <c r="B4608" s="1" t="s">
        <v>24</v>
      </c>
      <c r="C4608" s="1">
        <v>0.0</v>
      </c>
      <c r="D4608" s="1" t="s">
        <v>25</v>
      </c>
      <c r="E4608" s="1" t="s">
        <v>25</v>
      </c>
      <c r="F4608" s="1">
        <v>11.0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1">
        <v>25.0</v>
      </c>
      <c r="T4608" s="1">
        <v>300.7</v>
      </c>
      <c r="U4608" s="1">
        <v>0.0</v>
      </c>
      <c r="V4608" s="1">
        <v>0.0</v>
      </c>
      <c r="W4608" s="1" t="s">
        <v>26</v>
      </c>
    </row>
    <row r="4609" ht="15.75" customHeight="1">
      <c r="A4609" s="1" t="s">
        <v>4646</v>
      </c>
      <c r="B4609" s="1" t="s">
        <v>32</v>
      </c>
      <c r="C4609" s="1">
        <v>0.0</v>
      </c>
      <c r="D4609" s="1" t="s">
        <v>26</v>
      </c>
      <c r="E4609" s="1" t="s">
        <v>25</v>
      </c>
      <c r="F4609" s="1">
        <v>1.0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1">
        <v>59.55</v>
      </c>
      <c r="T4609" s="1">
        <v>59.55</v>
      </c>
      <c r="U4609" s="1">
        <v>0.0</v>
      </c>
      <c r="V4609" s="1">
        <v>0.0</v>
      </c>
      <c r="W4609" s="1" t="s">
        <v>26</v>
      </c>
    </row>
    <row r="4610" ht="15.75" customHeight="1">
      <c r="A4610" s="1" t="s">
        <v>4647</v>
      </c>
      <c r="B4610" s="1" t="s">
        <v>32</v>
      </c>
      <c r="C4610" s="1">
        <v>0.0</v>
      </c>
      <c r="D4610" s="1" t="s">
        <v>26</v>
      </c>
      <c r="E4610" s="1" t="s">
        <v>26</v>
      </c>
      <c r="F4610" s="1">
        <v>55.0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1">
        <v>77.8</v>
      </c>
      <c r="T4610" s="1">
        <v>4323.35</v>
      </c>
      <c r="U4610" s="1">
        <v>4.0</v>
      </c>
      <c r="V4610" s="1">
        <v>0.0</v>
      </c>
      <c r="W4610" s="1" t="s">
        <v>26</v>
      </c>
    </row>
    <row r="4611" ht="15.75" customHeight="1">
      <c r="A4611" s="1" t="s">
        <v>4648</v>
      </c>
      <c r="B4611" s="1" t="s">
        <v>32</v>
      </c>
      <c r="C4611" s="1">
        <v>0.0</v>
      </c>
      <c r="D4611" s="1" t="s">
        <v>25</v>
      </c>
      <c r="E4611" s="1" t="s">
        <v>25</v>
      </c>
      <c r="F4611" s="1">
        <v>25.0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1">
        <v>55.1</v>
      </c>
      <c r="T4611" s="1">
        <v>1466.1</v>
      </c>
      <c r="U4611" s="1">
        <v>0.0</v>
      </c>
      <c r="V4611" s="1">
        <v>0.0</v>
      </c>
      <c r="W4611" s="1" t="s">
        <v>26</v>
      </c>
    </row>
    <row r="4612" ht="15.75" customHeight="1">
      <c r="A4612" s="1" t="s">
        <v>4649</v>
      </c>
      <c r="B4612" s="1" t="s">
        <v>32</v>
      </c>
      <c r="C4612" s="1">
        <v>0.0</v>
      </c>
      <c r="D4612" s="1" t="s">
        <v>25</v>
      </c>
      <c r="E4612" s="1" t="s">
        <v>26</v>
      </c>
      <c r="F4612" s="1">
        <v>72.0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1">
        <v>117.8</v>
      </c>
      <c r="T4612" s="1">
        <v>8684.8</v>
      </c>
      <c r="U4612" s="1">
        <v>0.0</v>
      </c>
      <c r="V4612" s="1">
        <v>7.0</v>
      </c>
      <c r="W4612" s="1" t="s">
        <v>25</v>
      </c>
    </row>
    <row r="4613" ht="15.75" customHeight="1">
      <c r="A4613" s="1" t="s">
        <v>4650</v>
      </c>
      <c r="B4613" s="1" t="s">
        <v>24</v>
      </c>
      <c r="C4613" s="1">
        <v>0.0</v>
      </c>
      <c r="D4613" s="1" t="s">
        <v>25</v>
      </c>
      <c r="E4613" s="1" t="s">
        <v>26</v>
      </c>
      <c r="F4613" s="1">
        <v>72.0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1">
        <v>24.15</v>
      </c>
      <c r="T4613" s="1">
        <v>1776.45</v>
      </c>
      <c r="U4613" s="1">
        <v>0.0</v>
      </c>
      <c r="V4613" s="1">
        <v>5.0</v>
      </c>
      <c r="W4613" s="1" t="s">
        <v>26</v>
      </c>
    </row>
    <row r="4614" ht="15.75" customHeight="1">
      <c r="A4614" s="1" t="s">
        <v>4651</v>
      </c>
      <c r="B4614" s="1" t="s">
        <v>24</v>
      </c>
      <c r="C4614" s="1">
        <v>0.0</v>
      </c>
      <c r="D4614" s="1" t="s">
        <v>26</v>
      </c>
      <c r="E4614" s="1" t="s">
        <v>25</v>
      </c>
      <c r="F4614" s="1">
        <v>65.0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1">
        <v>45.25</v>
      </c>
      <c r="T4614" s="1">
        <v>2933.95</v>
      </c>
      <c r="U4614" s="1">
        <v>0.0</v>
      </c>
      <c r="V4614" s="1">
        <v>0.0</v>
      </c>
      <c r="W4614" s="1" t="s">
        <v>26</v>
      </c>
    </row>
    <row r="4615" ht="15.75" customHeight="1">
      <c r="A4615" s="1" t="s">
        <v>4652</v>
      </c>
      <c r="B4615" s="1" t="s">
        <v>24</v>
      </c>
      <c r="C4615" s="1">
        <v>1.0</v>
      </c>
      <c r="D4615" s="1" t="s">
        <v>26</v>
      </c>
      <c r="E4615" s="1" t="s">
        <v>26</v>
      </c>
      <c r="F4615" s="1">
        <v>54.0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1">
        <v>79.5</v>
      </c>
      <c r="T4615" s="1">
        <v>4370.25</v>
      </c>
      <c r="U4615" s="1">
        <v>0.0</v>
      </c>
      <c r="V4615" s="1">
        <v>0.0</v>
      </c>
      <c r="W4615" s="1" t="s">
        <v>25</v>
      </c>
    </row>
    <row r="4616" ht="15.75" customHeight="1">
      <c r="A4616" s="1" t="s">
        <v>4653</v>
      </c>
      <c r="B4616" s="1" t="s">
        <v>32</v>
      </c>
      <c r="C4616" s="1">
        <v>0.0</v>
      </c>
      <c r="D4616" s="1" t="s">
        <v>25</v>
      </c>
      <c r="E4616" s="1" t="s">
        <v>25</v>
      </c>
      <c r="F4616" s="1">
        <v>7.0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1">
        <v>20.25</v>
      </c>
      <c r="T4616" s="1">
        <v>144.35</v>
      </c>
      <c r="U4616" s="1">
        <v>0.0</v>
      </c>
      <c r="V4616" s="1">
        <v>0.0</v>
      </c>
      <c r="W4616" s="1" t="s">
        <v>26</v>
      </c>
    </row>
    <row r="4617" ht="15.75" customHeight="1">
      <c r="A4617" s="1" t="s">
        <v>4654</v>
      </c>
      <c r="B4617" s="1" t="s">
        <v>24</v>
      </c>
      <c r="C4617" s="1">
        <v>0.0</v>
      </c>
      <c r="D4617" s="1" t="s">
        <v>25</v>
      </c>
      <c r="E4617" s="1" t="s">
        <v>26</v>
      </c>
      <c r="F4617" s="1">
        <v>72.0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1">
        <v>64.75</v>
      </c>
      <c r="T4617" s="1">
        <v>4804.75</v>
      </c>
      <c r="U4617" s="1">
        <v>0.0</v>
      </c>
      <c r="V4617" s="1">
        <v>0.0</v>
      </c>
      <c r="W4617" s="1" t="s">
        <v>26</v>
      </c>
    </row>
    <row r="4618" ht="15.75" customHeight="1">
      <c r="A4618" s="1" t="s">
        <v>4655</v>
      </c>
      <c r="B4618" s="1" t="s">
        <v>32</v>
      </c>
      <c r="C4618" s="1">
        <v>0.0</v>
      </c>
      <c r="D4618" s="1" t="s">
        <v>25</v>
      </c>
      <c r="E4618" s="1" t="s">
        <v>26</v>
      </c>
      <c r="F4618" s="1">
        <v>21.0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1">
        <v>54.6</v>
      </c>
      <c r="T4618" s="1">
        <v>1125.2</v>
      </c>
      <c r="U4618" s="1">
        <v>2.0</v>
      </c>
      <c r="V4618" s="1">
        <v>0.0</v>
      </c>
      <c r="W4618" s="1" t="s">
        <v>26</v>
      </c>
    </row>
    <row r="4619" ht="15.75" customHeight="1">
      <c r="A4619" s="1" t="s">
        <v>4656</v>
      </c>
      <c r="B4619" s="1" t="s">
        <v>24</v>
      </c>
      <c r="C4619" s="1">
        <v>0.0</v>
      </c>
      <c r="D4619" s="1" t="s">
        <v>26</v>
      </c>
      <c r="E4619" s="1" t="s">
        <v>26</v>
      </c>
      <c r="F4619" s="1">
        <v>2.0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1">
        <v>20.7</v>
      </c>
      <c r="T4619" s="1">
        <v>39.85</v>
      </c>
      <c r="U4619" s="1">
        <v>0.0</v>
      </c>
      <c r="V4619" s="1">
        <v>0.0</v>
      </c>
      <c r="W4619" s="1" t="s">
        <v>26</v>
      </c>
    </row>
    <row r="4620" ht="15.75" customHeight="1">
      <c r="A4620" s="1" t="s">
        <v>4657</v>
      </c>
      <c r="B4620" s="1" t="s">
        <v>32</v>
      </c>
      <c r="C4620" s="1">
        <v>1.0</v>
      </c>
      <c r="D4620" s="1" t="s">
        <v>26</v>
      </c>
      <c r="E4620" s="1" t="s">
        <v>26</v>
      </c>
      <c r="F4620" s="1">
        <v>4.0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1">
        <v>94.75</v>
      </c>
      <c r="T4620" s="1">
        <v>422.4</v>
      </c>
      <c r="U4620" s="1">
        <v>5.0</v>
      </c>
      <c r="V4620" s="1">
        <v>0.0</v>
      </c>
      <c r="W4620" s="1" t="s">
        <v>26</v>
      </c>
    </row>
    <row r="4621" ht="15.75" customHeight="1">
      <c r="A4621" s="1" t="s">
        <v>4658</v>
      </c>
      <c r="B4621" s="1" t="s">
        <v>32</v>
      </c>
      <c r="C4621" s="1">
        <v>0.0</v>
      </c>
      <c r="D4621" s="1" t="s">
        <v>25</v>
      </c>
      <c r="E4621" s="1" t="s">
        <v>26</v>
      </c>
      <c r="F4621" s="1">
        <v>3.0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1">
        <v>79.65</v>
      </c>
      <c r="T4621" s="1">
        <v>251.75</v>
      </c>
      <c r="U4621" s="1">
        <v>0.0</v>
      </c>
      <c r="V4621" s="1">
        <v>0.0</v>
      </c>
      <c r="W4621" s="1" t="s">
        <v>25</v>
      </c>
    </row>
    <row r="4622" ht="15.75" customHeight="1">
      <c r="A4622" s="1" t="s">
        <v>4659</v>
      </c>
      <c r="B4622" s="1" t="s">
        <v>32</v>
      </c>
      <c r="C4622" s="1">
        <v>0.0</v>
      </c>
      <c r="D4622" s="1" t="s">
        <v>25</v>
      </c>
      <c r="E4622" s="1" t="s">
        <v>26</v>
      </c>
      <c r="F4622" s="1">
        <v>72.0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1">
        <v>115.8</v>
      </c>
      <c r="T4622" s="1">
        <v>8332.15</v>
      </c>
      <c r="U4622" s="1">
        <v>0.0</v>
      </c>
      <c r="V4622" s="1">
        <v>0.0</v>
      </c>
      <c r="W4622" s="1" t="s">
        <v>26</v>
      </c>
    </row>
    <row r="4623" ht="15.75" customHeight="1">
      <c r="A4623" s="1" t="s">
        <v>4660</v>
      </c>
      <c r="B4623" s="1" t="s">
        <v>24</v>
      </c>
      <c r="C4623" s="1">
        <v>0.0</v>
      </c>
      <c r="D4623" s="1" t="s">
        <v>26</v>
      </c>
      <c r="E4623" s="1" t="s">
        <v>26</v>
      </c>
      <c r="F4623" s="1">
        <v>6.0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1">
        <v>49.45</v>
      </c>
      <c r="T4623" s="1">
        <v>314.6</v>
      </c>
      <c r="U4623" s="1">
        <v>0.0</v>
      </c>
      <c r="V4623" s="1">
        <v>0.0</v>
      </c>
      <c r="W4623" s="1" t="s">
        <v>26</v>
      </c>
    </row>
    <row r="4624" ht="15.75" customHeight="1">
      <c r="A4624" s="1" t="s">
        <v>4661</v>
      </c>
      <c r="B4624" s="1" t="s">
        <v>32</v>
      </c>
      <c r="C4624" s="1">
        <v>0.0</v>
      </c>
      <c r="D4624" s="1" t="s">
        <v>26</v>
      </c>
      <c r="E4624" s="1" t="s">
        <v>26</v>
      </c>
      <c r="F4624" s="1">
        <v>52.0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1">
        <v>83.8</v>
      </c>
      <c r="T4624" s="1">
        <v>4331.4</v>
      </c>
      <c r="U4624" s="1">
        <v>0.0</v>
      </c>
      <c r="V4624" s="1">
        <v>1.0</v>
      </c>
      <c r="W4624" s="1" t="s">
        <v>26</v>
      </c>
    </row>
    <row r="4625" ht="15.75" customHeight="1">
      <c r="A4625" s="1" t="s">
        <v>4662</v>
      </c>
      <c r="B4625" s="1" t="s">
        <v>32</v>
      </c>
      <c r="C4625" s="1">
        <v>1.0</v>
      </c>
      <c r="D4625" s="1" t="s">
        <v>25</v>
      </c>
      <c r="E4625" s="1" t="s">
        <v>26</v>
      </c>
      <c r="F4625" s="1">
        <v>69.0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1">
        <v>95.35</v>
      </c>
      <c r="T4625" s="1">
        <v>6382.0</v>
      </c>
      <c r="U4625" s="1">
        <v>0.0</v>
      </c>
      <c r="V4625" s="1">
        <v>0.0</v>
      </c>
      <c r="W4625" s="1" t="s">
        <v>26</v>
      </c>
    </row>
    <row r="4626" ht="15.75" customHeight="1">
      <c r="A4626" s="1" t="s">
        <v>4663</v>
      </c>
      <c r="B4626" s="1" t="s">
        <v>32</v>
      </c>
      <c r="C4626" s="1">
        <v>0.0</v>
      </c>
      <c r="D4626" s="1" t="s">
        <v>26</v>
      </c>
      <c r="E4626" s="1" t="s">
        <v>26</v>
      </c>
      <c r="F4626" s="1">
        <v>8.0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1">
        <v>94.7</v>
      </c>
      <c r="T4626" s="1">
        <v>740.3</v>
      </c>
      <c r="U4626" s="1">
        <v>0.0</v>
      </c>
      <c r="V4626" s="1">
        <v>0.0</v>
      </c>
      <c r="W4626" s="1" t="s">
        <v>25</v>
      </c>
    </row>
    <row r="4627" ht="15.75" customHeight="1">
      <c r="A4627" s="1" t="s">
        <v>4664</v>
      </c>
      <c r="B4627" s="1" t="s">
        <v>24</v>
      </c>
      <c r="C4627" s="1">
        <v>1.0</v>
      </c>
      <c r="D4627" s="1" t="s">
        <v>26</v>
      </c>
      <c r="E4627" s="1" t="s">
        <v>26</v>
      </c>
      <c r="F4627" s="1">
        <v>8.0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1">
        <v>74.05</v>
      </c>
      <c r="T4627" s="1">
        <v>600.15</v>
      </c>
      <c r="U4627" s="1">
        <v>0.0</v>
      </c>
      <c r="V4627" s="1">
        <v>0.0</v>
      </c>
      <c r="W4627" s="1" t="s">
        <v>26</v>
      </c>
    </row>
    <row r="4628" ht="15.75" customHeight="1">
      <c r="A4628" s="1" t="s">
        <v>4665</v>
      </c>
      <c r="B4628" s="1" t="s">
        <v>24</v>
      </c>
      <c r="C4628" s="1">
        <v>1.0</v>
      </c>
      <c r="D4628" s="1" t="s">
        <v>26</v>
      </c>
      <c r="E4628" s="1" t="s">
        <v>26</v>
      </c>
      <c r="F4628" s="1">
        <v>63.0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1">
        <v>89.6</v>
      </c>
      <c r="T4628" s="1">
        <v>5538.8</v>
      </c>
      <c r="U4628" s="1">
        <v>0.0</v>
      </c>
      <c r="V4628" s="1">
        <v>2.0</v>
      </c>
      <c r="W4628" s="1" t="s">
        <v>26</v>
      </c>
    </row>
    <row r="4629" ht="15.75" customHeight="1">
      <c r="A4629" s="1" t="s">
        <v>4666</v>
      </c>
      <c r="B4629" s="1" t="s">
        <v>32</v>
      </c>
      <c r="C4629" s="1">
        <v>0.0</v>
      </c>
      <c r="D4629" s="1" t="s">
        <v>26</v>
      </c>
      <c r="E4629" s="1" t="s">
        <v>26</v>
      </c>
      <c r="F4629" s="1">
        <v>60.0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1">
        <v>116.6</v>
      </c>
      <c r="T4629" s="1">
        <v>7049.5</v>
      </c>
      <c r="U4629" s="1">
        <v>0.0</v>
      </c>
      <c r="V4629" s="1">
        <v>0.0</v>
      </c>
      <c r="W4629" s="1" t="s">
        <v>26</v>
      </c>
    </row>
    <row r="4630" ht="15.75" customHeight="1">
      <c r="A4630" s="1" t="s">
        <v>4667</v>
      </c>
      <c r="B4630" s="1" t="s">
        <v>24</v>
      </c>
      <c r="C4630" s="1">
        <v>0.0</v>
      </c>
      <c r="D4630" s="1" t="s">
        <v>25</v>
      </c>
      <c r="E4630" s="1" t="s">
        <v>26</v>
      </c>
      <c r="F4630" s="1">
        <v>12.0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1">
        <v>54.2</v>
      </c>
      <c r="T4630" s="1">
        <v>690.5</v>
      </c>
      <c r="U4630" s="1">
        <v>0.0</v>
      </c>
      <c r="V4630" s="1">
        <v>0.0</v>
      </c>
      <c r="W4630" s="1" t="s">
        <v>26</v>
      </c>
    </row>
    <row r="4631" ht="15.75" customHeight="1">
      <c r="A4631" s="1" t="s">
        <v>4668</v>
      </c>
      <c r="B4631" s="1" t="s">
        <v>24</v>
      </c>
      <c r="C4631" s="1">
        <v>0.0</v>
      </c>
      <c r="D4631" s="1" t="s">
        <v>26</v>
      </c>
      <c r="E4631" s="1" t="s">
        <v>26</v>
      </c>
      <c r="F4631" s="1">
        <v>13.0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1">
        <v>19.3</v>
      </c>
      <c r="T4631" s="1">
        <v>279.3</v>
      </c>
      <c r="U4631" s="1">
        <v>0.0</v>
      </c>
      <c r="V4631" s="1">
        <v>0.0</v>
      </c>
      <c r="W4631" s="1" t="s">
        <v>26</v>
      </c>
    </row>
    <row r="4632" ht="15.75" customHeight="1">
      <c r="A4632" s="1" t="s">
        <v>4669</v>
      </c>
      <c r="B4632" s="1" t="s">
        <v>32</v>
      </c>
      <c r="C4632" s="1">
        <v>0.0</v>
      </c>
      <c r="D4632" s="1" t="s">
        <v>26</v>
      </c>
      <c r="E4632" s="1" t="s">
        <v>26</v>
      </c>
      <c r="F4632" s="1">
        <v>22.0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1">
        <v>65.05</v>
      </c>
      <c r="T4632" s="1">
        <v>1427.55</v>
      </c>
      <c r="U4632" s="1">
        <v>0.0</v>
      </c>
      <c r="V4632" s="1">
        <v>0.0</v>
      </c>
      <c r="W4632" s="1" t="s">
        <v>26</v>
      </c>
    </row>
    <row r="4633" ht="15.75" customHeight="1">
      <c r="A4633" s="1" t="s">
        <v>4670</v>
      </c>
      <c r="B4633" s="1" t="s">
        <v>32</v>
      </c>
      <c r="C4633" s="1">
        <v>0.0</v>
      </c>
      <c r="D4633" s="1" t="s">
        <v>26</v>
      </c>
      <c r="E4633" s="1" t="s">
        <v>26</v>
      </c>
      <c r="F4633" s="1">
        <v>5.0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1">
        <v>92.5</v>
      </c>
      <c r="T4633" s="1">
        <v>452.7</v>
      </c>
      <c r="U4633" s="1">
        <v>0.0</v>
      </c>
      <c r="V4633" s="1">
        <v>1.0</v>
      </c>
      <c r="W4633" s="1" t="s">
        <v>25</v>
      </c>
    </row>
    <row r="4634" ht="15.75" customHeight="1">
      <c r="A4634" s="1" t="s">
        <v>4671</v>
      </c>
      <c r="B4634" s="1" t="s">
        <v>24</v>
      </c>
      <c r="C4634" s="1">
        <v>0.0</v>
      </c>
      <c r="D4634" s="1" t="s">
        <v>25</v>
      </c>
      <c r="E4634" s="1" t="s">
        <v>25</v>
      </c>
      <c r="F4634" s="1">
        <v>1.0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1">
        <v>19.45</v>
      </c>
      <c r="T4634" s="1">
        <v>19.45</v>
      </c>
      <c r="U4634" s="1">
        <v>0.0</v>
      </c>
      <c r="V4634" s="1">
        <v>0.0</v>
      </c>
      <c r="W4634" s="1" t="s">
        <v>25</v>
      </c>
    </row>
    <row r="4635" ht="15.75" customHeight="1">
      <c r="A4635" s="1" t="s">
        <v>4672</v>
      </c>
      <c r="B4635" s="1" t="s">
        <v>24</v>
      </c>
      <c r="C4635" s="1">
        <v>0.0</v>
      </c>
      <c r="D4635" s="1" t="s">
        <v>25</v>
      </c>
      <c r="E4635" s="1" t="s">
        <v>25</v>
      </c>
      <c r="F4635" s="1">
        <v>72.0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1">
        <v>24.05</v>
      </c>
      <c r="T4635" s="1">
        <v>1709.15</v>
      </c>
      <c r="U4635" s="1">
        <v>0.0</v>
      </c>
      <c r="V4635" s="1">
        <v>0.0</v>
      </c>
      <c r="W4635" s="1" t="s">
        <v>26</v>
      </c>
    </row>
    <row r="4636" ht="15.75" customHeight="1">
      <c r="A4636" s="1" t="s">
        <v>4673</v>
      </c>
      <c r="B4636" s="1" t="s">
        <v>24</v>
      </c>
      <c r="C4636" s="1">
        <v>0.0</v>
      </c>
      <c r="D4636" s="1" t="s">
        <v>26</v>
      </c>
      <c r="E4636" s="1" t="s">
        <v>26</v>
      </c>
      <c r="F4636" s="1">
        <v>2.0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1">
        <v>18.75</v>
      </c>
      <c r="T4636" s="1">
        <v>53.15</v>
      </c>
      <c r="U4636" s="1">
        <v>0.0</v>
      </c>
      <c r="V4636" s="1">
        <v>0.0</v>
      </c>
      <c r="W4636" s="1" t="s">
        <v>26</v>
      </c>
    </row>
    <row r="4637" ht="15.75" customHeight="1">
      <c r="A4637" s="1" t="s">
        <v>4674</v>
      </c>
      <c r="B4637" s="1" t="s">
        <v>24</v>
      </c>
      <c r="C4637" s="1">
        <v>0.0</v>
      </c>
      <c r="D4637" s="1" t="s">
        <v>25</v>
      </c>
      <c r="E4637" s="1" t="s">
        <v>25</v>
      </c>
      <c r="F4637" s="1">
        <v>40.0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1">
        <v>20.15</v>
      </c>
      <c r="T4637" s="1">
        <v>777.35</v>
      </c>
      <c r="U4637" s="1">
        <v>0.0</v>
      </c>
      <c r="V4637" s="1">
        <v>0.0</v>
      </c>
      <c r="W4637" s="1" t="s">
        <v>26</v>
      </c>
    </row>
    <row r="4638" ht="15.75" customHeight="1">
      <c r="A4638" s="1" t="s">
        <v>4675</v>
      </c>
      <c r="B4638" s="1" t="s">
        <v>32</v>
      </c>
      <c r="C4638" s="1">
        <v>0.0</v>
      </c>
      <c r="D4638" s="1" t="s">
        <v>25</v>
      </c>
      <c r="E4638" s="1" t="s">
        <v>25</v>
      </c>
      <c r="F4638" s="1">
        <v>44.0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1">
        <v>20.0</v>
      </c>
      <c r="T4638" s="1">
        <v>860.85</v>
      </c>
      <c r="U4638" s="1">
        <v>0.0</v>
      </c>
      <c r="V4638" s="1">
        <v>0.0</v>
      </c>
      <c r="W4638" s="1" t="s">
        <v>26</v>
      </c>
    </row>
    <row r="4639" ht="15.75" customHeight="1">
      <c r="A4639" s="1" t="s">
        <v>4676</v>
      </c>
      <c r="B4639" s="1" t="s">
        <v>32</v>
      </c>
      <c r="C4639" s="1">
        <v>1.0</v>
      </c>
      <c r="D4639" s="1" t="s">
        <v>25</v>
      </c>
      <c r="E4639" s="1" t="s">
        <v>26</v>
      </c>
      <c r="F4639" s="1">
        <v>71.0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1">
        <v>71.0</v>
      </c>
      <c r="T4639" s="1">
        <v>5012.1</v>
      </c>
      <c r="U4639" s="1">
        <v>5.0</v>
      </c>
      <c r="V4639" s="1">
        <v>0.0</v>
      </c>
      <c r="W4639" s="1" t="s">
        <v>26</v>
      </c>
    </row>
    <row r="4640" ht="15.75" customHeight="1">
      <c r="A4640" s="1" t="s">
        <v>4677</v>
      </c>
      <c r="B4640" s="1" t="s">
        <v>24</v>
      </c>
      <c r="C4640" s="1">
        <v>0.0</v>
      </c>
      <c r="D4640" s="1" t="s">
        <v>26</v>
      </c>
      <c r="E4640" s="1" t="s">
        <v>26</v>
      </c>
      <c r="F4640" s="1">
        <v>2.0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1">
        <v>75.55</v>
      </c>
      <c r="T4640" s="1">
        <v>166.3</v>
      </c>
      <c r="U4640" s="1">
        <v>0.0</v>
      </c>
      <c r="V4640" s="1">
        <v>0.0</v>
      </c>
      <c r="W4640" s="1" t="s">
        <v>25</v>
      </c>
    </row>
    <row r="4641" ht="15.75" customHeight="1">
      <c r="A4641" s="1" t="s">
        <v>4678</v>
      </c>
      <c r="B4641" s="1" t="s">
        <v>32</v>
      </c>
      <c r="C4641" s="1">
        <v>1.0</v>
      </c>
      <c r="D4641" s="1" t="s">
        <v>26</v>
      </c>
      <c r="E4641" s="1" t="s">
        <v>26</v>
      </c>
      <c r="F4641" s="1">
        <v>26.0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1">
        <v>93.6</v>
      </c>
      <c r="T4641" s="1">
        <v>2404.1</v>
      </c>
      <c r="U4641" s="1">
        <v>3.0</v>
      </c>
      <c r="V4641" s="1">
        <v>0.0</v>
      </c>
      <c r="W4641" s="1" t="s">
        <v>26</v>
      </c>
    </row>
    <row r="4642" ht="15.75" customHeight="1">
      <c r="A4642" s="1" t="s">
        <v>4679</v>
      </c>
      <c r="B4642" s="1" t="s">
        <v>32</v>
      </c>
      <c r="C4642" s="1">
        <v>0.0</v>
      </c>
      <c r="D4642" s="1" t="s">
        <v>25</v>
      </c>
      <c r="E4642" s="1" t="s">
        <v>25</v>
      </c>
      <c r="F4642" s="1">
        <v>1.0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1">
        <v>70.0</v>
      </c>
      <c r="T4642" s="1">
        <v>70.0</v>
      </c>
      <c r="U4642" s="1">
        <v>0.0</v>
      </c>
      <c r="V4642" s="1">
        <v>0.0</v>
      </c>
      <c r="W4642" s="1" t="s">
        <v>25</v>
      </c>
    </row>
    <row r="4643" ht="15.75" customHeight="1">
      <c r="A4643" s="1" t="s">
        <v>4680</v>
      </c>
      <c r="B4643" s="1" t="s">
        <v>24</v>
      </c>
      <c r="C4643" s="1">
        <v>0.0</v>
      </c>
      <c r="D4643" s="1" t="s">
        <v>26</v>
      </c>
      <c r="E4643" s="1" t="s">
        <v>26</v>
      </c>
      <c r="F4643" s="1">
        <v>1.0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1">
        <v>24.4</v>
      </c>
      <c r="T4643" s="1">
        <v>24.4</v>
      </c>
      <c r="U4643" s="1">
        <v>0.0</v>
      </c>
      <c r="V4643" s="1">
        <v>0.0</v>
      </c>
      <c r="W4643" s="1" t="s">
        <v>26</v>
      </c>
    </row>
    <row r="4644" ht="15.75" customHeight="1">
      <c r="A4644" s="1" t="s">
        <v>4681</v>
      </c>
      <c r="B4644" s="1" t="s">
        <v>32</v>
      </c>
      <c r="C4644" s="1">
        <v>0.0</v>
      </c>
      <c r="D4644" s="1" t="s">
        <v>25</v>
      </c>
      <c r="E4644" s="1" t="s">
        <v>25</v>
      </c>
      <c r="F4644" s="1">
        <v>65.0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1">
        <v>74.8</v>
      </c>
      <c r="T4644" s="1">
        <v>4820.15</v>
      </c>
      <c r="U4644" s="1">
        <v>0.0</v>
      </c>
      <c r="V4644" s="1">
        <v>6.0</v>
      </c>
      <c r="W4644" s="1" t="s">
        <v>25</v>
      </c>
    </row>
    <row r="4645" ht="15.75" customHeight="1">
      <c r="A4645" s="1" t="s">
        <v>4682</v>
      </c>
      <c r="B4645" s="1" t="s">
        <v>32</v>
      </c>
      <c r="C4645" s="1">
        <v>0.0</v>
      </c>
      <c r="D4645" s="1" t="s">
        <v>26</v>
      </c>
      <c r="E4645" s="1" t="s">
        <v>26</v>
      </c>
      <c r="F4645" s="1">
        <v>3.0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1">
        <v>65.25</v>
      </c>
      <c r="T4645" s="1">
        <v>209.9</v>
      </c>
      <c r="U4645" s="1">
        <v>0.0</v>
      </c>
      <c r="V4645" s="1">
        <v>0.0</v>
      </c>
      <c r="W4645" s="1" t="s">
        <v>26</v>
      </c>
    </row>
    <row r="4646" ht="15.75" customHeight="1">
      <c r="A4646" s="1" t="s">
        <v>4683</v>
      </c>
      <c r="B4646" s="1" t="s">
        <v>32</v>
      </c>
      <c r="C4646" s="1">
        <v>0.0</v>
      </c>
      <c r="D4646" s="1" t="s">
        <v>26</v>
      </c>
      <c r="E4646" s="1" t="s">
        <v>26</v>
      </c>
      <c r="F4646" s="1">
        <v>13.0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1">
        <v>50.55</v>
      </c>
      <c r="T4646" s="1">
        <v>610.75</v>
      </c>
      <c r="U4646" s="1">
        <v>0.0</v>
      </c>
      <c r="V4646" s="1">
        <v>0.0</v>
      </c>
      <c r="W4646" s="1" t="s">
        <v>26</v>
      </c>
    </row>
    <row r="4647" ht="15.75" customHeight="1">
      <c r="A4647" s="1" t="s">
        <v>4684</v>
      </c>
      <c r="B4647" s="1" t="s">
        <v>24</v>
      </c>
      <c r="C4647" s="1">
        <v>0.0</v>
      </c>
      <c r="D4647" s="1" t="s">
        <v>25</v>
      </c>
      <c r="E4647" s="1" t="s">
        <v>26</v>
      </c>
      <c r="F4647" s="1">
        <v>33.0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1">
        <v>104.4</v>
      </c>
      <c r="T4647" s="1">
        <v>3409.6</v>
      </c>
      <c r="U4647" s="1">
        <v>0.0</v>
      </c>
      <c r="V4647" s="1">
        <v>3.0</v>
      </c>
      <c r="W4647" s="1" t="s">
        <v>25</v>
      </c>
    </row>
    <row r="4648" ht="15.75" customHeight="1">
      <c r="A4648" s="1" t="s">
        <v>4685</v>
      </c>
      <c r="B4648" s="1" t="s">
        <v>24</v>
      </c>
      <c r="C4648" s="1">
        <v>0.0</v>
      </c>
      <c r="D4648" s="1" t="s">
        <v>26</v>
      </c>
      <c r="E4648" s="1" t="s">
        <v>26</v>
      </c>
      <c r="F4648" s="1">
        <v>1.0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1">
        <v>70.7</v>
      </c>
      <c r="T4648" s="1">
        <v>70.7</v>
      </c>
      <c r="U4648" s="1">
        <v>0.0</v>
      </c>
      <c r="V4648" s="1">
        <v>0.0</v>
      </c>
      <c r="W4648" s="1" t="s">
        <v>26</v>
      </c>
    </row>
    <row r="4649" ht="15.75" customHeight="1">
      <c r="A4649" s="1" t="s">
        <v>4686</v>
      </c>
      <c r="B4649" s="1" t="s">
        <v>32</v>
      </c>
      <c r="C4649" s="1">
        <v>0.0</v>
      </c>
      <c r="D4649" s="1" t="s">
        <v>25</v>
      </c>
      <c r="E4649" s="1" t="s">
        <v>25</v>
      </c>
      <c r="F4649" s="1">
        <v>4.0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1">
        <v>45.25</v>
      </c>
      <c r="T4649" s="1">
        <v>155.35</v>
      </c>
      <c r="U4649" s="1">
        <v>0.0</v>
      </c>
      <c r="V4649" s="1">
        <v>0.0</v>
      </c>
      <c r="W4649" s="1" t="s">
        <v>26</v>
      </c>
    </row>
    <row r="4650" ht="15.75" customHeight="1">
      <c r="A4650" s="1" t="s">
        <v>4687</v>
      </c>
      <c r="B4650" s="1" t="s">
        <v>32</v>
      </c>
      <c r="C4650" s="1">
        <v>0.0</v>
      </c>
      <c r="D4650" s="1" t="s">
        <v>26</v>
      </c>
      <c r="E4650" s="1" t="s">
        <v>26</v>
      </c>
      <c r="F4650" s="1">
        <v>2.0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1">
        <v>70.3</v>
      </c>
      <c r="T4650" s="1">
        <v>144.0</v>
      </c>
      <c r="U4650" s="1">
        <v>0.0</v>
      </c>
      <c r="V4650" s="1">
        <v>0.0</v>
      </c>
      <c r="W4650" s="1" t="s">
        <v>26</v>
      </c>
    </row>
    <row r="4651" ht="15.75" customHeight="1">
      <c r="A4651" s="1" t="s">
        <v>4688</v>
      </c>
      <c r="B4651" s="1" t="s">
        <v>32</v>
      </c>
      <c r="C4651" s="1">
        <v>0.0</v>
      </c>
      <c r="D4651" s="1" t="s">
        <v>25</v>
      </c>
      <c r="E4651" s="1" t="s">
        <v>26</v>
      </c>
      <c r="F4651" s="1">
        <v>72.0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1">
        <v>108.95</v>
      </c>
      <c r="T4651" s="1">
        <v>7875.0</v>
      </c>
      <c r="U4651" s="1">
        <v>5.0</v>
      </c>
      <c r="V4651" s="1">
        <v>5.0</v>
      </c>
      <c r="W4651" s="1" t="s">
        <v>26</v>
      </c>
    </row>
    <row r="4652" ht="15.75" customHeight="1">
      <c r="A4652" s="1" t="s">
        <v>4689</v>
      </c>
      <c r="B4652" s="1" t="s">
        <v>24</v>
      </c>
      <c r="C4652" s="1">
        <v>0.0</v>
      </c>
      <c r="D4652" s="1" t="s">
        <v>25</v>
      </c>
      <c r="E4652" s="1" t="s">
        <v>25</v>
      </c>
      <c r="F4652" s="1">
        <v>37.0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1">
        <v>26.45</v>
      </c>
      <c r="T4652" s="1">
        <v>911.6</v>
      </c>
      <c r="U4652" s="1">
        <v>0.0</v>
      </c>
      <c r="V4652" s="1">
        <v>0.0</v>
      </c>
      <c r="W4652" s="1" t="s">
        <v>26</v>
      </c>
    </row>
    <row r="4653" ht="15.75" customHeight="1">
      <c r="A4653" s="1" t="s">
        <v>4690</v>
      </c>
      <c r="B4653" s="1" t="s">
        <v>24</v>
      </c>
      <c r="C4653" s="1">
        <v>0.0</v>
      </c>
      <c r="D4653" s="1" t="s">
        <v>26</v>
      </c>
      <c r="E4653" s="1" t="s">
        <v>26</v>
      </c>
      <c r="F4653" s="1">
        <v>15.0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1">
        <v>86.2</v>
      </c>
      <c r="T4653" s="1">
        <v>1270.2</v>
      </c>
      <c r="U4653" s="1">
        <v>2.0</v>
      </c>
      <c r="V4653" s="1">
        <v>1.0</v>
      </c>
      <c r="W4653" s="1" t="s">
        <v>25</v>
      </c>
    </row>
    <row r="4654" ht="15.75" customHeight="1">
      <c r="A4654" s="1" t="s">
        <v>4691</v>
      </c>
      <c r="B4654" s="1" t="s">
        <v>24</v>
      </c>
      <c r="C4654" s="1">
        <v>0.0</v>
      </c>
      <c r="D4654" s="1" t="s">
        <v>26</v>
      </c>
      <c r="E4654" s="1" t="s">
        <v>26</v>
      </c>
      <c r="F4654" s="1">
        <v>23.0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1">
        <v>19.65</v>
      </c>
      <c r="T4654" s="1">
        <v>478.1</v>
      </c>
      <c r="U4654" s="1">
        <v>0.0</v>
      </c>
      <c r="V4654" s="1">
        <v>1.0</v>
      </c>
      <c r="W4654" s="1" t="s">
        <v>26</v>
      </c>
    </row>
    <row r="4655" ht="15.75" customHeight="1">
      <c r="A4655" s="1" t="s">
        <v>4692</v>
      </c>
      <c r="B4655" s="1" t="s">
        <v>24</v>
      </c>
      <c r="C4655" s="1">
        <v>0.0</v>
      </c>
      <c r="D4655" s="1" t="s">
        <v>25</v>
      </c>
      <c r="E4655" s="1" t="s">
        <v>25</v>
      </c>
      <c r="F4655" s="1">
        <v>30.0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1">
        <v>51.2</v>
      </c>
      <c r="T4655" s="1">
        <v>1561.5</v>
      </c>
      <c r="U4655" s="1">
        <v>0.0</v>
      </c>
      <c r="V4655" s="1">
        <v>4.0</v>
      </c>
      <c r="W4655" s="1" t="s">
        <v>25</v>
      </c>
    </row>
    <row r="4656" ht="15.75" customHeight="1">
      <c r="A4656" s="1" t="s">
        <v>4693</v>
      </c>
      <c r="B4656" s="1" t="s">
        <v>24</v>
      </c>
      <c r="C4656" s="1">
        <v>0.0</v>
      </c>
      <c r="D4656" s="1" t="s">
        <v>25</v>
      </c>
      <c r="E4656" s="1" t="s">
        <v>25</v>
      </c>
      <c r="F4656" s="1">
        <v>42.0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1">
        <v>19.05</v>
      </c>
      <c r="T4656" s="1">
        <v>761.85</v>
      </c>
      <c r="U4656" s="1">
        <v>0.0</v>
      </c>
      <c r="V4656" s="1">
        <v>0.0</v>
      </c>
      <c r="W4656" s="1" t="s">
        <v>26</v>
      </c>
    </row>
    <row r="4657" ht="15.75" customHeight="1">
      <c r="A4657" s="1" t="s">
        <v>4694</v>
      </c>
      <c r="B4657" s="1" t="s">
        <v>24</v>
      </c>
      <c r="C4657" s="1">
        <v>0.0</v>
      </c>
      <c r="D4657" s="1" t="s">
        <v>26</v>
      </c>
      <c r="E4657" s="1" t="s">
        <v>26</v>
      </c>
      <c r="F4657" s="1">
        <v>32.0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1">
        <v>74.75</v>
      </c>
      <c r="T4657" s="1">
        <v>2282.95</v>
      </c>
      <c r="U4657" s="1">
        <v>0.0</v>
      </c>
      <c r="V4657" s="1">
        <v>0.0</v>
      </c>
      <c r="W4657" s="1" t="s">
        <v>26</v>
      </c>
    </row>
    <row r="4658" ht="15.75" customHeight="1">
      <c r="A4658" s="1" t="s">
        <v>4695</v>
      </c>
      <c r="B4658" s="1" t="s">
        <v>24</v>
      </c>
      <c r="C4658" s="1">
        <v>0.0</v>
      </c>
      <c r="D4658" s="1" t="s">
        <v>25</v>
      </c>
      <c r="E4658" s="1" t="s">
        <v>25</v>
      </c>
      <c r="F4658" s="1">
        <v>22.0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1">
        <v>75.8</v>
      </c>
      <c r="T4658" s="1">
        <v>1615.1</v>
      </c>
      <c r="U4658" s="1">
        <v>0.0</v>
      </c>
      <c r="V4658" s="1">
        <v>0.0</v>
      </c>
      <c r="W4658" s="1" t="s">
        <v>26</v>
      </c>
    </row>
    <row r="4659" ht="15.75" customHeight="1">
      <c r="A4659" s="1" t="s">
        <v>4696</v>
      </c>
      <c r="B4659" s="1" t="s">
        <v>32</v>
      </c>
      <c r="C4659" s="1">
        <v>0.0</v>
      </c>
      <c r="D4659" s="1" t="s">
        <v>25</v>
      </c>
      <c r="E4659" s="1" t="s">
        <v>26</v>
      </c>
      <c r="F4659" s="1">
        <v>42.0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1">
        <v>25.1</v>
      </c>
      <c r="T4659" s="1">
        <v>1097.15</v>
      </c>
      <c r="U4659" s="1">
        <v>0.0</v>
      </c>
      <c r="V4659" s="1">
        <v>0.0</v>
      </c>
      <c r="W4659" s="1" t="s">
        <v>26</v>
      </c>
    </row>
    <row r="4660" ht="15.75" customHeight="1">
      <c r="A4660" s="1" t="s">
        <v>4697</v>
      </c>
      <c r="B4660" s="1" t="s">
        <v>24</v>
      </c>
      <c r="C4660" s="1">
        <v>0.0</v>
      </c>
      <c r="D4660" s="1" t="s">
        <v>26</v>
      </c>
      <c r="E4660" s="1" t="s">
        <v>26</v>
      </c>
      <c r="F4660" s="1">
        <v>8.0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1">
        <v>44.45</v>
      </c>
      <c r="T4660" s="1">
        <v>369.3</v>
      </c>
      <c r="U4660" s="1">
        <v>0.0</v>
      </c>
      <c r="V4660" s="1">
        <v>0.0</v>
      </c>
      <c r="W4660" s="1" t="s">
        <v>26</v>
      </c>
    </row>
    <row r="4661" ht="15.75" customHeight="1">
      <c r="A4661" s="1" t="s">
        <v>4698</v>
      </c>
      <c r="B4661" s="1" t="s">
        <v>24</v>
      </c>
      <c r="C4661" s="1">
        <v>0.0</v>
      </c>
      <c r="D4661" s="1" t="s">
        <v>25</v>
      </c>
      <c r="E4661" s="1" t="s">
        <v>25</v>
      </c>
      <c r="F4661" s="1">
        <v>65.0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1">
        <v>104.3</v>
      </c>
      <c r="T4661" s="1">
        <v>6725.3</v>
      </c>
      <c r="U4661" s="1">
        <v>0.0</v>
      </c>
      <c r="V4661" s="1">
        <v>0.0</v>
      </c>
      <c r="W4661" s="1" t="s">
        <v>26</v>
      </c>
    </row>
    <row r="4662" ht="15.75" customHeight="1">
      <c r="A4662" s="1" t="s">
        <v>4699</v>
      </c>
      <c r="B4662" s="1" t="s">
        <v>24</v>
      </c>
      <c r="C4662" s="1">
        <v>0.0</v>
      </c>
      <c r="D4662" s="1" t="s">
        <v>26</v>
      </c>
      <c r="E4662" s="1" t="s">
        <v>26</v>
      </c>
      <c r="F4662" s="1">
        <v>2.0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1">
        <v>19.5</v>
      </c>
      <c r="T4662" s="1">
        <v>31.55</v>
      </c>
      <c r="U4662" s="1">
        <v>0.0</v>
      </c>
      <c r="V4662" s="1">
        <v>0.0</v>
      </c>
      <c r="W4662" s="1" t="s">
        <v>25</v>
      </c>
    </row>
    <row r="4663" ht="15.75" customHeight="1">
      <c r="A4663" s="1" t="s">
        <v>4700</v>
      </c>
      <c r="B4663" s="1" t="s">
        <v>24</v>
      </c>
      <c r="C4663" s="1">
        <v>0.0</v>
      </c>
      <c r="D4663" s="1" t="s">
        <v>25</v>
      </c>
      <c r="E4663" s="1" t="s">
        <v>25</v>
      </c>
      <c r="F4663" s="1">
        <v>70.0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1">
        <v>89.0</v>
      </c>
      <c r="T4663" s="1">
        <v>6293.2</v>
      </c>
      <c r="U4663" s="1">
        <v>0.0</v>
      </c>
      <c r="V4663" s="1">
        <v>0.0</v>
      </c>
      <c r="W4663" s="1" t="s">
        <v>26</v>
      </c>
    </row>
    <row r="4664" ht="15.75" customHeight="1">
      <c r="A4664" s="1" t="s">
        <v>4701</v>
      </c>
      <c r="B4664" s="1" t="s">
        <v>32</v>
      </c>
      <c r="C4664" s="1">
        <v>0.0</v>
      </c>
      <c r="D4664" s="1" t="s">
        <v>26</v>
      </c>
      <c r="E4664" s="1" t="s">
        <v>25</v>
      </c>
      <c r="F4664" s="1">
        <v>22.0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1">
        <v>20.15</v>
      </c>
      <c r="T4664" s="1">
        <v>432.5</v>
      </c>
      <c r="U4664" s="1">
        <v>0.0</v>
      </c>
      <c r="V4664" s="1">
        <v>0.0</v>
      </c>
      <c r="W4664" s="1" t="s">
        <v>26</v>
      </c>
    </row>
    <row r="4665" ht="15.75" customHeight="1">
      <c r="A4665" s="1" t="s">
        <v>4702</v>
      </c>
      <c r="B4665" s="1" t="s">
        <v>24</v>
      </c>
      <c r="C4665" s="1">
        <v>1.0</v>
      </c>
      <c r="D4665" s="1" t="s">
        <v>26</v>
      </c>
      <c r="E4665" s="1" t="s">
        <v>26</v>
      </c>
      <c r="F4665" s="1">
        <v>4.0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1">
        <v>74.9</v>
      </c>
      <c r="T4665" s="1">
        <v>321.75</v>
      </c>
      <c r="U4665" s="1">
        <v>0.0</v>
      </c>
      <c r="V4665" s="1">
        <v>0.0</v>
      </c>
      <c r="W4665" s="1" t="s">
        <v>25</v>
      </c>
    </row>
    <row r="4666" ht="15.75" customHeight="1">
      <c r="A4666" s="1" t="s">
        <v>4703</v>
      </c>
      <c r="B4666" s="1" t="s">
        <v>24</v>
      </c>
      <c r="C4666" s="1">
        <v>0.0</v>
      </c>
      <c r="D4666" s="1" t="s">
        <v>26</v>
      </c>
      <c r="E4666" s="1" t="s">
        <v>26</v>
      </c>
      <c r="F4666" s="1">
        <v>2.0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1">
        <v>74.9</v>
      </c>
      <c r="T4666" s="1">
        <v>147.15</v>
      </c>
      <c r="U4666" s="1">
        <v>0.0</v>
      </c>
      <c r="V4666" s="1">
        <v>0.0</v>
      </c>
      <c r="W4666" s="1" t="s">
        <v>25</v>
      </c>
    </row>
    <row r="4667" ht="15.75" customHeight="1">
      <c r="A4667" s="1" t="s">
        <v>4704</v>
      </c>
      <c r="B4667" s="1" t="s">
        <v>24</v>
      </c>
      <c r="C4667" s="1">
        <v>0.0</v>
      </c>
      <c r="D4667" s="1" t="s">
        <v>25</v>
      </c>
      <c r="E4667" s="1" t="s">
        <v>25</v>
      </c>
      <c r="F4667" s="1">
        <v>67.0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1">
        <v>36.15</v>
      </c>
      <c r="T4667" s="1">
        <v>2434.45</v>
      </c>
      <c r="U4667" s="1">
        <v>0.0</v>
      </c>
      <c r="V4667" s="1">
        <v>0.0</v>
      </c>
      <c r="W4667" s="1" t="s">
        <v>26</v>
      </c>
    </row>
    <row r="4668" ht="15.75" customHeight="1">
      <c r="A4668" s="1" t="s">
        <v>4705</v>
      </c>
      <c r="B4668" s="1" t="s">
        <v>24</v>
      </c>
      <c r="C4668" s="1">
        <v>0.0</v>
      </c>
      <c r="D4668" s="1" t="s">
        <v>26</v>
      </c>
      <c r="E4668" s="1" t="s">
        <v>26</v>
      </c>
      <c r="F4668" s="1">
        <v>25.0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1">
        <v>19.2</v>
      </c>
      <c r="T4668" s="1">
        <v>532.1</v>
      </c>
      <c r="U4668" s="1">
        <v>0.0</v>
      </c>
      <c r="V4668" s="1">
        <v>0.0</v>
      </c>
      <c r="W4668" s="1" t="s">
        <v>26</v>
      </c>
    </row>
    <row r="4669" ht="15.75" customHeight="1">
      <c r="A4669" s="1" t="s">
        <v>4706</v>
      </c>
      <c r="B4669" s="1" t="s">
        <v>24</v>
      </c>
      <c r="C4669" s="1">
        <v>0.0</v>
      </c>
      <c r="D4669" s="1" t="s">
        <v>25</v>
      </c>
      <c r="E4669" s="1" t="s">
        <v>26</v>
      </c>
      <c r="F4669" s="1">
        <v>20.0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1">
        <v>19.25</v>
      </c>
      <c r="T4669" s="1">
        <v>375.25</v>
      </c>
      <c r="U4669" s="1">
        <v>0.0</v>
      </c>
      <c r="V4669" s="1">
        <v>0.0</v>
      </c>
      <c r="W4669" s="1" t="s">
        <v>26</v>
      </c>
    </row>
    <row r="4670" ht="15.75" customHeight="1">
      <c r="A4670" s="1" t="s">
        <v>4707</v>
      </c>
      <c r="B4670" s="1" t="s">
        <v>24</v>
      </c>
      <c r="C4670" s="1">
        <v>0.0</v>
      </c>
      <c r="D4670" s="1" t="s">
        <v>26</v>
      </c>
      <c r="E4670" s="1" t="s">
        <v>25</v>
      </c>
      <c r="F4670" s="1">
        <v>2.0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1">
        <v>61.2</v>
      </c>
      <c r="T4670" s="1">
        <v>125.95</v>
      </c>
      <c r="U4670" s="1">
        <v>0.0</v>
      </c>
      <c r="V4670" s="1">
        <v>0.0</v>
      </c>
      <c r="W4670" s="1" t="s">
        <v>26</v>
      </c>
    </row>
    <row r="4671" ht="15.75" customHeight="1">
      <c r="A4671" s="1" t="s">
        <v>4708</v>
      </c>
      <c r="B4671" s="1" t="s">
        <v>32</v>
      </c>
      <c r="C4671" s="1">
        <v>0.0</v>
      </c>
      <c r="D4671" s="1" t="s">
        <v>26</v>
      </c>
      <c r="E4671" s="1" t="s">
        <v>26</v>
      </c>
      <c r="F4671" s="1">
        <v>51.0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1">
        <v>20.45</v>
      </c>
      <c r="T4671" s="1">
        <v>1042.65</v>
      </c>
      <c r="U4671" s="1">
        <v>0.0</v>
      </c>
      <c r="V4671" s="1">
        <v>0.0</v>
      </c>
      <c r="W4671" s="1" t="s">
        <v>26</v>
      </c>
    </row>
    <row r="4672" ht="15.75" customHeight="1">
      <c r="A4672" s="1" t="s">
        <v>4709</v>
      </c>
      <c r="B4672" s="1" t="s">
        <v>24</v>
      </c>
      <c r="C4672" s="1">
        <v>0.0</v>
      </c>
      <c r="D4672" s="1" t="s">
        <v>25</v>
      </c>
      <c r="E4672" s="1" t="s">
        <v>25</v>
      </c>
      <c r="F4672" s="1">
        <v>46.0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1">
        <v>35.05</v>
      </c>
      <c r="T4672" s="1">
        <v>1620.25</v>
      </c>
      <c r="U4672" s="1">
        <v>0.0</v>
      </c>
      <c r="V4672" s="1">
        <v>0.0</v>
      </c>
      <c r="W4672" s="1" t="s">
        <v>26</v>
      </c>
    </row>
    <row r="4673" ht="15.75" customHeight="1">
      <c r="A4673" s="1" t="s">
        <v>4710</v>
      </c>
      <c r="B4673" s="1" t="s">
        <v>24</v>
      </c>
      <c r="C4673" s="1">
        <v>0.0</v>
      </c>
      <c r="D4673" s="1" t="s">
        <v>26</v>
      </c>
      <c r="E4673" s="1" t="s">
        <v>26</v>
      </c>
      <c r="F4673" s="1">
        <v>25.0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1">
        <v>100.25</v>
      </c>
      <c r="T4673" s="1">
        <v>2387.75</v>
      </c>
      <c r="U4673" s="1">
        <v>0.0</v>
      </c>
      <c r="V4673" s="1">
        <v>2.0</v>
      </c>
      <c r="W4673" s="1" t="s">
        <v>25</v>
      </c>
    </row>
    <row r="4674" ht="15.75" customHeight="1">
      <c r="A4674" s="1" t="s">
        <v>4711</v>
      </c>
      <c r="B4674" s="1" t="s">
        <v>32</v>
      </c>
      <c r="C4674" s="1">
        <v>0.0</v>
      </c>
      <c r="D4674" s="1" t="s">
        <v>26</v>
      </c>
      <c r="E4674" s="1" t="s">
        <v>25</v>
      </c>
      <c r="F4674" s="1">
        <v>13.0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1">
        <v>44.0</v>
      </c>
      <c r="T4674" s="1">
        <v>659.35</v>
      </c>
      <c r="U4674" s="1">
        <v>0.0</v>
      </c>
      <c r="V4674" s="1">
        <v>0.0</v>
      </c>
      <c r="W4674" s="1" t="s">
        <v>26</v>
      </c>
    </row>
    <row r="4675" ht="15.75" customHeight="1">
      <c r="A4675" s="1" t="s">
        <v>4712</v>
      </c>
      <c r="B4675" s="1" t="s">
        <v>24</v>
      </c>
      <c r="C4675" s="1">
        <v>1.0</v>
      </c>
      <c r="D4675" s="1" t="s">
        <v>26</v>
      </c>
      <c r="E4675" s="1" t="s">
        <v>26</v>
      </c>
      <c r="F4675" s="1">
        <v>25.0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1">
        <v>102.8</v>
      </c>
      <c r="T4675" s="1">
        <v>2660.2</v>
      </c>
      <c r="U4675" s="1">
        <v>0.0</v>
      </c>
      <c r="V4675" s="1">
        <v>3.0</v>
      </c>
      <c r="W4675" s="1" t="s">
        <v>25</v>
      </c>
    </row>
    <row r="4676" ht="15.75" customHeight="1">
      <c r="A4676" s="1" t="s">
        <v>4713</v>
      </c>
      <c r="B4676" s="1" t="s">
        <v>32</v>
      </c>
      <c r="C4676" s="1">
        <v>0.0</v>
      </c>
      <c r="D4676" s="1" t="s">
        <v>25</v>
      </c>
      <c r="E4676" s="1" t="s">
        <v>25</v>
      </c>
      <c r="F4676" s="1">
        <v>26.0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1">
        <v>50.35</v>
      </c>
      <c r="T4676" s="1">
        <v>1285.8</v>
      </c>
      <c r="U4676" s="1">
        <v>0.0</v>
      </c>
      <c r="V4676" s="1">
        <v>0.0</v>
      </c>
      <c r="W4676" s="1" t="s">
        <v>26</v>
      </c>
    </row>
    <row r="4677" ht="15.75" customHeight="1">
      <c r="A4677" s="1" t="s">
        <v>4714</v>
      </c>
      <c r="B4677" s="1" t="s">
        <v>32</v>
      </c>
      <c r="C4677" s="1">
        <v>0.0</v>
      </c>
      <c r="D4677" s="1" t="s">
        <v>26</v>
      </c>
      <c r="E4677" s="1" t="s">
        <v>26</v>
      </c>
      <c r="F4677" s="1">
        <v>43.0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1">
        <v>100.0</v>
      </c>
      <c r="T4677" s="1">
        <v>4211.55</v>
      </c>
      <c r="U4677" s="1">
        <v>0.0</v>
      </c>
      <c r="V4677" s="1">
        <v>4.0</v>
      </c>
      <c r="W4677" s="1" t="s">
        <v>25</v>
      </c>
    </row>
    <row r="4678" ht="15.75" customHeight="1">
      <c r="A4678" s="1" t="s">
        <v>4715</v>
      </c>
      <c r="B4678" s="1" t="s">
        <v>32</v>
      </c>
      <c r="C4678" s="1">
        <v>0.0</v>
      </c>
      <c r="D4678" s="1" t="s">
        <v>26</v>
      </c>
      <c r="E4678" s="1" t="s">
        <v>25</v>
      </c>
      <c r="F4678" s="1">
        <v>19.0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1">
        <v>20.0</v>
      </c>
      <c r="T4678" s="1">
        <v>377.55</v>
      </c>
      <c r="U4678" s="1">
        <v>0.0</v>
      </c>
      <c r="V4678" s="1">
        <v>0.0</v>
      </c>
      <c r="W4678" s="1" t="s">
        <v>26</v>
      </c>
    </row>
    <row r="4679" ht="15.75" customHeight="1">
      <c r="A4679" s="1" t="s">
        <v>4716</v>
      </c>
      <c r="B4679" s="1" t="s">
        <v>32</v>
      </c>
      <c r="C4679" s="1">
        <v>0.0</v>
      </c>
      <c r="D4679" s="1" t="s">
        <v>25</v>
      </c>
      <c r="E4679" s="1" t="s">
        <v>26</v>
      </c>
      <c r="F4679" s="1">
        <v>10.0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1">
        <v>99.85</v>
      </c>
      <c r="T4679" s="1">
        <v>990.9</v>
      </c>
      <c r="U4679" s="1">
        <v>0.0</v>
      </c>
      <c r="V4679" s="1">
        <v>3.0</v>
      </c>
      <c r="W4679" s="1" t="s">
        <v>25</v>
      </c>
    </row>
    <row r="4680" ht="15.75" customHeight="1">
      <c r="A4680" s="1" t="s">
        <v>4717</v>
      </c>
      <c r="B4680" s="1" t="s">
        <v>24</v>
      </c>
      <c r="C4680" s="1">
        <v>0.0</v>
      </c>
      <c r="D4680" s="1" t="s">
        <v>26</v>
      </c>
      <c r="E4680" s="1" t="s">
        <v>25</v>
      </c>
      <c r="F4680" s="1">
        <v>2.0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1">
        <v>94.2</v>
      </c>
      <c r="T4680" s="1">
        <v>193.8</v>
      </c>
      <c r="U4680" s="1">
        <v>0.0</v>
      </c>
      <c r="V4680" s="1">
        <v>0.0</v>
      </c>
      <c r="W4680" s="1" t="s">
        <v>25</v>
      </c>
    </row>
    <row r="4681" ht="15.75" customHeight="1">
      <c r="A4681" s="1" t="s">
        <v>4718</v>
      </c>
      <c r="B4681" s="1" t="s">
        <v>24</v>
      </c>
      <c r="C4681" s="1">
        <v>0.0</v>
      </c>
      <c r="D4681" s="1" t="s">
        <v>25</v>
      </c>
      <c r="E4681" s="1" t="s">
        <v>26</v>
      </c>
      <c r="F4681" s="1">
        <v>72.0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1">
        <v>86.4</v>
      </c>
      <c r="T4681" s="1">
        <v>6058.95</v>
      </c>
      <c r="U4681" s="1">
        <v>0.0</v>
      </c>
      <c r="V4681" s="1">
        <v>0.0</v>
      </c>
      <c r="W4681" s="1" t="s">
        <v>26</v>
      </c>
    </row>
    <row r="4682" ht="15.75" customHeight="1">
      <c r="A4682" s="1" t="s">
        <v>4719</v>
      </c>
      <c r="B4682" s="1" t="s">
        <v>32</v>
      </c>
      <c r="C4682" s="1">
        <v>1.0</v>
      </c>
      <c r="D4682" s="1" t="s">
        <v>26</v>
      </c>
      <c r="E4682" s="1" t="s">
        <v>26</v>
      </c>
      <c r="F4682" s="1">
        <v>18.0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1">
        <v>58.4</v>
      </c>
      <c r="T4682" s="1">
        <v>964.9</v>
      </c>
      <c r="U4682" s="1">
        <v>1.0</v>
      </c>
      <c r="V4682" s="1">
        <v>0.0</v>
      </c>
      <c r="W4682" s="1" t="s">
        <v>26</v>
      </c>
    </row>
    <row r="4683" ht="15.75" customHeight="1">
      <c r="A4683" s="1" t="s">
        <v>4720</v>
      </c>
      <c r="B4683" s="1" t="s">
        <v>32</v>
      </c>
      <c r="C4683" s="1">
        <v>1.0</v>
      </c>
      <c r="D4683" s="1" t="s">
        <v>26</v>
      </c>
      <c r="E4683" s="1" t="s">
        <v>26</v>
      </c>
      <c r="F4683" s="1">
        <v>9.0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1">
        <v>83.85</v>
      </c>
      <c r="T4683" s="1">
        <v>790.15</v>
      </c>
      <c r="U4683" s="1">
        <v>0.0</v>
      </c>
      <c r="V4683" s="1">
        <v>0.0</v>
      </c>
      <c r="W4683" s="1" t="s">
        <v>25</v>
      </c>
    </row>
    <row r="4684" ht="15.75" customHeight="1">
      <c r="A4684" s="1" t="s">
        <v>4721</v>
      </c>
      <c r="B4684" s="1" t="s">
        <v>24</v>
      </c>
      <c r="C4684" s="1">
        <v>1.0</v>
      </c>
      <c r="D4684" s="1" t="s">
        <v>26</v>
      </c>
      <c r="E4684" s="1" t="s">
        <v>26</v>
      </c>
      <c r="F4684" s="1">
        <v>27.0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1">
        <v>88.3</v>
      </c>
      <c r="T4684" s="1">
        <v>2467.75</v>
      </c>
      <c r="U4684" s="1">
        <v>0.0</v>
      </c>
      <c r="V4684" s="1">
        <v>2.0</v>
      </c>
      <c r="W4684" s="1" t="s">
        <v>25</v>
      </c>
    </row>
    <row r="4685" ht="15.75" customHeight="1">
      <c r="A4685" s="1" t="s">
        <v>4722</v>
      </c>
      <c r="B4685" s="1" t="s">
        <v>32</v>
      </c>
      <c r="C4685" s="1">
        <v>0.0</v>
      </c>
      <c r="D4685" s="1" t="s">
        <v>26</v>
      </c>
      <c r="E4685" s="1" t="s">
        <v>26</v>
      </c>
      <c r="F4685" s="1">
        <v>24.0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1">
        <v>94.1</v>
      </c>
      <c r="T4685" s="1">
        <v>2322.85</v>
      </c>
      <c r="U4685" s="1">
        <v>0.0</v>
      </c>
      <c r="V4685" s="1">
        <v>0.0</v>
      </c>
      <c r="W4685" s="1" t="s">
        <v>26</v>
      </c>
    </row>
    <row r="4686" ht="15.75" customHeight="1">
      <c r="A4686" s="1" t="s">
        <v>4723</v>
      </c>
      <c r="B4686" s="1" t="s">
        <v>32</v>
      </c>
      <c r="C4686" s="1">
        <v>0.0</v>
      </c>
      <c r="D4686" s="1" t="s">
        <v>26</v>
      </c>
      <c r="E4686" s="1" t="s">
        <v>26</v>
      </c>
      <c r="F4686" s="1">
        <v>69.0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1">
        <v>104.05</v>
      </c>
      <c r="T4686" s="1">
        <v>7262.0</v>
      </c>
      <c r="U4686" s="1">
        <v>0.0</v>
      </c>
      <c r="V4686" s="1">
        <v>4.0</v>
      </c>
      <c r="W4686" s="1" t="s">
        <v>25</v>
      </c>
    </row>
    <row r="4687" ht="15.75" customHeight="1">
      <c r="A4687" s="1" t="s">
        <v>4724</v>
      </c>
      <c r="B4687" s="1" t="s">
        <v>24</v>
      </c>
      <c r="C4687" s="1">
        <v>0.0</v>
      </c>
      <c r="D4687" s="1" t="s">
        <v>25</v>
      </c>
      <c r="E4687" s="1" t="s">
        <v>26</v>
      </c>
      <c r="F4687" s="1">
        <v>46.0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1">
        <v>108.9</v>
      </c>
      <c r="T4687" s="1">
        <v>4854.3</v>
      </c>
      <c r="U4687" s="1">
        <v>3.0</v>
      </c>
      <c r="V4687" s="1">
        <v>0.0</v>
      </c>
      <c r="W4687" s="1" t="s">
        <v>26</v>
      </c>
    </row>
    <row r="4688" ht="15.75" customHeight="1">
      <c r="A4688" s="1" t="s">
        <v>4725</v>
      </c>
      <c r="B4688" s="1" t="s">
        <v>24</v>
      </c>
      <c r="C4688" s="1">
        <v>1.0</v>
      </c>
      <c r="D4688" s="1" t="s">
        <v>26</v>
      </c>
      <c r="E4688" s="1" t="s">
        <v>26</v>
      </c>
      <c r="F4688" s="1">
        <v>72.0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1">
        <v>107.4</v>
      </c>
      <c r="T4688" s="1">
        <v>7748.75</v>
      </c>
      <c r="U4688" s="1">
        <v>0.0</v>
      </c>
      <c r="V4688" s="1">
        <v>4.0</v>
      </c>
      <c r="W4688" s="1" t="s">
        <v>26</v>
      </c>
    </row>
    <row r="4689" ht="15.75" customHeight="1">
      <c r="A4689" s="1" t="s">
        <v>4726</v>
      </c>
      <c r="B4689" s="1" t="s">
        <v>32</v>
      </c>
      <c r="C4689" s="1">
        <v>0.0</v>
      </c>
      <c r="D4689" s="1" t="s">
        <v>25</v>
      </c>
      <c r="E4689" s="1" t="s">
        <v>26</v>
      </c>
      <c r="F4689" s="1">
        <v>22.0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1">
        <v>94.7</v>
      </c>
      <c r="T4689" s="1">
        <v>1914.9</v>
      </c>
      <c r="U4689" s="1">
        <v>0.0</v>
      </c>
      <c r="V4689" s="1">
        <v>2.0</v>
      </c>
      <c r="W4689" s="1" t="s">
        <v>25</v>
      </c>
    </row>
    <row r="4690" ht="15.75" customHeight="1">
      <c r="A4690" s="1" t="s">
        <v>4727</v>
      </c>
      <c r="B4690" s="1" t="s">
        <v>24</v>
      </c>
      <c r="C4690" s="1">
        <v>1.0</v>
      </c>
      <c r="D4690" s="1" t="s">
        <v>25</v>
      </c>
      <c r="E4690" s="1" t="s">
        <v>26</v>
      </c>
      <c r="F4690" s="1">
        <v>70.0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1">
        <v>90.85</v>
      </c>
      <c r="T4690" s="1">
        <v>6470.1</v>
      </c>
      <c r="U4690" s="1">
        <v>0.0</v>
      </c>
      <c r="V4690" s="1">
        <v>5.0</v>
      </c>
      <c r="W4690" s="1" t="s">
        <v>26</v>
      </c>
    </row>
    <row r="4691" ht="15.75" customHeight="1">
      <c r="A4691" s="1" t="s">
        <v>4728</v>
      </c>
      <c r="B4691" s="1" t="s">
        <v>24</v>
      </c>
      <c r="C4691" s="1">
        <v>0.0</v>
      </c>
      <c r="D4691" s="1" t="s">
        <v>26</v>
      </c>
      <c r="E4691" s="1" t="s">
        <v>26</v>
      </c>
      <c r="F4691" s="1">
        <v>2.0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1">
        <v>19.9</v>
      </c>
      <c r="T4691" s="1">
        <v>57.4</v>
      </c>
      <c r="U4691" s="1">
        <v>0.0</v>
      </c>
      <c r="V4691" s="1">
        <v>0.0</v>
      </c>
      <c r="W4691" s="1" t="s">
        <v>26</v>
      </c>
    </row>
    <row r="4692" ht="15.75" customHeight="1">
      <c r="A4692" s="1" t="s">
        <v>4729</v>
      </c>
      <c r="B4692" s="1" t="s">
        <v>32</v>
      </c>
      <c r="C4692" s="1">
        <v>0.0</v>
      </c>
      <c r="D4692" s="1" t="s">
        <v>25</v>
      </c>
      <c r="E4692" s="1" t="s">
        <v>26</v>
      </c>
      <c r="F4692" s="1">
        <v>31.0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1">
        <v>66.4</v>
      </c>
      <c r="T4692" s="1">
        <v>2019.8</v>
      </c>
      <c r="U4692" s="1">
        <v>0.0</v>
      </c>
      <c r="V4692" s="1">
        <v>0.0</v>
      </c>
      <c r="W4692" s="1" t="s">
        <v>26</v>
      </c>
    </row>
    <row r="4693" ht="15.75" customHeight="1">
      <c r="A4693" s="1" t="s">
        <v>4730</v>
      </c>
      <c r="B4693" s="1" t="s">
        <v>24</v>
      </c>
      <c r="C4693" s="1">
        <v>1.0</v>
      </c>
      <c r="D4693" s="1" t="s">
        <v>25</v>
      </c>
      <c r="E4693" s="1" t="s">
        <v>26</v>
      </c>
      <c r="F4693" s="1">
        <v>56.0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1">
        <v>100.65</v>
      </c>
      <c r="T4693" s="1">
        <v>5688.05</v>
      </c>
      <c r="U4693" s="1">
        <v>0.0</v>
      </c>
      <c r="V4693" s="1">
        <v>7.0</v>
      </c>
      <c r="W4693" s="1" t="s">
        <v>25</v>
      </c>
    </row>
    <row r="4694" ht="15.75" customHeight="1">
      <c r="A4694" s="1" t="s">
        <v>4731</v>
      </c>
      <c r="B4694" s="1" t="s">
        <v>24</v>
      </c>
      <c r="C4694" s="1">
        <v>0.0</v>
      </c>
      <c r="D4694" s="1" t="s">
        <v>25</v>
      </c>
      <c r="E4694" s="1" t="s">
        <v>25</v>
      </c>
      <c r="F4694" s="1">
        <v>16.0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1">
        <v>100.7</v>
      </c>
      <c r="T4694" s="1">
        <v>1522.7</v>
      </c>
      <c r="U4694" s="1">
        <v>0.0</v>
      </c>
      <c r="V4694" s="1">
        <v>0.0</v>
      </c>
      <c r="W4694" s="1" t="s">
        <v>26</v>
      </c>
    </row>
    <row r="4695" ht="15.75" customHeight="1">
      <c r="A4695" s="1" t="s">
        <v>4732</v>
      </c>
      <c r="B4695" s="1" t="s">
        <v>32</v>
      </c>
      <c r="C4695" s="1">
        <v>0.0</v>
      </c>
      <c r="D4695" s="1" t="s">
        <v>26</v>
      </c>
      <c r="E4695" s="1" t="s">
        <v>25</v>
      </c>
      <c r="F4695" s="1">
        <v>52.0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1">
        <v>25.6</v>
      </c>
      <c r="T4695" s="1">
        <v>1334.5</v>
      </c>
      <c r="U4695" s="1">
        <v>0.0</v>
      </c>
      <c r="V4695" s="1">
        <v>0.0</v>
      </c>
      <c r="W4695" s="1" t="s">
        <v>26</v>
      </c>
    </row>
    <row r="4696" ht="15.75" customHeight="1">
      <c r="A4696" s="1" t="s">
        <v>4733</v>
      </c>
      <c r="B4696" s="1" t="s">
        <v>32</v>
      </c>
      <c r="C4696" s="1">
        <v>0.0</v>
      </c>
      <c r="D4696" s="1" t="s">
        <v>25</v>
      </c>
      <c r="E4696" s="1" t="s">
        <v>25</v>
      </c>
      <c r="F4696" s="1">
        <v>13.0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1">
        <v>19.85</v>
      </c>
      <c r="T4696" s="1">
        <v>252.0</v>
      </c>
      <c r="U4696" s="1">
        <v>5.0</v>
      </c>
      <c r="V4696" s="1">
        <v>0.0</v>
      </c>
      <c r="W4696" s="1" t="s">
        <v>26</v>
      </c>
    </row>
    <row r="4697" ht="15.75" customHeight="1">
      <c r="A4697" s="1" t="s">
        <v>4734</v>
      </c>
      <c r="B4697" s="1" t="s">
        <v>24</v>
      </c>
      <c r="C4697" s="1">
        <v>0.0</v>
      </c>
      <c r="D4697" s="1" t="s">
        <v>26</v>
      </c>
      <c r="E4697" s="1" t="s">
        <v>26</v>
      </c>
      <c r="F4697" s="1">
        <v>35.0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1">
        <v>20.75</v>
      </c>
      <c r="T4697" s="1">
        <v>700.45</v>
      </c>
      <c r="U4697" s="1">
        <v>0.0</v>
      </c>
      <c r="V4697" s="1">
        <v>0.0</v>
      </c>
      <c r="W4697" s="1" t="s">
        <v>26</v>
      </c>
    </row>
    <row r="4698" ht="15.75" customHeight="1">
      <c r="A4698" s="1" t="s">
        <v>4735</v>
      </c>
      <c r="B4698" s="1" t="s">
        <v>24</v>
      </c>
      <c r="C4698" s="1">
        <v>0.0</v>
      </c>
      <c r="D4698" s="1" t="s">
        <v>26</v>
      </c>
      <c r="E4698" s="1" t="s">
        <v>26</v>
      </c>
      <c r="F4698" s="1">
        <v>59.0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1">
        <v>95.8</v>
      </c>
      <c r="T4698" s="1">
        <v>5655.45</v>
      </c>
      <c r="U4698" s="1">
        <v>0.0</v>
      </c>
      <c r="V4698" s="1">
        <v>0.0</v>
      </c>
      <c r="W4698" s="1" t="s">
        <v>26</v>
      </c>
    </row>
    <row r="4699" ht="15.75" customHeight="1">
      <c r="A4699" s="1" t="s">
        <v>4736</v>
      </c>
      <c r="B4699" s="1" t="s">
        <v>32</v>
      </c>
      <c r="C4699" s="1">
        <v>0.0</v>
      </c>
      <c r="D4699" s="1" t="s">
        <v>25</v>
      </c>
      <c r="E4699" s="1" t="s">
        <v>26</v>
      </c>
      <c r="F4699" s="1">
        <v>72.0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1">
        <v>94.65</v>
      </c>
      <c r="T4699" s="1">
        <v>6747.35</v>
      </c>
      <c r="U4699" s="1">
        <v>3.0</v>
      </c>
      <c r="V4699" s="1">
        <v>0.0</v>
      </c>
      <c r="W4699" s="1" t="s">
        <v>26</v>
      </c>
    </row>
    <row r="4700" ht="15.75" customHeight="1">
      <c r="A4700" s="1" t="s">
        <v>4737</v>
      </c>
      <c r="B4700" s="1" t="s">
        <v>24</v>
      </c>
      <c r="C4700" s="1">
        <v>1.0</v>
      </c>
      <c r="D4700" s="1" t="s">
        <v>25</v>
      </c>
      <c r="E4700" s="1" t="s">
        <v>26</v>
      </c>
      <c r="F4700" s="1">
        <v>66.0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1">
        <v>80.55</v>
      </c>
      <c r="T4700" s="1">
        <v>5265.1</v>
      </c>
      <c r="U4700" s="1">
        <v>0.0</v>
      </c>
      <c r="V4700" s="1">
        <v>6.0</v>
      </c>
      <c r="W4700" s="1" t="s">
        <v>25</v>
      </c>
    </row>
    <row r="4701" ht="15.75" customHeight="1">
      <c r="A4701" s="1" t="s">
        <v>4738</v>
      </c>
      <c r="B4701" s="1" t="s">
        <v>24</v>
      </c>
      <c r="C4701" s="1">
        <v>0.0</v>
      </c>
      <c r="D4701" s="1" t="s">
        <v>25</v>
      </c>
      <c r="E4701" s="1" t="s">
        <v>26</v>
      </c>
      <c r="F4701" s="1">
        <v>49.0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1">
        <v>106.65</v>
      </c>
      <c r="T4701" s="1">
        <v>5174.35</v>
      </c>
      <c r="U4701" s="1">
        <v>0.0</v>
      </c>
      <c r="V4701" s="1">
        <v>0.0</v>
      </c>
      <c r="W4701" s="1" t="s">
        <v>26</v>
      </c>
    </row>
    <row r="4702" ht="15.75" customHeight="1">
      <c r="A4702" s="1" t="s">
        <v>4739</v>
      </c>
      <c r="B4702" s="1" t="s">
        <v>24</v>
      </c>
      <c r="C4702" s="1">
        <v>0.0</v>
      </c>
      <c r="D4702" s="1" t="s">
        <v>26</v>
      </c>
      <c r="E4702" s="1" t="s">
        <v>26</v>
      </c>
      <c r="F4702" s="1">
        <v>2.0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1">
        <v>45.85</v>
      </c>
      <c r="T4702" s="1">
        <v>105.6</v>
      </c>
      <c r="U4702" s="1">
        <v>1.0</v>
      </c>
      <c r="V4702" s="1">
        <v>0.0</v>
      </c>
      <c r="W4702" s="1" t="s">
        <v>26</v>
      </c>
    </row>
    <row r="4703" ht="15.75" customHeight="1">
      <c r="A4703" s="1" t="s">
        <v>4740</v>
      </c>
      <c r="B4703" s="1" t="s">
        <v>32</v>
      </c>
      <c r="C4703" s="1">
        <v>1.0</v>
      </c>
      <c r="D4703" s="1" t="s">
        <v>26</v>
      </c>
      <c r="E4703" s="1" t="s">
        <v>26</v>
      </c>
      <c r="F4703" s="1">
        <v>21.0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1">
        <v>104.35</v>
      </c>
      <c r="T4703" s="1">
        <v>2271.85</v>
      </c>
      <c r="U4703" s="1">
        <v>0.0</v>
      </c>
      <c r="V4703" s="1">
        <v>0.0</v>
      </c>
      <c r="W4703" s="1" t="s">
        <v>26</v>
      </c>
    </row>
    <row r="4704" ht="15.75" customHeight="1">
      <c r="A4704" s="1" t="s">
        <v>4741</v>
      </c>
      <c r="B4704" s="1" t="s">
        <v>32</v>
      </c>
      <c r="C4704" s="1">
        <v>1.0</v>
      </c>
      <c r="D4704" s="1" t="s">
        <v>26</v>
      </c>
      <c r="E4704" s="1" t="s">
        <v>26</v>
      </c>
      <c r="F4704" s="1">
        <v>54.0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1">
        <v>55.45</v>
      </c>
      <c r="T4704" s="1">
        <v>2966.95</v>
      </c>
      <c r="U4704" s="1">
        <v>0.0</v>
      </c>
      <c r="V4704" s="1">
        <v>0.0</v>
      </c>
      <c r="W4704" s="1" t="s">
        <v>26</v>
      </c>
    </row>
    <row r="4705" ht="15.75" customHeight="1">
      <c r="A4705" s="1" t="s">
        <v>4742</v>
      </c>
      <c r="B4705" s="1" t="s">
        <v>32</v>
      </c>
      <c r="C4705" s="1">
        <v>1.0</v>
      </c>
      <c r="D4705" s="1" t="s">
        <v>25</v>
      </c>
      <c r="E4705" s="1" t="s">
        <v>26</v>
      </c>
      <c r="F4705" s="1">
        <v>24.0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1">
        <v>78.85</v>
      </c>
      <c r="T4705" s="1">
        <v>1772.25</v>
      </c>
      <c r="U4705" s="1">
        <v>0.0</v>
      </c>
      <c r="V4705" s="1">
        <v>0.0</v>
      </c>
      <c r="W4705" s="1" t="s">
        <v>25</v>
      </c>
    </row>
    <row r="4706" ht="15.75" customHeight="1">
      <c r="A4706" s="1" t="s">
        <v>4743</v>
      </c>
      <c r="B4706" s="1" t="s">
        <v>32</v>
      </c>
      <c r="C4706" s="1">
        <v>0.0</v>
      </c>
      <c r="D4706" s="1" t="s">
        <v>26</v>
      </c>
      <c r="E4706" s="1" t="s">
        <v>26</v>
      </c>
      <c r="F4706" s="1">
        <v>1.0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1">
        <v>61.15</v>
      </c>
      <c r="T4706" s="1">
        <v>61.15</v>
      </c>
      <c r="U4706" s="1">
        <v>0.0</v>
      </c>
      <c r="V4706" s="1">
        <v>0.0</v>
      </c>
      <c r="W4706" s="1" t="s">
        <v>26</v>
      </c>
    </row>
    <row r="4707" ht="15.75" customHeight="1">
      <c r="A4707" s="1" t="s">
        <v>4744</v>
      </c>
      <c r="B4707" s="1" t="s">
        <v>32</v>
      </c>
      <c r="C4707" s="1">
        <v>0.0</v>
      </c>
      <c r="D4707" s="1" t="s">
        <v>26</v>
      </c>
      <c r="E4707" s="1" t="s">
        <v>26</v>
      </c>
      <c r="F4707" s="1">
        <v>6.0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1">
        <v>78.95</v>
      </c>
      <c r="T4707" s="1">
        <v>494.95</v>
      </c>
      <c r="U4707" s="1">
        <v>0.0</v>
      </c>
      <c r="V4707" s="1">
        <v>0.0</v>
      </c>
      <c r="W4707" s="1" t="s">
        <v>26</v>
      </c>
    </row>
    <row r="4708" ht="15.75" customHeight="1">
      <c r="A4708" s="1" t="s">
        <v>4745</v>
      </c>
      <c r="B4708" s="1" t="s">
        <v>24</v>
      </c>
      <c r="C4708" s="1">
        <v>0.0</v>
      </c>
      <c r="D4708" s="1" t="s">
        <v>26</v>
      </c>
      <c r="E4708" s="1" t="s">
        <v>26</v>
      </c>
      <c r="F4708" s="1">
        <v>1.0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1">
        <v>44.45</v>
      </c>
      <c r="T4708" s="1">
        <v>44.45</v>
      </c>
      <c r="U4708" s="1">
        <v>0.0</v>
      </c>
      <c r="V4708" s="1">
        <v>0.0</v>
      </c>
      <c r="W4708" s="1" t="s">
        <v>25</v>
      </c>
    </row>
    <row r="4709" ht="15.75" customHeight="1">
      <c r="A4709" s="1" t="s">
        <v>4746</v>
      </c>
      <c r="B4709" s="1" t="s">
        <v>32</v>
      </c>
      <c r="C4709" s="1">
        <v>0.0</v>
      </c>
      <c r="D4709" s="1" t="s">
        <v>26</v>
      </c>
      <c r="E4709" s="1" t="s">
        <v>25</v>
      </c>
      <c r="F4709" s="1">
        <v>49.0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1">
        <v>109.2</v>
      </c>
      <c r="T4709" s="1">
        <v>5290.45</v>
      </c>
      <c r="U4709" s="1">
        <v>0.0</v>
      </c>
      <c r="V4709" s="1">
        <v>0.0</v>
      </c>
      <c r="W4709" s="1" t="s">
        <v>26</v>
      </c>
    </row>
    <row r="4710" ht="15.75" customHeight="1">
      <c r="A4710" s="1" t="s">
        <v>4747</v>
      </c>
      <c r="B4710" s="1" t="s">
        <v>24</v>
      </c>
      <c r="C4710" s="1">
        <v>0.0</v>
      </c>
      <c r="D4710" s="1" t="s">
        <v>25</v>
      </c>
      <c r="E4710" s="1" t="s">
        <v>25</v>
      </c>
      <c r="F4710" s="1">
        <v>56.0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1">
        <v>61.3</v>
      </c>
      <c r="T4710" s="1">
        <v>3346.8</v>
      </c>
      <c r="U4710" s="1">
        <v>0.0</v>
      </c>
      <c r="V4710" s="1">
        <v>0.0</v>
      </c>
      <c r="W4710" s="1" t="s">
        <v>26</v>
      </c>
    </row>
    <row r="4711" ht="15.75" customHeight="1">
      <c r="A4711" s="1" t="s">
        <v>4748</v>
      </c>
      <c r="B4711" s="1" t="s">
        <v>24</v>
      </c>
      <c r="C4711" s="1">
        <v>1.0</v>
      </c>
      <c r="D4711" s="1" t="s">
        <v>26</v>
      </c>
      <c r="E4711" s="1" t="s">
        <v>26</v>
      </c>
      <c r="F4711" s="1">
        <v>56.0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1">
        <v>96.85</v>
      </c>
      <c r="T4711" s="1">
        <v>5219.65</v>
      </c>
      <c r="U4711" s="1">
        <v>0.0</v>
      </c>
      <c r="V4711" s="1">
        <v>0.0</v>
      </c>
      <c r="W4711" s="1" t="s">
        <v>26</v>
      </c>
    </row>
    <row r="4712" ht="15.75" customHeight="1">
      <c r="A4712" s="1" t="s">
        <v>4749</v>
      </c>
      <c r="B4712" s="1" t="s">
        <v>24</v>
      </c>
      <c r="C4712" s="1">
        <v>0.0</v>
      </c>
      <c r="D4712" s="1" t="s">
        <v>25</v>
      </c>
      <c r="E4712" s="1" t="s">
        <v>25</v>
      </c>
      <c r="F4712" s="1">
        <v>6.0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1">
        <v>40.55</v>
      </c>
      <c r="T4712" s="1">
        <v>217.5</v>
      </c>
      <c r="U4712" s="1">
        <v>0.0</v>
      </c>
      <c r="V4712" s="1">
        <v>0.0</v>
      </c>
      <c r="W4712" s="1" t="s">
        <v>26</v>
      </c>
    </row>
    <row r="4713" ht="15.75" customHeight="1">
      <c r="A4713" s="1" t="s">
        <v>4750</v>
      </c>
      <c r="B4713" s="1" t="s">
        <v>32</v>
      </c>
      <c r="C4713" s="1">
        <v>0.0</v>
      </c>
      <c r="D4713" s="1" t="s">
        <v>26</v>
      </c>
      <c r="E4713" s="1" t="s">
        <v>26</v>
      </c>
      <c r="F4713" s="1">
        <v>32.0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1">
        <v>19.8</v>
      </c>
      <c r="T4713" s="1">
        <v>607.7</v>
      </c>
      <c r="U4713" s="1">
        <v>0.0</v>
      </c>
      <c r="V4713" s="1">
        <v>0.0</v>
      </c>
      <c r="W4713" s="1" t="s">
        <v>26</v>
      </c>
    </row>
    <row r="4714" ht="15.75" customHeight="1">
      <c r="A4714" s="1" t="s">
        <v>4751</v>
      </c>
      <c r="B4714" s="1" t="s">
        <v>32</v>
      </c>
      <c r="C4714" s="1">
        <v>0.0</v>
      </c>
      <c r="D4714" s="1" t="s">
        <v>25</v>
      </c>
      <c r="E4714" s="1" t="s">
        <v>25</v>
      </c>
      <c r="F4714" s="1">
        <v>50.0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1">
        <v>108.25</v>
      </c>
      <c r="T4714" s="1">
        <v>5431.4</v>
      </c>
      <c r="U4714" s="1">
        <v>1.0</v>
      </c>
      <c r="V4714" s="1">
        <v>2.0</v>
      </c>
      <c r="W4714" s="1" t="s">
        <v>26</v>
      </c>
    </row>
    <row r="4715" ht="15.75" customHeight="1">
      <c r="A4715" s="1" t="s">
        <v>4752</v>
      </c>
      <c r="B4715" s="1" t="s">
        <v>32</v>
      </c>
      <c r="C4715" s="1">
        <v>0.0</v>
      </c>
      <c r="D4715" s="1" t="s">
        <v>25</v>
      </c>
      <c r="E4715" s="1" t="s">
        <v>25</v>
      </c>
      <c r="F4715" s="1">
        <v>58.0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1">
        <v>105.05</v>
      </c>
      <c r="T4715" s="1">
        <v>6004.85</v>
      </c>
      <c r="U4715" s="1">
        <v>0.0</v>
      </c>
      <c r="V4715" s="1">
        <v>0.0</v>
      </c>
      <c r="W4715" s="1" t="s">
        <v>26</v>
      </c>
    </row>
    <row r="4716" ht="15.75" customHeight="1">
      <c r="A4716" s="1" t="s">
        <v>4753</v>
      </c>
      <c r="B4716" s="1" t="s">
        <v>24</v>
      </c>
      <c r="C4716" s="1">
        <v>0.0</v>
      </c>
      <c r="D4716" s="1" t="s">
        <v>25</v>
      </c>
      <c r="E4716" s="1" t="s">
        <v>25</v>
      </c>
      <c r="F4716" s="1">
        <v>65.0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1">
        <v>90.45</v>
      </c>
      <c r="T4716" s="1">
        <v>5957.9</v>
      </c>
      <c r="U4716" s="1">
        <v>4.0</v>
      </c>
      <c r="V4716" s="1">
        <v>0.0</v>
      </c>
      <c r="W4716" s="1" t="s">
        <v>26</v>
      </c>
    </row>
    <row r="4717" ht="15.75" customHeight="1">
      <c r="A4717" s="1" t="s">
        <v>4754</v>
      </c>
      <c r="B4717" s="1" t="s">
        <v>24</v>
      </c>
      <c r="C4717" s="1">
        <v>0.0</v>
      </c>
      <c r="D4717" s="1" t="s">
        <v>26</v>
      </c>
      <c r="E4717" s="1" t="s">
        <v>26</v>
      </c>
      <c r="F4717" s="1">
        <v>64.0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1">
        <v>86.4</v>
      </c>
      <c r="T4717" s="1">
        <v>5442.05</v>
      </c>
      <c r="U4717" s="1">
        <v>0.0</v>
      </c>
      <c r="V4717" s="1">
        <v>0.0</v>
      </c>
      <c r="W4717" s="1" t="s">
        <v>26</v>
      </c>
    </row>
    <row r="4718" ht="15.75" customHeight="1">
      <c r="A4718" s="1" t="s">
        <v>4755</v>
      </c>
      <c r="B4718" s="1" t="s">
        <v>24</v>
      </c>
      <c r="C4718" s="1">
        <v>0.0</v>
      </c>
      <c r="D4718" s="1" t="s">
        <v>25</v>
      </c>
      <c r="E4718" s="1" t="s">
        <v>26</v>
      </c>
      <c r="F4718" s="1">
        <v>66.0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1">
        <v>66.9</v>
      </c>
      <c r="T4718" s="1">
        <v>4370.25</v>
      </c>
      <c r="U4718" s="1">
        <v>0.0</v>
      </c>
      <c r="V4718" s="1">
        <v>0.0</v>
      </c>
      <c r="W4718" s="1" t="s">
        <v>26</v>
      </c>
    </row>
    <row r="4719" ht="15.75" customHeight="1">
      <c r="A4719" s="1" t="s">
        <v>4756</v>
      </c>
      <c r="B4719" s="1" t="s">
        <v>32</v>
      </c>
      <c r="C4719" s="1">
        <v>0.0</v>
      </c>
      <c r="D4719" s="1" t="s">
        <v>25</v>
      </c>
      <c r="E4719" s="1" t="s">
        <v>26</v>
      </c>
      <c r="F4719" s="1">
        <v>38.0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1">
        <v>110.7</v>
      </c>
      <c r="T4719" s="1">
        <v>4428.6</v>
      </c>
      <c r="U4719" s="1">
        <v>0.0</v>
      </c>
      <c r="V4719" s="1">
        <v>0.0</v>
      </c>
      <c r="W4719" s="1" t="s">
        <v>26</v>
      </c>
    </row>
    <row r="4720" ht="15.75" customHeight="1">
      <c r="A4720" s="1" t="s">
        <v>4757</v>
      </c>
      <c r="B4720" s="1" t="s">
        <v>24</v>
      </c>
      <c r="C4720" s="1">
        <v>0.0</v>
      </c>
      <c r="D4720" s="1" t="s">
        <v>25</v>
      </c>
      <c r="E4720" s="1" t="s">
        <v>26</v>
      </c>
      <c r="F4720" s="1">
        <v>20.0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1">
        <v>20.0</v>
      </c>
      <c r="T4720" s="1">
        <v>416.45</v>
      </c>
      <c r="U4720" s="1">
        <v>0.0</v>
      </c>
      <c r="V4720" s="1">
        <v>0.0</v>
      </c>
      <c r="W4720" s="1" t="s">
        <v>26</v>
      </c>
    </row>
    <row r="4721" ht="15.75" customHeight="1">
      <c r="A4721" s="1" t="s">
        <v>4758</v>
      </c>
      <c r="B4721" s="1" t="s">
        <v>32</v>
      </c>
      <c r="C4721" s="1">
        <v>0.0</v>
      </c>
      <c r="D4721" s="1" t="s">
        <v>26</v>
      </c>
      <c r="E4721" s="1" t="s">
        <v>26</v>
      </c>
      <c r="F4721" s="1">
        <v>36.0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1">
        <v>84.9</v>
      </c>
      <c r="T4721" s="1">
        <v>3067.2</v>
      </c>
      <c r="U4721" s="1">
        <v>0.0</v>
      </c>
      <c r="V4721" s="1">
        <v>0.0</v>
      </c>
      <c r="W4721" s="1" t="s">
        <v>25</v>
      </c>
    </row>
    <row r="4722" ht="15.75" customHeight="1">
      <c r="A4722" s="1" t="s">
        <v>4759</v>
      </c>
      <c r="B4722" s="1" t="s">
        <v>32</v>
      </c>
      <c r="C4722" s="1">
        <v>1.0</v>
      </c>
      <c r="D4722" s="1" t="s">
        <v>26</v>
      </c>
      <c r="E4722" s="1" t="s">
        <v>26</v>
      </c>
      <c r="F4722" s="1">
        <v>64.0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1">
        <v>102.1</v>
      </c>
      <c r="T4722" s="1">
        <v>6688.1</v>
      </c>
      <c r="U4722" s="1">
        <v>0.0</v>
      </c>
      <c r="V4722" s="1">
        <v>0.0</v>
      </c>
      <c r="W4722" s="1" t="s">
        <v>26</v>
      </c>
    </row>
    <row r="4723" ht="15.75" customHeight="1">
      <c r="A4723" s="1" t="s">
        <v>4760</v>
      </c>
      <c r="B4723" s="1" t="s">
        <v>32</v>
      </c>
      <c r="C4723" s="1">
        <v>0.0</v>
      </c>
      <c r="D4723" s="1" t="s">
        <v>26</v>
      </c>
      <c r="E4723" s="1" t="s">
        <v>26</v>
      </c>
      <c r="F4723" s="1">
        <v>1.0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1">
        <v>20.25</v>
      </c>
      <c r="T4723" s="1">
        <v>20.25</v>
      </c>
      <c r="U4723" s="1">
        <v>0.0</v>
      </c>
      <c r="V4723" s="1">
        <v>0.0</v>
      </c>
      <c r="W4723" s="1" t="s">
        <v>25</v>
      </c>
    </row>
    <row r="4724" ht="15.75" customHeight="1">
      <c r="A4724" s="1" t="s">
        <v>4761</v>
      </c>
      <c r="B4724" s="1" t="s">
        <v>24</v>
      </c>
      <c r="C4724" s="1">
        <v>0.0</v>
      </c>
      <c r="D4724" s="1" t="s">
        <v>26</v>
      </c>
      <c r="E4724" s="1" t="s">
        <v>26</v>
      </c>
      <c r="F4724" s="1">
        <v>60.0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1">
        <v>70.15</v>
      </c>
      <c r="T4724" s="1">
        <v>4224.7</v>
      </c>
      <c r="U4724" s="1">
        <v>0.0</v>
      </c>
      <c r="V4724" s="1">
        <v>0.0</v>
      </c>
      <c r="W4724" s="1" t="s">
        <v>26</v>
      </c>
    </row>
    <row r="4725" ht="15.75" customHeight="1">
      <c r="A4725" s="1" t="s">
        <v>4762</v>
      </c>
      <c r="B4725" s="1" t="s">
        <v>32</v>
      </c>
      <c r="C4725" s="1">
        <v>0.0</v>
      </c>
      <c r="D4725" s="1" t="s">
        <v>26</v>
      </c>
      <c r="E4725" s="1" t="s">
        <v>26</v>
      </c>
      <c r="F4725" s="1">
        <v>1.0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1">
        <v>74.35</v>
      </c>
      <c r="T4725" s="1">
        <v>74.35</v>
      </c>
      <c r="U4725" s="1">
        <v>4.0</v>
      </c>
      <c r="V4725" s="1">
        <v>0.0</v>
      </c>
      <c r="W4725" s="1" t="s">
        <v>25</v>
      </c>
    </row>
    <row r="4726" ht="15.75" customHeight="1">
      <c r="A4726" s="1" t="s">
        <v>4763</v>
      </c>
      <c r="B4726" s="1" t="s">
        <v>24</v>
      </c>
      <c r="C4726" s="1">
        <v>0.0</v>
      </c>
      <c r="D4726" s="1" t="s">
        <v>25</v>
      </c>
      <c r="E4726" s="1" t="s">
        <v>25</v>
      </c>
      <c r="F4726" s="1">
        <v>50.0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1">
        <v>80.05</v>
      </c>
      <c r="T4726" s="1">
        <v>4042.2</v>
      </c>
      <c r="U4726" s="1">
        <v>0.0</v>
      </c>
      <c r="V4726" s="1">
        <v>0.0</v>
      </c>
      <c r="W4726" s="1" t="s">
        <v>26</v>
      </c>
    </row>
    <row r="4727" ht="15.75" customHeight="1">
      <c r="A4727" s="1" t="s">
        <v>4764</v>
      </c>
      <c r="B4727" s="1" t="s">
        <v>32</v>
      </c>
      <c r="C4727" s="1">
        <v>0.0</v>
      </c>
      <c r="D4727" s="1" t="s">
        <v>26</v>
      </c>
      <c r="E4727" s="1" t="s">
        <v>26</v>
      </c>
      <c r="F4727" s="1">
        <v>1.0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1">
        <v>62.05</v>
      </c>
      <c r="T4727" s="1">
        <v>62.05</v>
      </c>
      <c r="U4727" s="1">
        <v>2.0</v>
      </c>
      <c r="V4727" s="1">
        <v>0.0</v>
      </c>
      <c r="W4727" s="1" t="s">
        <v>25</v>
      </c>
    </row>
    <row r="4728" ht="15.75" customHeight="1">
      <c r="A4728" s="1" t="s">
        <v>4765</v>
      </c>
      <c r="B4728" s="1" t="s">
        <v>24</v>
      </c>
      <c r="C4728" s="1">
        <v>0.0</v>
      </c>
      <c r="D4728" s="1" t="s">
        <v>25</v>
      </c>
      <c r="E4728" s="1" t="s">
        <v>26</v>
      </c>
      <c r="F4728" s="1">
        <v>72.0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1">
        <v>49.2</v>
      </c>
      <c r="T4728" s="1">
        <v>3580.95</v>
      </c>
      <c r="U4728" s="1">
        <v>0.0</v>
      </c>
      <c r="V4728" s="1">
        <v>0.0</v>
      </c>
      <c r="W4728" s="1" t="s">
        <v>26</v>
      </c>
    </row>
    <row r="4729" ht="15.75" customHeight="1">
      <c r="A4729" s="1" t="s">
        <v>4766</v>
      </c>
      <c r="B4729" s="1" t="s">
        <v>32</v>
      </c>
      <c r="C4729" s="1">
        <v>0.0</v>
      </c>
      <c r="D4729" s="1" t="s">
        <v>25</v>
      </c>
      <c r="E4729" s="1" t="s">
        <v>26</v>
      </c>
      <c r="F4729" s="1">
        <v>60.0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1">
        <v>20.5</v>
      </c>
      <c r="T4729" s="1">
        <v>1198.8</v>
      </c>
      <c r="U4729" s="1">
        <v>0.0</v>
      </c>
      <c r="V4729" s="1">
        <v>0.0</v>
      </c>
      <c r="W4729" s="1" t="s">
        <v>26</v>
      </c>
    </row>
    <row r="4730" ht="15.75" customHeight="1">
      <c r="A4730" s="1" t="s">
        <v>4767</v>
      </c>
      <c r="B4730" s="1" t="s">
        <v>32</v>
      </c>
      <c r="C4730" s="1">
        <v>0.0</v>
      </c>
      <c r="D4730" s="1" t="s">
        <v>26</v>
      </c>
      <c r="E4730" s="1" t="s">
        <v>26</v>
      </c>
      <c r="F4730" s="1">
        <v>46.0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1">
        <v>38.25</v>
      </c>
      <c r="T4730" s="1">
        <v>1755.35</v>
      </c>
      <c r="U4730" s="1">
        <v>0.0</v>
      </c>
      <c r="V4730" s="1">
        <v>0.0</v>
      </c>
      <c r="W4730" s="1" t="s">
        <v>26</v>
      </c>
    </row>
    <row r="4731" ht="15.75" customHeight="1">
      <c r="A4731" s="1" t="s">
        <v>4768</v>
      </c>
      <c r="B4731" s="1" t="s">
        <v>24</v>
      </c>
      <c r="C4731" s="1">
        <v>0.0</v>
      </c>
      <c r="D4731" s="1" t="s">
        <v>25</v>
      </c>
      <c r="E4731" s="1" t="s">
        <v>25</v>
      </c>
      <c r="F4731" s="1">
        <v>69.0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1">
        <v>54.95</v>
      </c>
      <c r="T4731" s="1">
        <v>3772.5</v>
      </c>
      <c r="U4731" s="1">
        <v>0.0</v>
      </c>
      <c r="V4731" s="1">
        <v>0.0</v>
      </c>
      <c r="W4731" s="1" t="s">
        <v>26</v>
      </c>
    </row>
    <row r="4732" ht="15.75" customHeight="1">
      <c r="A4732" s="1" t="s">
        <v>4769</v>
      </c>
      <c r="B4732" s="1" t="s">
        <v>32</v>
      </c>
      <c r="C4732" s="1">
        <v>1.0</v>
      </c>
      <c r="D4732" s="1" t="s">
        <v>26</v>
      </c>
      <c r="E4732" s="1" t="s">
        <v>26</v>
      </c>
      <c r="F4732" s="1">
        <v>31.0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1">
        <v>96.6</v>
      </c>
      <c r="T4732" s="1">
        <v>2877.95</v>
      </c>
      <c r="U4732" s="1">
        <v>0.0</v>
      </c>
      <c r="V4732" s="1">
        <v>0.0</v>
      </c>
      <c r="W4732" s="1" t="s">
        <v>26</v>
      </c>
    </row>
    <row r="4733" ht="15.75" customHeight="1">
      <c r="A4733" s="1" t="s">
        <v>4770</v>
      </c>
      <c r="B4733" s="1" t="s">
        <v>32</v>
      </c>
      <c r="C4733" s="1">
        <v>0.0</v>
      </c>
      <c r="D4733" s="1" t="s">
        <v>25</v>
      </c>
      <c r="E4733" s="1" t="s">
        <v>25</v>
      </c>
      <c r="F4733" s="1">
        <v>19.0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1">
        <v>19.9</v>
      </c>
      <c r="T4733" s="1">
        <v>357.7</v>
      </c>
      <c r="U4733" s="1">
        <v>0.0</v>
      </c>
      <c r="V4733" s="1">
        <v>0.0</v>
      </c>
      <c r="W4733" s="1" t="s">
        <v>26</v>
      </c>
    </row>
    <row r="4734" ht="15.75" customHeight="1">
      <c r="A4734" s="1" t="s">
        <v>4771</v>
      </c>
      <c r="B4734" s="1" t="s">
        <v>24</v>
      </c>
      <c r="C4734" s="1">
        <v>0.0</v>
      </c>
      <c r="D4734" s="1" t="s">
        <v>25</v>
      </c>
      <c r="E4734" s="1" t="s">
        <v>25</v>
      </c>
      <c r="F4734" s="1">
        <v>71.0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1">
        <v>19.9</v>
      </c>
      <c r="T4734" s="1">
        <v>1397.3</v>
      </c>
      <c r="U4734" s="1">
        <v>0.0</v>
      </c>
      <c r="V4734" s="1">
        <v>0.0</v>
      </c>
      <c r="W4734" s="1" t="s">
        <v>26</v>
      </c>
    </row>
    <row r="4735" ht="15.75" customHeight="1">
      <c r="A4735" s="1" t="s">
        <v>4772</v>
      </c>
      <c r="B4735" s="1" t="s">
        <v>32</v>
      </c>
      <c r="C4735" s="1">
        <v>0.0</v>
      </c>
      <c r="D4735" s="1" t="s">
        <v>25</v>
      </c>
      <c r="E4735" s="1" t="s">
        <v>26</v>
      </c>
      <c r="F4735" s="1">
        <v>12.0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1">
        <v>84.6</v>
      </c>
      <c r="T4735" s="1">
        <v>959.9</v>
      </c>
      <c r="U4735" s="1">
        <v>0.0</v>
      </c>
      <c r="V4735" s="1">
        <v>0.0</v>
      </c>
      <c r="W4735" s="1" t="s">
        <v>26</v>
      </c>
    </row>
    <row r="4736" ht="15.75" customHeight="1">
      <c r="A4736" s="1" t="s">
        <v>4773</v>
      </c>
      <c r="B4736" s="1" t="s">
        <v>32</v>
      </c>
      <c r="C4736" s="1">
        <v>0.0</v>
      </c>
      <c r="D4736" s="1" t="s">
        <v>25</v>
      </c>
      <c r="E4736" s="1" t="s">
        <v>25</v>
      </c>
      <c r="F4736" s="1">
        <v>39.0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1">
        <v>80.0</v>
      </c>
      <c r="T4736" s="1">
        <v>3182.95</v>
      </c>
      <c r="U4736" s="1">
        <v>0.0</v>
      </c>
      <c r="V4736" s="1">
        <v>4.0</v>
      </c>
      <c r="W4736" s="1" t="s">
        <v>25</v>
      </c>
    </row>
    <row r="4737" ht="15.75" customHeight="1">
      <c r="A4737" s="1" t="s">
        <v>4774</v>
      </c>
      <c r="B4737" s="1" t="s">
        <v>32</v>
      </c>
      <c r="C4737" s="1">
        <v>0.0</v>
      </c>
      <c r="D4737" s="1" t="s">
        <v>26</v>
      </c>
      <c r="E4737" s="1" t="s">
        <v>26</v>
      </c>
      <c r="F4737" s="1">
        <v>44.0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1">
        <v>85.25</v>
      </c>
      <c r="T4737" s="1">
        <v>3704.15</v>
      </c>
      <c r="U4737" s="1">
        <v>0.0</v>
      </c>
      <c r="V4737" s="1">
        <v>0.0</v>
      </c>
      <c r="W4737" s="1" t="s">
        <v>26</v>
      </c>
    </row>
    <row r="4738" ht="15.75" customHeight="1">
      <c r="A4738" s="1" t="s">
        <v>4775</v>
      </c>
      <c r="B4738" s="1" t="s">
        <v>24</v>
      </c>
      <c r="C4738" s="1">
        <v>0.0</v>
      </c>
      <c r="D4738" s="1" t="s">
        <v>25</v>
      </c>
      <c r="E4738" s="1" t="s">
        <v>25</v>
      </c>
      <c r="F4738" s="1">
        <v>56.0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1">
        <v>81.25</v>
      </c>
      <c r="T4738" s="1">
        <v>4620.4</v>
      </c>
      <c r="U4738" s="1">
        <v>0.0</v>
      </c>
      <c r="V4738" s="1">
        <v>0.0</v>
      </c>
      <c r="W4738" s="1" t="s">
        <v>26</v>
      </c>
    </row>
    <row r="4739" ht="15.75" customHeight="1">
      <c r="A4739" s="1" t="s">
        <v>4776</v>
      </c>
      <c r="B4739" s="1" t="s">
        <v>24</v>
      </c>
      <c r="C4739" s="1">
        <v>0.0</v>
      </c>
      <c r="D4739" s="1" t="s">
        <v>25</v>
      </c>
      <c r="E4739" s="1" t="s">
        <v>26</v>
      </c>
      <c r="F4739" s="1">
        <v>72.0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1">
        <v>115.5</v>
      </c>
      <c r="T4739" s="1">
        <v>8312.75</v>
      </c>
      <c r="U4739" s="1">
        <v>3.0</v>
      </c>
      <c r="V4739" s="1">
        <v>0.0</v>
      </c>
      <c r="W4739" s="1" t="s">
        <v>26</v>
      </c>
    </row>
    <row r="4740" ht="15.75" customHeight="1">
      <c r="A4740" s="1" t="s">
        <v>4777</v>
      </c>
      <c r="B4740" s="1" t="s">
        <v>32</v>
      </c>
      <c r="C4740" s="1">
        <v>0.0</v>
      </c>
      <c r="D4740" s="1" t="s">
        <v>26</v>
      </c>
      <c r="E4740" s="1" t="s">
        <v>26</v>
      </c>
      <c r="F4740" s="1">
        <v>5.0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1">
        <v>104.1</v>
      </c>
      <c r="T4740" s="1">
        <v>541.9</v>
      </c>
      <c r="U4740" s="1">
        <v>0.0</v>
      </c>
      <c r="V4740" s="1">
        <v>0.0</v>
      </c>
      <c r="W4740" s="1" t="s">
        <v>25</v>
      </c>
    </row>
    <row r="4741" ht="15.75" customHeight="1">
      <c r="A4741" s="1" t="s">
        <v>4778</v>
      </c>
      <c r="B4741" s="1" t="s">
        <v>24</v>
      </c>
      <c r="C4741" s="1">
        <v>0.0</v>
      </c>
      <c r="D4741" s="1" t="s">
        <v>26</v>
      </c>
      <c r="E4741" s="1" t="s">
        <v>26</v>
      </c>
      <c r="F4741" s="1">
        <v>11.0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1">
        <v>79.0</v>
      </c>
      <c r="T4741" s="1">
        <v>929.3</v>
      </c>
      <c r="U4741" s="1">
        <v>0.0</v>
      </c>
      <c r="V4741" s="1">
        <v>0.0</v>
      </c>
      <c r="W4741" s="1" t="s">
        <v>26</v>
      </c>
    </row>
    <row r="4742" ht="15.75" customHeight="1">
      <c r="A4742" s="1" t="s">
        <v>4779</v>
      </c>
      <c r="B4742" s="1" t="s">
        <v>32</v>
      </c>
      <c r="C4742" s="1">
        <v>1.0</v>
      </c>
      <c r="D4742" s="1" t="s">
        <v>25</v>
      </c>
      <c r="E4742" s="1" t="s">
        <v>26</v>
      </c>
      <c r="F4742" s="1">
        <v>24.0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1">
        <v>39.1</v>
      </c>
      <c r="T4742" s="1">
        <v>971.3</v>
      </c>
      <c r="U4742" s="1">
        <v>0.0</v>
      </c>
      <c r="V4742" s="1">
        <v>1.0</v>
      </c>
      <c r="W4742" s="1" t="s">
        <v>25</v>
      </c>
    </row>
    <row r="4743" ht="15.75" customHeight="1">
      <c r="A4743" s="1" t="s">
        <v>4780</v>
      </c>
      <c r="B4743" s="1" t="s">
        <v>24</v>
      </c>
      <c r="C4743" s="1">
        <v>1.0</v>
      </c>
      <c r="D4743" s="1" t="s">
        <v>25</v>
      </c>
      <c r="E4743" s="1" t="s">
        <v>26</v>
      </c>
      <c r="F4743" s="1">
        <v>15.0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1">
        <v>94.65</v>
      </c>
      <c r="T4743" s="1">
        <v>1285.05</v>
      </c>
      <c r="U4743" s="1">
        <v>0.0</v>
      </c>
      <c r="V4743" s="1">
        <v>0.0</v>
      </c>
      <c r="W4743" s="1" t="s">
        <v>26</v>
      </c>
    </row>
    <row r="4744" ht="15.75" customHeight="1">
      <c r="A4744" s="1" t="s">
        <v>4781</v>
      </c>
      <c r="B4744" s="1" t="s">
        <v>32</v>
      </c>
      <c r="C4744" s="1">
        <v>0.0</v>
      </c>
      <c r="D4744" s="1" t="s">
        <v>26</v>
      </c>
      <c r="E4744" s="1" t="s">
        <v>26</v>
      </c>
      <c r="F4744" s="1">
        <v>72.0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1">
        <v>20.8</v>
      </c>
      <c r="T4744" s="1">
        <v>1521.2</v>
      </c>
      <c r="U4744" s="1">
        <v>0.0</v>
      </c>
      <c r="V4744" s="1">
        <v>0.0</v>
      </c>
      <c r="W4744" s="1" t="s">
        <v>26</v>
      </c>
    </row>
    <row r="4745" ht="15.75" customHeight="1">
      <c r="A4745" s="1" t="s">
        <v>4782</v>
      </c>
      <c r="B4745" s="1" t="s">
        <v>32</v>
      </c>
      <c r="C4745" s="1">
        <v>0.0</v>
      </c>
      <c r="D4745" s="1" t="s">
        <v>25</v>
      </c>
      <c r="E4745" s="1" t="s">
        <v>26</v>
      </c>
      <c r="F4745" s="1">
        <v>56.0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1">
        <v>59.5</v>
      </c>
      <c r="T4745" s="1">
        <v>3389.25</v>
      </c>
      <c r="U4745" s="1">
        <v>0.0</v>
      </c>
      <c r="V4745" s="1">
        <v>0.0</v>
      </c>
      <c r="W4745" s="1" t="s">
        <v>26</v>
      </c>
    </row>
    <row r="4746" ht="15.75" customHeight="1">
      <c r="A4746" s="1" t="s">
        <v>4783</v>
      </c>
      <c r="B4746" s="1" t="s">
        <v>32</v>
      </c>
      <c r="C4746" s="1">
        <v>1.0</v>
      </c>
      <c r="D4746" s="1" t="s">
        <v>26</v>
      </c>
      <c r="E4746" s="1" t="s">
        <v>26</v>
      </c>
      <c r="F4746" s="1">
        <v>64.0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1">
        <v>20.05</v>
      </c>
      <c r="T4746" s="1">
        <v>1198.05</v>
      </c>
      <c r="U4746" s="1">
        <v>0.0</v>
      </c>
      <c r="V4746" s="1">
        <v>0.0</v>
      </c>
      <c r="W4746" s="1" t="s">
        <v>26</v>
      </c>
    </row>
    <row r="4747" ht="15.75" customHeight="1">
      <c r="A4747" s="1" t="s">
        <v>4784</v>
      </c>
      <c r="B4747" s="1" t="s">
        <v>24</v>
      </c>
      <c r="C4747" s="1">
        <v>0.0</v>
      </c>
      <c r="D4747" s="1" t="s">
        <v>25</v>
      </c>
      <c r="E4747" s="1" t="s">
        <v>26</v>
      </c>
      <c r="F4747" s="1">
        <v>34.0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1">
        <v>100.45</v>
      </c>
      <c r="T4747" s="1">
        <v>3414.65</v>
      </c>
      <c r="U4747" s="1">
        <v>0.0</v>
      </c>
      <c r="V4747" s="1">
        <v>0.0</v>
      </c>
      <c r="W4747" s="1" t="s">
        <v>26</v>
      </c>
    </row>
    <row r="4748" ht="15.75" customHeight="1">
      <c r="A4748" s="1" t="s">
        <v>4785</v>
      </c>
      <c r="B4748" s="1" t="s">
        <v>32</v>
      </c>
      <c r="C4748" s="1">
        <v>0.0</v>
      </c>
      <c r="D4748" s="1" t="s">
        <v>26</v>
      </c>
      <c r="E4748" s="1" t="s">
        <v>26</v>
      </c>
      <c r="F4748" s="1">
        <v>2.0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1">
        <v>76.5</v>
      </c>
      <c r="T4748" s="1">
        <v>162.45</v>
      </c>
      <c r="U4748" s="1">
        <v>0.0</v>
      </c>
      <c r="V4748" s="1">
        <v>0.0</v>
      </c>
      <c r="W4748" s="1" t="s">
        <v>25</v>
      </c>
    </row>
    <row r="4749" ht="15.75" customHeight="1">
      <c r="A4749" s="1" t="s">
        <v>4786</v>
      </c>
      <c r="B4749" s="1" t="s">
        <v>32</v>
      </c>
      <c r="C4749" s="1">
        <v>0.0</v>
      </c>
      <c r="D4749" s="1" t="s">
        <v>26</v>
      </c>
      <c r="E4749" s="1" t="s">
        <v>26</v>
      </c>
      <c r="F4749" s="1">
        <v>35.0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1">
        <v>20.6</v>
      </c>
      <c r="T4749" s="1">
        <v>754.0</v>
      </c>
      <c r="U4749" s="1">
        <v>0.0</v>
      </c>
      <c r="V4749" s="1">
        <v>0.0</v>
      </c>
      <c r="W4749" s="1" t="s">
        <v>26</v>
      </c>
    </row>
    <row r="4750" ht="15.75" customHeight="1">
      <c r="A4750" s="1" t="s">
        <v>4787</v>
      </c>
      <c r="B4750" s="1" t="s">
        <v>32</v>
      </c>
      <c r="C4750" s="1">
        <v>0.0</v>
      </c>
      <c r="D4750" s="1" t="s">
        <v>26</v>
      </c>
      <c r="E4750" s="1" t="s">
        <v>26</v>
      </c>
      <c r="F4750" s="1">
        <v>22.0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1">
        <v>20.3</v>
      </c>
      <c r="T4750" s="1">
        <v>467.15</v>
      </c>
      <c r="U4750" s="1">
        <v>0.0</v>
      </c>
      <c r="V4750" s="1">
        <v>0.0</v>
      </c>
      <c r="W4750" s="1" t="s">
        <v>26</v>
      </c>
    </row>
    <row r="4751" ht="15.75" customHeight="1">
      <c r="A4751" s="1" t="s">
        <v>4788</v>
      </c>
      <c r="B4751" s="1" t="s">
        <v>32</v>
      </c>
      <c r="C4751" s="1">
        <v>0.0</v>
      </c>
      <c r="D4751" s="1" t="s">
        <v>26</v>
      </c>
      <c r="E4751" s="1" t="s">
        <v>26</v>
      </c>
      <c r="F4751" s="1">
        <v>5.0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1">
        <v>49.2</v>
      </c>
      <c r="T4751" s="1">
        <v>216.9</v>
      </c>
      <c r="U4751" s="1">
        <v>0.0</v>
      </c>
      <c r="V4751" s="1">
        <v>0.0</v>
      </c>
      <c r="W4751" s="1" t="s">
        <v>25</v>
      </c>
    </row>
    <row r="4752" ht="15.75" customHeight="1">
      <c r="A4752" s="1" t="s">
        <v>4789</v>
      </c>
      <c r="B4752" s="1" t="s">
        <v>32</v>
      </c>
      <c r="C4752" s="1">
        <v>0.0</v>
      </c>
      <c r="D4752" s="1" t="s">
        <v>26</v>
      </c>
      <c r="E4752" s="1" t="s">
        <v>26</v>
      </c>
      <c r="F4752" s="1">
        <v>9.0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1">
        <v>39.55</v>
      </c>
      <c r="T4752" s="1">
        <v>373.0</v>
      </c>
      <c r="U4752" s="1">
        <v>4.0</v>
      </c>
      <c r="V4752" s="1">
        <v>0.0</v>
      </c>
      <c r="W4752" s="1" t="s">
        <v>26</v>
      </c>
    </row>
    <row r="4753" ht="15.75" customHeight="1">
      <c r="A4753" s="1" t="s">
        <v>4790</v>
      </c>
      <c r="B4753" s="1" t="s">
        <v>32</v>
      </c>
      <c r="C4753" s="1">
        <v>0.0</v>
      </c>
      <c r="D4753" s="1" t="s">
        <v>26</v>
      </c>
      <c r="E4753" s="1" t="s">
        <v>26</v>
      </c>
      <c r="F4753" s="1">
        <v>11.0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1">
        <v>23.15</v>
      </c>
      <c r="T4753" s="1">
        <v>245.2</v>
      </c>
      <c r="U4753" s="1">
        <v>0.0</v>
      </c>
      <c r="V4753" s="1">
        <v>0.0</v>
      </c>
      <c r="W4753" s="1" t="s">
        <v>25</v>
      </c>
    </row>
    <row r="4754" ht="15.75" customHeight="1">
      <c r="A4754" s="1" t="s">
        <v>4791</v>
      </c>
      <c r="B4754" s="1" t="s">
        <v>32</v>
      </c>
      <c r="C4754" s="1">
        <v>0.0</v>
      </c>
      <c r="D4754" s="1" t="s">
        <v>26</v>
      </c>
      <c r="E4754" s="1" t="s">
        <v>26</v>
      </c>
      <c r="F4754" s="1">
        <v>23.0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1">
        <v>20.45</v>
      </c>
      <c r="T4754" s="1">
        <v>481.1</v>
      </c>
      <c r="U4754" s="1">
        <v>0.0</v>
      </c>
      <c r="V4754" s="1">
        <v>0.0</v>
      </c>
      <c r="W4754" s="1" t="s">
        <v>26</v>
      </c>
    </row>
    <row r="4755" ht="15.75" customHeight="1">
      <c r="A4755" s="1" t="s">
        <v>4792</v>
      </c>
      <c r="B4755" s="1" t="s">
        <v>24</v>
      </c>
      <c r="C4755" s="1">
        <v>0.0</v>
      </c>
      <c r="D4755" s="1" t="s">
        <v>25</v>
      </c>
      <c r="E4755" s="1" t="s">
        <v>25</v>
      </c>
      <c r="F4755" s="1">
        <v>4.0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1">
        <v>80.85</v>
      </c>
      <c r="T4755" s="1">
        <v>302.75</v>
      </c>
      <c r="U4755" s="1">
        <v>0.0</v>
      </c>
      <c r="V4755" s="1">
        <v>0.0</v>
      </c>
      <c r="W4755" s="1" t="s">
        <v>25</v>
      </c>
    </row>
    <row r="4756" ht="15.75" customHeight="1">
      <c r="A4756" s="1" t="s">
        <v>4793</v>
      </c>
      <c r="B4756" s="1" t="s">
        <v>32</v>
      </c>
      <c r="C4756" s="1">
        <v>0.0</v>
      </c>
      <c r="D4756" s="1" t="s">
        <v>25</v>
      </c>
      <c r="E4756" s="1" t="s">
        <v>26</v>
      </c>
      <c r="F4756" s="1">
        <v>68.0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1">
        <v>25.25</v>
      </c>
      <c r="T4756" s="1">
        <v>1728.2</v>
      </c>
      <c r="U4756" s="1">
        <v>1.0</v>
      </c>
      <c r="V4756" s="1">
        <v>0.0</v>
      </c>
      <c r="W4756" s="1" t="s">
        <v>26</v>
      </c>
    </row>
    <row r="4757" ht="15.75" customHeight="1">
      <c r="A4757" s="1" t="s">
        <v>4794</v>
      </c>
      <c r="B4757" s="1" t="s">
        <v>32</v>
      </c>
      <c r="C4757" s="1">
        <v>0.0</v>
      </c>
      <c r="D4757" s="1" t="s">
        <v>25</v>
      </c>
      <c r="E4757" s="1" t="s">
        <v>26</v>
      </c>
      <c r="F4757" s="1">
        <v>33.0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1">
        <v>91.25</v>
      </c>
      <c r="T4757" s="1">
        <v>2964.05</v>
      </c>
      <c r="U4757" s="1">
        <v>1.0</v>
      </c>
      <c r="V4757" s="1">
        <v>0.0</v>
      </c>
      <c r="W4757" s="1" t="s">
        <v>26</v>
      </c>
    </row>
    <row r="4758" ht="15.75" customHeight="1">
      <c r="A4758" s="1" t="s">
        <v>4795</v>
      </c>
      <c r="B4758" s="1" t="s">
        <v>32</v>
      </c>
      <c r="C4758" s="1">
        <v>0.0</v>
      </c>
      <c r="D4758" s="1" t="s">
        <v>26</v>
      </c>
      <c r="E4758" s="1" t="s">
        <v>26</v>
      </c>
      <c r="F4758" s="1">
        <v>31.0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1">
        <v>72.45</v>
      </c>
      <c r="T4758" s="1">
        <v>2156.25</v>
      </c>
      <c r="U4758" s="1">
        <v>0.0</v>
      </c>
      <c r="V4758" s="1">
        <v>0.0</v>
      </c>
      <c r="W4758" s="1" t="s">
        <v>26</v>
      </c>
    </row>
    <row r="4759" ht="15.75" customHeight="1">
      <c r="A4759" s="1" t="s">
        <v>4796</v>
      </c>
      <c r="B4759" s="1" t="s">
        <v>32</v>
      </c>
      <c r="C4759" s="1">
        <v>0.0</v>
      </c>
      <c r="D4759" s="1" t="s">
        <v>26</v>
      </c>
      <c r="E4759" s="1" t="s">
        <v>26</v>
      </c>
      <c r="F4759" s="1">
        <v>1.0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1">
        <v>60.1</v>
      </c>
      <c r="T4759" s="1">
        <v>60.1</v>
      </c>
      <c r="U4759" s="1">
        <v>0.0</v>
      </c>
      <c r="V4759" s="1">
        <v>0.0</v>
      </c>
      <c r="W4759" s="1" t="s">
        <v>25</v>
      </c>
    </row>
    <row r="4760" ht="15.75" customHeight="1">
      <c r="A4760" s="1" t="s">
        <v>4797</v>
      </c>
      <c r="B4760" s="1" t="s">
        <v>24</v>
      </c>
      <c r="C4760" s="1">
        <v>0.0</v>
      </c>
      <c r="D4760" s="1" t="s">
        <v>26</v>
      </c>
      <c r="E4760" s="1" t="s">
        <v>26</v>
      </c>
      <c r="F4760" s="1">
        <v>56.0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1">
        <v>19.7</v>
      </c>
      <c r="T4760" s="1">
        <v>1051.9</v>
      </c>
      <c r="U4760" s="1">
        <v>0.0</v>
      </c>
      <c r="V4760" s="1">
        <v>0.0</v>
      </c>
      <c r="W4760" s="1" t="s">
        <v>26</v>
      </c>
    </row>
    <row r="4761" ht="15.75" customHeight="1">
      <c r="A4761" s="1" t="s">
        <v>4798</v>
      </c>
      <c r="B4761" s="1" t="s">
        <v>32</v>
      </c>
      <c r="C4761" s="1">
        <v>0.0</v>
      </c>
      <c r="D4761" s="1" t="s">
        <v>26</v>
      </c>
      <c r="E4761" s="1" t="s">
        <v>26</v>
      </c>
      <c r="F4761" s="1">
        <v>1.0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1">
        <v>78.95</v>
      </c>
      <c r="T4761" s="1">
        <v>78.95</v>
      </c>
      <c r="U4761" s="1">
        <v>0.0</v>
      </c>
      <c r="V4761" s="1">
        <v>0.0</v>
      </c>
      <c r="W4761" s="1" t="s">
        <v>25</v>
      </c>
    </row>
    <row r="4762" ht="15.75" customHeight="1">
      <c r="A4762" s="1" t="s">
        <v>4799</v>
      </c>
      <c r="B4762" s="1" t="s">
        <v>32</v>
      </c>
      <c r="C4762" s="1">
        <v>0.0</v>
      </c>
      <c r="D4762" s="1" t="s">
        <v>25</v>
      </c>
      <c r="E4762" s="1" t="s">
        <v>25</v>
      </c>
      <c r="F4762" s="1">
        <v>66.0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1">
        <v>75.1</v>
      </c>
      <c r="T4762" s="1">
        <v>5013.0</v>
      </c>
      <c r="U4762" s="1">
        <v>0.0</v>
      </c>
      <c r="V4762" s="1">
        <v>0.0</v>
      </c>
      <c r="W4762" s="1" t="s">
        <v>26</v>
      </c>
    </row>
    <row r="4763" ht="15.75" customHeight="1">
      <c r="A4763" s="1" t="s">
        <v>4800</v>
      </c>
      <c r="B4763" s="1" t="s">
        <v>32</v>
      </c>
      <c r="C4763" s="1">
        <v>0.0</v>
      </c>
      <c r="D4763" s="1" t="s">
        <v>25</v>
      </c>
      <c r="E4763" s="1" t="s">
        <v>25</v>
      </c>
      <c r="F4763" s="1">
        <v>72.0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1">
        <v>25.0</v>
      </c>
      <c r="T4763" s="1">
        <v>1738.9</v>
      </c>
      <c r="U4763" s="1">
        <v>0.0</v>
      </c>
      <c r="V4763" s="1">
        <v>0.0</v>
      </c>
      <c r="W4763" s="1" t="s">
        <v>26</v>
      </c>
    </row>
    <row r="4764" ht="15.75" customHeight="1">
      <c r="A4764" s="1" t="s">
        <v>4801</v>
      </c>
      <c r="B4764" s="1" t="s">
        <v>32</v>
      </c>
      <c r="C4764" s="1">
        <v>1.0</v>
      </c>
      <c r="D4764" s="1" t="s">
        <v>26</v>
      </c>
      <c r="E4764" s="1" t="s">
        <v>26</v>
      </c>
      <c r="F4764" s="1">
        <v>34.0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1">
        <v>69.15</v>
      </c>
      <c r="T4764" s="1">
        <v>2275.1</v>
      </c>
      <c r="U4764" s="1">
        <v>3.0</v>
      </c>
      <c r="V4764" s="1">
        <v>0.0</v>
      </c>
      <c r="W4764" s="1" t="s">
        <v>26</v>
      </c>
    </row>
    <row r="4765" ht="15.75" customHeight="1">
      <c r="A4765" s="1" t="s">
        <v>4802</v>
      </c>
      <c r="B4765" s="1" t="s">
        <v>24</v>
      </c>
      <c r="C4765" s="1">
        <v>0.0</v>
      </c>
      <c r="D4765" s="1" t="s">
        <v>25</v>
      </c>
      <c r="E4765" s="1" t="s">
        <v>25</v>
      </c>
      <c r="F4765" s="1">
        <v>58.0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1">
        <v>91.55</v>
      </c>
      <c r="T4765" s="1">
        <v>5511.65</v>
      </c>
      <c r="U4765" s="1">
        <v>0.0</v>
      </c>
      <c r="V4765" s="1">
        <v>5.0</v>
      </c>
      <c r="W4765" s="1" t="s">
        <v>26</v>
      </c>
    </row>
    <row r="4766" ht="15.75" customHeight="1">
      <c r="A4766" s="1" t="s">
        <v>4803</v>
      </c>
      <c r="B4766" s="1" t="s">
        <v>32</v>
      </c>
      <c r="C4766" s="1">
        <v>0.0</v>
      </c>
      <c r="D4766" s="1" t="s">
        <v>26</v>
      </c>
      <c r="E4766" s="1" t="s">
        <v>26</v>
      </c>
      <c r="F4766" s="1">
        <v>2.0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1">
        <v>45.15</v>
      </c>
      <c r="T4766" s="1">
        <v>98.5</v>
      </c>
      <c r="U4766" s="1">
        <v>5.0</v>
      </c>
      <c r="V4766" s="1">
        <v>0.0</v>
      </c>
      <c r="W4766" s="1" t="s">
        <v>25</v>
      </c>
    </row>
    <row r="4767" ht="15.75" customHeight="1">
      <c r="A4767" s="1" t="s">
        <v>4804</v>
      </c>
      <c r="B4767" s="1" t="s">
        <v>32</v>
      </c>
      <c r="C4767" s="1">
        <v>0.0</v>
      </c>
      <c r="D4767" s="1" t="s">
        <v>26</v>
      </c>
      <c r="E4767" s="1" t="s">
        <v>26</v>
      </c>
      <c r="F4767" s="1">
        <v>37.0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1">
        <v>35.8</v>
      </c>
      <c r="T4767" s="1">
        <v>1316.9</v>
      </c>
      <c r="U4767" s="1">
        <v>0.0</v>
      </c>
      <c r="V4767" s="1">
        <v>0.0</v>
      </c>
      <c r="W4767" s="1" t="s">
        <v>26</v>
      </c>
    </row>
    <row r="4768" ht="15.75" customHeight="1">
      <c r="A4768" s="1" t="s">
        <v>4805</v>
      </c>
      <c r="B4768" s="1" t="s">
        <v>24</v>
      </c>
      <c r="C4768" s="1">
        <v>0.0</v>
      </c>
      <c r="D4768" s="1" t="s">
        <v>26</v>
      </c>
      <c r="E4768" s="1" t="s">
        <v>26</v>
      </c>
      <c r="F4768" s="1">
        <v>71.0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1">
        <v>113.15</v>
      </c>
      <c r="T4768" s="1">
        <v>7993.3</v>
      </c>
      <c r="U4768" s="1">
        <v>0.0</v>
      </c>
      <c r="V4768" s="1">
        <v>0.0</v>
      </c>
      <c r="W4768" s="1" t="s">
        <v>26</v>
      </c>
    </row>
    <row r="4769" ht="15.75" customHeight="1">
      <c r="A4769" s="1" t="s">
        <v>4806</v>
      </c>
      <c r="B4769" s="1" t="s">
        <v>32</v>
      </c>
      <c r="C4769" s="1">
        <v>0.0</v>
      </c>
      <c r="D4769" s="1" t="s">
        <v>25</v>
      </c>
      <c r="E4769" s="1" t="s">
        <v>25</v>
      </c>
      <c r="F4769" s="1">
        <v>1.0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1">
        <v>19.85</v>
      </c>
      <c r="T4769" s="1">
        <v>19.85</v>
      </c>
      <c r="U4769" s="1">
        <v>3.0</v>
      </c>
      <c r="V4769" s="1">
        <v>0.0</v>
      </c>
      <c r="W4769" s="1" t="s">
        <v>26</v>
      </c>
    </row>
    <row r="4770" ht="15.75" customHeight="1">
      <c r="A4770" s="1" t="s">
        <v>4807</v>
      </c>
      <c r="B4770" s="1" t="s">
        <v>32</v>
      </c>
      <c r="C4770" s="1">
        <v>1.0</v>
      </c>
      <c r="D4770" s="1" t="s">
        <v>25</v>
      </c>
      <c r="E4770" s="1" t="s">
        <v>25</v>
      </c>
      <c r="F4770" s="1">
        <v>71.0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1">
        <v>19.8</v>
      </c>
      <c r="T4770" s="1">
        <v>1388.45</v>
      </c>
      <c r="U4770" s="1">
        <v>0.0</v>
      </c>
      <c r="V4770" s="1">
        <v>0.0</v>
      </c>
      <c r="W4770" s="1" t="s">
        <v>26</v>
      </c>
    </row>
    <row r="4771" ht="15.75" customHeight="1">
      <c r="A4771" s="1" t="s">
        <v>4808</v>
      </c>
      <c r="B4771" s="1" t="s">
        <v>32</v>
      </c>
      <c r="C4771" s="1">
        <v>0.0</v>
      </c>
      <c r="D4771" s="1" t="s">
        <v>25</v>
      </c>
      <c r="E4771" s="1" t="s">
        <v>25</v>
      </c>
      <c r="F4771" s="1">
        <v>35.0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1">
        <v>19.9</v>
      </c>
      <c r="T4771" s="1">
        <v>666.0</v>
      </c>
      <c r="U4771" s="1">
        <v>0.0</v>
      </c>
      <c r="V4771" s="1">
        <v>0.0</v>
      </c>
      <c r="W4771" s="1" t="s">
        <v>26</v>
      </c>
    </row>
    <row r="4772" ht="15.75" customHeight="1">
      <c r="A4772" s="1" t="s">
        <v>4809</v>
      </c>
      <c r="B4772" s="1" t="s">
        <v>24</v>
      </c>
      <c r="C4772" s="1">
        <v>0.0</v>
      </c>
      <c r="D4772" s="1" t="s">
        <v>25</v>
      </c>
      <c r="E4772" s="1" t="s">
        <v>25</v>
      </c>
      <c r="F4772" s="1">
        <v>6.0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1">
        <v>19.7</v>
      </c>
      <c r="T4772" s="1">
        <v>94.45</v>
      </c>
      <c r="U4772" s="1">
        <v>3.0</v>
      </c>
      <c r="V4772" s="1">
        <v>0.0</v>
      </c>
      <c r="W4772" s="1" t="s">
        <v>26</v>
      </c>
    </row>
    <row r="4773" ht="15.75" customHeight="1">
      <c r="A4773" s="1" t="s">
        <v>4810</v>
      </c>
      <c r="B4773" s="1" t="s">
        <v>24</v>
      </c>
      <c r="C4773" s="1">
        <v>0.0</v>
      </c>
      <c r="D4773" s="1" t="s">
        <v>26</v>
      </c>
      <c r="E4773" s="1" t="s">
        <v>26</v>
      </c>
      <c r="F4773" s="1">
        <v>3.0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1">
        <v>79.4</v>
      </c>
      <c r="T4773" s="1">
        <v>244.65</v>
      </c>
      <c r="U4773" s="1">
        <v>0.0</v>
      </c>
      <c r="V4773" s="1">
        <v>0.0</v>
      </c>
      <c r="W4773" s="1" t="s">
        <v>25</v>
      </c>
    </row>
    <row r="4774" ht="15.75" customHeight="1">
      <c r="A4774" s="1" t="s">
        <v>4811</v>
      </c>
      <c r="B4774" s="1" t="s">
        <v>24</v>
      </c>
      <c r="C4774" s="1">
        <v>0.0</v>
      </c>
      <c r="D4774" s="1" t="s">
        <v>25</v>
      </c>
      <c r="E4774" s="1" t="s">
        <v>25</v>
      </c>
      <c r="F4774" s="1">
        <v>69.0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1">
        <v>59.1</v>
      </c>
      <c r="T4774" s="1">
        <v>4134.7</v>
      </c>
      <c r="U4774" s="1">
        <v>0.0</v>
      </c>
      <c r="V4774" s="1">
        <v>0.0</v>
      </c>
      <c r="W4774" s="1" t="s">
        <v>26</v>
      </c>
    </row>
    <row r="4775" ht="15.75" customHeight="1">
      <c r="A4775" s="1" t="s">
        <v>4812</v>
      </c>
      <c r="B4775" s="1" t="s">
        <v>32</v>
      </c>
      <c r="C4775" s="1">
        <v>0.0</v>
      </c>
      <c r="D4775" s="1" t="s">
        <v>26</v>
      </c>
      <c r="E4775" s="1" t="s">
        <v>26</v>
      </c>
      <c r="F4775" s="1">
        <v>44.0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1">
        <v>53.95</v>
      </c>
      <c r="T4775" s="1">
        <v>2375.4</v>
      </c>
      <c r="U4775" s="1">
        <v>0.0</v>
      </c>
      <c r="V4775" s="1">
        <v>4.0</v>
      </c>
      <c r="W4775" s="1" t="s">
        <v>25</v>
      </c>
    </row>
    <row r="4776" ht="15.75" customHeight="1">
      <c r="A4776" s="1" t="s">
        <v>4813</v>
      </c>
      <c r="B4776" s="1" t="s">
        <v>24</v>
      </c>
      <c r="C4776" s="1">
        <v>0.0</v>
      </c>
      <c r="D4776" s="1" t="s">
        <v>25</v>
      </c>
      <c r="E4776" s="1" t="s">
        <v>26</v>
      </c>
      <c r="F4776" s="1">
        <v>53.0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1">
        <v>91.15</v>
      </c>
      <c r="T4776" s="1">
        <v>4862.5</v>
      </c>
      <c r="U4776" s="1">
        <v>0.0</v>
      </c>
      <c r="V4776" s="1">
        <v>3.0</v>
      </c>
      <c r="W4776" s="1" t="s">
        <v>26</v>
      </c>
    </row>
    <row r="4777" ht="15.75" customHeight="1">
      <c r="A4777" s="1" t="s">
        <v>4814</v>
      </c>
      <c r="B4777" s="1" t="s">
        <v>24</v>
      </c>
      <c r="C4777" s="1">
        <v>0.0</v>
      </c>
      <c r="D4777" s="1" t="s">
        <v>25</v>
      </c>
      <c r="E4777" s="1" t="s">
        <v>26</v>
      </c>
      <c r="F4777" s="1">
        <v>24.0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1">
        <v>99.3</v>
      </c>
      <c r="T4777" s="1">
        <v>2431.35</v>
      </c>
      <c r="U4777" s="1">
        <v>0.0</v>
      </c>
      <c r="V4777" s="1">
        <v>1.0</v>
      </c>
      <c r="W4777" s="1" t="s">
        <v>25</v>
      </c>
    </row>
    <row r="4778" ht="15.75" customHeight="1">
      <c r="A4778" s="1" t="s">
        <v>4815</v>
      </c>
      <c r="B4778" s="1" t="s">
        <v>24</v>
      </c>
      <c r="C4778" s="1">
        <v>0.0</v>
      </c>
      <c r="D4778" s="1" t="s">
        <v>25</v>
      </c>
      <c r="E4778" s="1" t="s">
        <v>26</v>
      </c>
      <c r="F4778" s="1">
        <v>5.0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1">
        <v>68.95</v>
      </c>
      <c r="T4778" s="1">
        <v>351.5</v>
      </c>
      <c r="U4778" s="1">
        <v>0.0</v>
      </c>
      <c r="V4778" s="1">
        <v>0.0</v>
      </c>
      <c r="W4778" s="1" t="s">
        <v>26</v>
      </c>
    </row>
    <row r="4779" ht="15.75" customHeight="1">
      <c r="A4779" s="1" t="s">
        <v>4816</v>
      </c>
      <c r="B4779" s="1" t="s">
        <v>24</v>
      </c>
      <c r="C4779" s="1">
        <v>0.0</v>
      </c>
      <c r="D4779" s="1" t="s">
        <v>26</v>
      </c>
      <c r="E4779" s="1" t="s">
        <v>25</v>
      </c>
      <c r="F4779" s="1">
        <v>2.0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1">
        <v>51.55</v>
      </c>
      <c r="T4779" s="1">
        <v>106.2</v>
      </c>
      <c r="U4779" s="1">
        <v>0.0</v>
      </c>
      <c r="V4779" s="1">
        <v>0.0</v>
      </c>
      <c r="W4779" s="1" t="s">
        <v>26</v>
      </c>
    </row>
    <row r="4780" ht="15.75" customHeight="1">
      <c r="A4780" s="1" t="s">
        <v>4817</v>
      </c>
      <c r="B4780" s="1" t="s">
        <v>32</v>
      </c>
      <c r="C4780" s="1">
        <v>0.0</v>
      </c>
      <c r="D4780" s="1" t="s">
        <v>26</v>
      </c>
      <c r="E4780" s="1" t="s">
        <v>25</v>
      </c>
      <c r="F4780" s="1">
        <v>62.0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1">
        <v>24.4</v>
      </c>
      <c r="T4780" s="1">
        <v>1413.0</v>
      </c>
      <c r="U4780" s="1">
        <v>0.0</v>
      </c>
      <c r="V4780" s="1">
        <v>0.0</v>
      </c>
      <c r="W4780" s="1" t="s">
        <v>26</v>
      </c>
    </row>
    <row r="4781" ht="15.75" customHeight="1">
      <c r="A4781" s="1" t="s">
        <v>4818</v>
      </c>
      <c r="B4781" s="1" t="s">
        <v>24</v>
      </c>
      <c r="C4781" s="1">
        <v>0.0</v>
      </c>
      <c r="D4781" s="1" t="s">
        <v>25</v>
      </c>
      <c r="E4781" s="1" t="s">
        <v>26</v>
      </c>
      <c r="F4781" s="1">
        <v>19.0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1">
        <v>96.8</v>
      </c>
      <c r="T4781" s="1">
        <v>1743.05</v>
      </c>
      <c r="U4781" s="1">
        <v>3.0</v>
      </c>
      <c r="V4781" s="1">
        <v>1.0</v>
      </c>
      <c r="W4781" s="1" t="s">
        <v>26</v>
      </c>
    </row>
    <row r="4782" ht="15.75" customHeight="1">
      <c r="A4782" s="1" t="s">
        <v>4819</v>
      </c>
      <c r="B4782" s="1" t="s">
        <v>32</v>
      </c>
      <c r="C4782" s="1">
        <v>0.0</v>
      </c>
      <c r="D4782" s="1" t="s">
        <v>26</v>
      </c>
      <c r="E4782" s="1" t="s">
        <v>26</v>
      </c>
      <c r="F4782" s="1">
        <v>9.0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1">
        <v>70.05</v>
      </c>
      <c r="T4782" s="1">
        <v>657.5</v>
      </c>
      <c r="U4782" s="1">
        <v>0.0</v>
      </c>
      <c r="V4782" s="1">
        <v>0.0</v>
      </c>
      <c r="W4782" s="1" t="s">
        <v>26</v>
      </c>
    </row>
    <row r="4783" ht="15.75" customHeight="1">
      <c r="A4783" s="1" t="s">
        <v>4820</v>
      </c>
      <c r="B4783" s="1" t="s">
        <v>32</v>
      </c>
      <c r="C4783" s="1">
        <v>0.0</v>
      </c>
      <c r="D4783" s="1" t="s">
        <v>26</v>
      </c>
      <c r="E4783" s="1" t="s">
        <v>26</v>
      </c>
      <c r="F4783" s="1">
        <v>53.0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1">
        <v>19.5</v>
      </c>
      <c r="T4783" s="1">
        <v>1050.5</v>
      </c>
      <c r="U4783" s="1">
        <v>0.0</v>
      </c>
      <c r="V4783" s="1">
        <v>0.0</v>
      </c>
      <c r="W4783" s="1" t="s">
        <v>26</v>
      </c>
    </row>
    <row r="4784" ht="15.75" customHeight="1">
      <c r="A4784" s="1" t="s">
        <v>4821</v>
      </c>
      <c r="B4784" s="1" t="s">
        <v>32</v>
      </c>
      <c r="C4784" s="1">
        <v>0.0</v>
      </c>
      <c r="D4784" s="1" t="s">
        <v>26</v>
      </c>
      <c r="E4784" s="1" t="s">
        <v>26</v>
      </c>
      <c r="F4784" s="1">
        <v>5.0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1">
        <v>78.75</v>
      </c>
      <c r="T4784" s="1">
        <v>426.35</v>
      </c>
      <c r="U4784" s="1">
        <v>1.0</v>
      </c>
      <c r="V4784" s="1">
        <v>0.0</v>
      </c>
      <c r="W4784" s="1" t="s">
        <v>26</v>
      </c>
    </row>
    <row r="4785" ht="15.75" customHeight="1">
      <c r="A4785" s="1" t="s">
        <v>4822</v>
      </c>
      <c r="B4785" s="1" t="s">
        <v>24</v>
      </c>
      <c r="C4785" s="1">
        <v>1.0</v>
      </c>
      <c r="D4785" s="1" t="s">
        <v>25</v>
      </c>
      <c r="E4785" s="1" t="s">
        <v>25</v>
      </c>
      <c r="F4785" s="1">
        <v>71.0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1">
        <v>69.2</v>
      </c>
      <c r="T4785" s="1">
        <v>4982.5</v>
      </c>
      <c r="U4785" s="1">
        <v>0.0</v>
      </c>
      <c r="V4785" s="1">
        <v>0.0</v>
      </c>
      <c r="W4785" s="1" t="s">
        <v>26</v>
      </c>
    </row>
    <row r="4786" ht="15.75" customHeight="1">
      <c r="A4786" s="1" t="s">
        <v>4823</v>
      </c>
      <c r="B4786" s="1" t="s">
        <v>24</v>
      </c>
      <c r="C4786" s="1">
        <v>0.0</v>
      </c>
      <c r="D4786" s="1" t="s">
        <v>26</v>
      </c>
      <c r="E4786" s="1" t="s">
        <v>26</v>
      </c>
      <c r="F4786" s="1">
        <v>1.0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1">
        <v>19.55</v>
      </c>
      <c r="T4786" s="1">
        <v>19.55</v>
      </c>
      <c r="U4786" s="1">
        <v>0.0</v>
      </c>
      <c r="V4786" s="1">
        <v>0.0</v>
      </c>
      <c r="W4786" s="1" t="s">
        <v>26</v>
      </c>
    </row>
    <row r="4787" ht="15.75" customHeight="1">
      <c r="A4787" s="1" t="s">
        <v>4824</v>
      </c>
      <c r="B4787" s="1" t="s">
        <v>32</v>
      </c>
      <c r="C4787" s="1">
        <v>0.0</v>
      </c>
      <c r="D4787" s="1" t="s">
        <v>26</v>
      </c>
      <c r="E4787" s="1" t="s">
        <v>26</v>
      </c>
      <c r="F4787" s="1">
        <v>18.0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1">
        <v>80.65</v>
      </c>
      <c r="T4787" s="1">
        <v>1451.9</v>
      </c>
      <c r="U4787" s="1">
        <v>5.0</v>
      </c>
      <c r="V4787" s="1">
        <v>0.0</v>
      </c>
      <c r="W4787" s="1" t="s">
        <v>25</v>
      </c>
    </row>
    <row r="4788" ht="15.75" customHeight="1">
      <c r="A4788" s="1" t="s">
        <v>4825</v>
      </c>
      <c r="B4788" s="1" t="s">
        <v>32</v>
      </c>
      <c r="C4788" s="1">
        <v>0.0</v>
      </c>
      <c r="D4788" s="1" t="s">
        <v>26</v>
      </c>
      <c r="E4788" s="1" t="s">
        <v>26</v>
      </c>
      <c r="F4788" s="1">
        <v>72.0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1">
        <v>103.65</v>
      </c>
      <c r="T4788" s="1">
        <v>7634.8</v>
      </c>
      <c r="U4788" s="1">
        <v>0.0</v>
      </c>
      <c r="V4788" s="1">
        <v>0.0</v>
      </c>
      <c r="W4788" s="1" t="s">
        <v>26</v>
      </c>
    </row>
    <row r="4789" ht="15.75" customHeight="1">
      <c r="A4789" s="1" t="s">
        <v>4826</v>
      </c>
      <c r="B4789" s="1" t="s">
        <v>24</v>
      </c>
      <c r="C4789" s="1">
        <v>0.0</v>
      </c>
      <c r="D4789" s="1" t="s">
        <v>25</v>
      </c>
      <c r="E4789" s="1" t="s">
        <v>26</v>
      </c>
      <c r="F4789" s="1">
        <v>4.0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1">
        <v>54.7</v>
      </c>
      <c r="T4789" s="1">
        <v>235.05</v>
      </c>
      <c r="U4789" s="1">
        <v>0.0</v>
      </c>
      <c r="V4789" s="1">
        <v>0.0</v>
      </c>
      <c r="W4789" s="1" t="s">
        <v>26</v>
      </c>
    </row>
    <row r="4790" ht="15.75" customHeight="1">
      <c r="A4790" s="1" t="s">
        <v>4827</v>
      </c>
      <c r="B4790" s="1" t="s">
        <v>32</v>
      </c>
      <c r="C4790" s="1">
        <v>0.0</v>
      </c>
      <c r="D4790" s="1" t="s">
        <v>26</v>
      </c>
      <c r="E4790" s="1" t="s">
        <v>26</v>
      </c>
      <c r="F4790" s="1">
        <v>59.0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1">
        <v>54.15</v>
      </c>
      <c r="T4790" s="1">
        <v>3116.15</v>
      </c>
      <c r="U4790" s="1">
        <v>0.0</v>
      </c>
      <c r="V4790" s="1">
        <v>0.0</v>
      </c>
      <c r="W4790" s="1" t="s">
        <v>26</v>
      </c>
    </row>
    <row r="4791" ht="15.75" customHeight="1">
      <c r="A4791" s="1" t="s">
        <v>4828</v>
      </c>
      <c r="B4791" s="1" t="s">
        <v>24</v>
      </c>
      <c r="C4791" s="1">
        <v>0.0</v>
      </c>
      <c r="D4791" s="1" t="s">
        <v>26</v>
      </c>
      <c r="E4791" s="1" t="s">
        <v>26</v>
      </c>
      <c r="F4791" s="1">
        <v>1.0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1">
        <v>71.1</v>
      </c>
      <c r="T4791" s="1">
        <v>71.1</v>
      </c>
      <c r="U4791" s="1">
        <v>3.0</v>
      </c>
      <c r="V4791" s="1">
        <v>0.0</v>
      </c>
      <c r="W4791" s="1" t="s">
        <v>25</v>
      </c>
    </row>
    <row r="4792" ht="15.75" customHeight="1">
      <c r="A4792" s="1" t="s">
        <v>4829</v>
      </c>
      <c r="B4792" s="1" t="s">
        <v>24</v>
      </c>
      <c r="C4792" s="1">
        <v>1.0</v>
      </c>
      <c r="D4792" s="1" t="s">
        <v>25</v>
      </c>
      <c r="E4792" s="1" t="s">
        <v>26</v>
      </c>
      <c r="F4792" s="1">
        <v>31.0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1">
        <v>84.85</v>
      </c>
      <c r="T4792" s="1">
        <v>2633.4</v>
      </c>
      <c r="U4792" s="1">
        <v>0.0</v>
      </c>
      <c r="V4792" s="1">
        <v>0.0</v>
      </c>
      <c r="W4792" s="1" t="s">
        <v>26</v>
      </c>
    </row>
    <row r="4793" ht="15.75" customHeight="1">
      <c r="A4793" s="1" t="s">
        <v>4830</v>
      </c>
      <c r="B4793" s="1" t="s">
        <v>32</v>
      </c>
      <c r="C4793" s="1">
        <v>0.0</v>
      </c>
      <c r="D4793" s="1" t="s">
        <v>25</v>
      </c>
      <c r="E4793" s="1" t="s">
        <v>26</v>
      </c>
      <c r="F4793" s="1">
        <v>3.0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1">
        <v>20.0</v>
      </c>
      <c r="T4793" s="1">
        <v>49.65</v>
      </c>
      <c r="U4793" s="1">
        <v>0.0</v>
      </c>
      <c r="V4793" s="1">
        <v>0.0</v>
      </c>
      <c r="W4793" s="1" t="s">
        <v>26</v>
      </c>
    </row>
    <row r="4794" ht="15.75" customHeight="1">
      <c r="A4794" s="1" t="s">
        <v>4831</v>
      </c>
      <c r="B4794" s="1" t="s">
        <v>24</v>
      </c>
      <c r="C4794" s="1">
        <v>1.0</v>
      </c>
      <c r="D4794" s="1" t="s">
        <v>25</v>
      </c>
      <c r="E4794" s="1" t="s">
        <v>26</v>
      </c>
      <c r="F4794" s="1">
        <v>65.0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1">
        <v>106.25</v>
      </c>
      <c r="T4794" s="1">
        <v>6979.8</v>
      </c>
      <c r="U4794" s="1">
        <v>2.0</v>
      </c>
      <c r="V4794" s="1">
        <v>8.0</v>
      </c>
      <c r="W4794" s="1" t="s">
        <v>25</v>
      </c>
    </row>
    <row r="4795" ht="15.75" customHeight="1">
      <c r="A4795" s="1" t="s">
        <v>4832</v>
      </c>
      <c r="B4795" s="1" t="s">
        <v>32</v>
      </c>
      <c r="C4795" s="1">
        <v>0.0</v>
      </c>
      <c r="D4795" s="1" t="s">
        <v>25</v>
      </c>
      <c r="E4795" s="1" t="s">
        <v>26</v>
      </c>
      <c r="F4795" s="1">
        <v>49.0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1">
        <v>99.25</v>
      </c>
      <c r="T4795" s="1">
        <v>4920.8</v>
      </c>
      <c r="U4795" s="1">
        <v>0.0</v>
      </c>
      <c r="V4795" s="1">
        <v>0.0</v>
      </c>
      <c r="W4795" s="1" t="s">
        <v>26</v>
      </c>
    </row>
    <row r="4796" ht="15.75" customHeight="1">
      <c r="A4796" s="1" t="s">
        <v>4833</v>
      </c>
      <c r="B4796" s="1" t="s">
        <v>32</v>
      </c>
      <c r="C4796" s="1">
        <v>0.0</v>
      </c>
      <c r="D4796" s="1" t="s">
        <v>26</v>
      </c>
      <c r="E4796" s="1" t="s">
        <v>26</v>
      </c>
      <c r="F4796" s="1">
        <v>2.0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1">
        <v>19.35</v>
      </c>
      <c r="T4796" s="1">
        <v>46.35</v>
      </c>
      <c r="U4796" s="1">
        <v>0.0</v>
      </c>
      <c r="V4796" s="1">
        <v>0.0</v>
      </c>
      <c r="W4796" s="1" t="s">
        <v>26</v>
      </c>
    </row>
    <row r="4797" ht="15.75" customHeight="1">
      <c r="A4797" s="1" t="s">
        <v>4834</v>
      </c>
      <c r="B4797" s="1" t="s">
        <v>24</v>
      </c>
      <c r="C4797" s="1">
        <v>0.0</v>
      </c>
      <c r="D4797" s="1" t="s">
        <v>25</v>
      </c>
      <c r="E4797" s="1" t="s">
        <v>26</v>
      </c>
      <c r="F4797" s="1">
        <v>53.0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1">
        <v>20.8</v>
      </c>
      <c r="T4797" s="1">
        <v>1021.8</v>
      </c>
      <c r="U4797" s="1">
        <v>0.0</v>
      </c>
      <c r="V4797" s="1">
        <v>0.0</v>
      </c>
      <c r="W4797" s="1" t="s">
        <v>25</v>
      </c>
    </row>
    <row r="4798" ht="15.75" customHeight="1">
      <c r="A4798" s="1" t="s">
        <v>4835</v>
      </c>
      <c r="B4798" s="1" t="s">
        <v>24</v>
      </c>
      <c r="C4798" s="1">
        <v>0.0</v>
      </c>
      <c r="D4798" s="1" t="s">
        <v>25</v>
      </c>
      <c r="E4798" s="1" t="s">
        <v>26</v>
      </c>
      <c r="F4798" s="1">
        <v>55.0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1">
        <v>94.75</v>
      </c>
      <c r="T4798" s="1">
        <v>5276.1</v>
      </c>
      <c r="U4798" s="1">
        <v>0.0</v>
      </c>
      <c r="V4798" s="1">
        <v>0.0</v>
      </c>
      <c r="W4798" s="1" t="s">
        <v>26</v>
      </c>
    </row>
    <row r="4799" ht="15.75" customHeight="1">
      <c r="A4799" s="1" t="s">
        <v>4836</v>
      </c>
      <c r="B4799" s="1" t="s">
        <v>32</v>
      </c>
      <c r="C4799" s="1">
        <v>0.0</v>
      </c>
      <c r="D4799" s="1" t="s">
        <v>25</v>
      </c>
      <c r="E4799" s="1" t="s">
        <v>25</v>
      </c>
      <c r="F4799" s="1">
        <v>72.0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1">
        <v>114.05</v>
      </c>
      <c r="T4799" s="1">
        <v>8289.2</v>
      </c>
      <c r="U4799" s="1">
        <v>2.0</v>
      </c>
      <c r="V4799" s="1">
        <v>0.0</v>
      </c>
      <c r="W4799" s="1" t="s">
        <v>26</v>
      </c>
    </row>
    <row r="4800" ht="15.75" customHeight="1">
      <c r="A4800" s="1" t="s">
        <v>4837</v>
      </c>
      <c r="B4800" s="1" t="s">
        <v>24</v>
      </c>
      <c r="C4800" s="1">
        <v>1.0</v>
      </c>
      <c r="D4800" s="1" t="s">
        <v>26</v>
      </c>
      <c r="E4800" s="1" t="s">
        <v>26</v>
      </c>
      <c r="F4800" s="1">
        <v>36.0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1">
        <v>74.9</v>
      </c>
      <c r="T4800" s="1">
        <v>2659.45</v>
      </c>
      <c r="U4800" s="1">
        <v>0.0</v>
      </c>
      <c r="V4800" s="1">
        <v>0.0</v>
      </c>
      <c r="W4800" s="1" t="s">
        <v>26</v>
      </c>
    </row>
    <row r="4801" ht="15.75" customHeight="1">
      <c r="A4801" s="1" t="s">
        <v>4838</v>
      </c>
      <c r="B4801" s="1" t="s">
        <v>24</v>
      </c>
      <c r="C4801" s="1">
        <v>0.0</v>
      </c>
      <c r="D4801" s="1" t="s">
        <v>25</v>
      </c>
      <c r="E4801" s="1" t="s">
        <v>25</v>
      </c>
      <c r="F4801" s="1">
        <v>10.0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1">
        <v>19.8</v>
      </c>
      <c r="T4801" s="1">
        <v>196.75</v>
      </c>
      <c r="U4801" s="1">
        <v>0.0</v>
      </c>
      <c r="V4801" s="1">
        <v>0.0</v>
      </c>
      <c r="W4801" s="1" t="s">
        <v>26</v>
      </c>
    </row>
    <row r="4802" ht="15.75" customHeight="1">
      <c r="A4802" s="1" t="s">
        <v>4839</v>
      </c>
      <c r="B4802" s="1" t="s">
        <v>32</v>
      </c>
      <c r="C4802" s="1">
        <v>1.0</v>
      </c>
      <c r="D4802" s="1" t="s">
        <v>26</v>
      </c>
      <c r="E4802" s="1" t="s">
        <v>26</v>
      </c>
      <c r="F4802" s="1">
        <v>1.0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1">
        <v>94.0</v>
      </c>
      <c r="T4802" s="1">
        <v>94.0</v>
      </c>
      <c r="U4802" s="1">
        <v>0.0</v>
      </c>
      <c r="V4802" s="1">
        <v>0.0</v>
      </c>
      <c r="W4802" s="1" t="s">
        <v>25</v>
      </c>
    </row>
    <row r="4803" ht="15.75" customHeight="1">
      <c r="A4803" s="1" t="s">
        <v>4840</v>
      </c>
      <c r="B4803" s="1" t="s">
        <v>24</v>
      </c>
      <c r="C4803" s="1">
        <v>0.0</v>
      </c>
      <c r="D4803" s="1" t="s">
        <v>25</v>
      </c>
      <c r="E4803" s="1" t="s">
        <v>25</v>
      </c>
      <c r="F4803" s="1">
        <v>72.0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1">
        <v>80.85</v>
      </c>
      <c r="T4803" s="1">
        <v>5824.75</v>
      </c>
      <c r="U4803" s="1">
        <v>0.0</v>
      </c>
      <c r="V4803" s="1">
        <v>0.0</v>
      </c>
      <c r="W4803" s="1" t="s">
        <v>26</v>
      </c>
    </row>
    <row r="4804" ht="15.75" customHeight="1">
      <c r="A4804" s="1" t="s">
        <v>4841</v>
      </c>
      <c r="B4804" s="1" t="s">
        <v>24</v>
      </c>
      <c r="C4804" s="1">
        <v>0.0</v>
      </c>
      <c r="D4804" s="1" t="s">
        <v>26</v>
      </c>
      <c r="E4804" s="1" t="s">
        <v>26</v>
      </c>
      <c r="F4804" s="1">
        <v>28.0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1">
        <v>54.65</v>
      </c>
      <c r="T4804" s="1">
        <v>1517.5</v>
      </c>
      <c r="U4804" s="1">
        <v>0.0</v>
      </c>
      <c r="V4804" s="1">
        <v>0.0</v>
      </c>
      <c r="W4804" s="1" t="s">
        <v>26</v>
      </c>
    </row>
    <row r="4805" ht="15.75" customHeight="1">
      <c r="A4805" s="1" t="s">
        <v>4842</v>
      </c>
      <c r="B4805" s="1" t="s">
        <v>32</v>
      </c>
      <c r="C4805" s="1">
        <v>0.0</v>
      </c>
      <c r="D4805" s="1" t="s">
        <v>25</v>
      </c>
      <c r="E4805" s="1" t="s">
        <v>26</v>
      </c>
      <c r="F4805" s="1">
        <v>38.0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1">
        <v>91.7</v>
      </c>
      <c r="T4805" s="1">
        <v>3479.05</v>
      </c>
      <c r="U4805" s="1">
        <v>0.0</v>
      </c>
      <c r="V4805" s="1">
        <v>0.0</v>
      </c>
      <c r="W4805" s="1" t="s">
        <v>26</v>
      </c>
    </row>
    <row r="4806" ht="15.75" customHeight="1">
      <c r="A4806" s="1" t="s">
        <v>4843</v>
      </c>
      <c r="B4806" s="1" t="s">
        <v>24</v>
      </c>
      <c r="C4806" s="1">
        <v>0.0</v>
      </c>
      <c r="D4806" s="1" t="s">
        <v>26</v>
      </c>
      <c r="E4806" s="1" t="s">
        <v>26</v>
      </c>
      <c r="F4806" s="1">
        <v>61.0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1">
        <v>118.6</v>
      </c>
      <c r="T4806" s="1">
        <v>7365.7</v>
      </c>
      <c r="U4806" s="1">
        <v>0.0</v>
      </c>
      <c r="V4806" s="1">
        <v>0.0</v>
      </c>
      <c r="W4806" s="1" t="s">
        <v>26</v>
      </c>
    </row>
    <row r="4807" ht="15.75" customHeight="1">
      <c r="A4807" s="1" t="s">
        <v>4844</v>
      </c>
      <c r="B4807" s="1" t="s">
        <v>32</v>
      </c>
      <c r="C4807" s="1">
        <v>0.0</v>
      </c>
      <c r="D4807" s="1" t="s">
        <v>25</v>
      </c>
      <c r="E4807" s="1" t="s">
        <v>25</v>
      </c>
      <c r="F4807" s="1">
        <v>52.0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1">
        <v>24.55</v>
      </c>
      <c r="T4807" s="1">
        <v>1331.05</v>
      </c>
      <c r="U4807" s="1">
        <v>0.0</v>
      </c>
      <c r="V4807" s="1">
        <v>0.0</v>
      </c>
      <c r="W4807" s="1" t="s">
        <v>26</v>
      </c>
    </row>
    <row r="4808" ht="15.75" customHeight="1">
      <c r="A4808" s="1" t="s">
        <v>4845</v>
      </c>
      <c r="B4808" s="1" t="s">
        <v>32</v>
      </c>
      <c r="C4808" s="1">
        <v>0.0</v>
      </c>
      <c r="D4808" s="1" t="s">
        <v>26</v>
      </c>
      <c r="E4808" s="1" t="s">
        <v>26</v>
      </c>
      <c r="F4808" s="1">
        <v>67.0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1">
        <v>19.45</v>
      </c>
      <c r="T4808" s="1">
        <v>1195.95</v>
      </c>
      <c r="U4808" s="1">
        <v>0.0</v>
      </c>
      <c r="V4808" s="1">
        <v>0.0</v>
      </c>
      <c r="W4808" s="1" t="s">
        <v>26</v>
      </c>
    </row>
    <row r="4809" ht="15.75" customHeight="1">
      <c r="A4809" s="1" t="s">
        <v>4846</v>
      </c>
      <c r="B4809" s="1" t="s">
        <v>24</v>
      </c>
      <c r="C4809" s="1">
        <v>0.0</v>
      </c>
      <c r="D4809" s="1" t="s">
        <v>26</v>
      </c>
      <c r="E4809" s="1" t="s">
        <v>25</v>
      </c>
      <c r="F4809" s="1">
        <v>34.0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1">
        <v>116.15</v>
      </c>
      <c r="T4809" s="1">
        <v>3946.9</v>
      </c>
      <c r="U4809" s="1">
        <v>0.0</v>
      </c>
      <c r="V4809" s="1">
        <v>0.0</v>
      </c>
      <c r="W4809" s="1" t="s">
        <v>26</v>
      </c>
    </row>
    <row r="4810" ht="15.75" customHeight="1">
      <c r="A4810" s="1" t="s">
        <v>4847</v>
      </c>
      <c r="B4810" s="1" t="s">
        <v>24</v>
      </c>
      <c r="C4810" s="1">
        <v>0.0</v>
      </c>
      <c r="D4810" s="1" t="s">
        <v>26</v>
      </c>
      <c r="E4810" s="1" t="s">
        <v>26</v>
      </c>
      <c r="F4810" s="1">
        <v>54.0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1">
        <v>80.6</v>
      </c>
      <c r="T4810" s="1">
        <v>4299.95</v>
      </c>
      <c r="U4810" s="1">
        <v>0.0</v>
      </c>
      <c r="V4810" s="1">
        <v>0.0</v>
      </c>
      <c r="W4810" s="1" t="s">
        <v>26</v>
      </c>
    </row>
    <row r="4811" ht="15.75" customHeight="1">
      <c r="A4811" s="1" t="s">
        <v>4848</v>
      </c>
      <c r="B4811" s="1" t="s">
        <v>24</v>
      </c>
      <c r="C4811" s="1">
        <v>0.0</v>
      </c>
      <c r="D4811" s="1" t="s">
        <v>25</v>
      </c>
      <c r="E4811" s="1" t="s">
        <v>26</v>
      </c>
      <c r="F4811" s="1">
        <v>1.0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1">
        <v>20.3</v>
      </c>
      <c r="T4811" s="1">
        <v>20.3</v>
      </c>
      <c r="U4811" s="1">
        <v>0.0</v>
      </c>
      <c r="V4811" s="1">
        <v>0.0</v>
      </c>
      <c r="W4811" s="1" t="s">
        <v>26</v>
      </c>
    </row>
    <row r="4812" ht="15.75" customHeight="1">
      <c r="A4812" s="1" t="s">
        <v>4849</v>
      </c>
      <c r="B4812" s="1" t="s">
        <v>24</v>
      </c>
      <c r="C4812" s="1">
        <v>1.0</v>
      </c>
      <c r="D4812" s="1" t="s">
        <v>26</v>
      </c>
      <c r="E4812" s="1" t="s">
        <v>26</v>
      </c>
      <c r="F4812" s="1">
        <v>15.0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1">
        <v>89.85</v>
      </c>
      <c r="T4812" s="1">
        <v>1424.95</v>
      </c>
      <c r="U4812" s="1">
        <v>0.0</v>
      </c>
      <c r="V4812" s="1">
        <v>1.0</v>
      </c>
      <c r="W4812" s="1" t="s">
        <v>25</v>
      </c>
    </row>
    <row r="4813" ht="15.75" customHeight="1">
      <c r="A4813" s="1" t="s">
        <v>4850</v>
      </c>
      <c r="B4813" s="1" t="s">
        <v>24</v>
      </c>
      <c r="C4813" s="1">
        <v>0.0</v>
      </c>
      <c r="D4813" s="1" t="s">
        <v>26</v>
      </c>
      <c r="E4813" s="1" t="s">
        <v>26</v>
      </c>
      <c r="F4813" s="1">
        <v>4.0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1">
        <v>46.0</v>
      </c>
      <c r="T4813" s="1">
        <v>193.6</v>
      </c>
      <c r="U4813" s="1">
        <v>0.0</v>
      </c>
      <c r="V4813" s="1">
        <v>0.0</v>
      </c>
      <c r="W4813" s="1" t="s">
        <v>25</v>
      </c>
    </row>
    <row r="4814" ht="15.75" customHeight="1">
      <c r="A4814" s="1" t="s">
        <v>4851</v>
      </c>
      <c r="B4814" s="1" t="s">
        <v>24</v>
      </c>
      <c r="C4814" s="1">
        <v>0.0</v>
      </c>
      <c r="D4814" s="1" t="s">
        <v>26</v>
      </c>
      <c r="E4814" s="1" t="s">
        <v>26</v>
      </c>
      <c r="F4814" s="1">
        <v>9.0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1">
        <v>66.25</v>
      </c>
      <c r="T4814" s="1">
        <v>620.55</v>
      </c>
      <c r="U4814" s="1">
        <v>0.0</v>
      </c>
      <c r="V4814" s="1">
        <v>1.0</v>
      </c>
      <c r="W4814" s="1" t="s">
        <v>25</v>
      </c>
    </row>
    <row r="4815" ht="15.75" customHeight="1">
      <c r="A4815" s="1" t="s">
        <v>4852</v>
      </c>
      <c r="B4815" s="1" t="s">
        <v>24</v>
      </c>
      <c r="C4815" s="1">
        <v>0.0</v>
      </c>
      <c r="D4815" s="1" t="s">
        <v>26</v>
      </c>
      <c r="E4815" s="1" t="s">
        <v>25</v>
      </c>
      <c r="F4815" s="1">
        <v>46.0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1">
        <v>99.8</v>
      </c>
      <c r="T4815" s="1">
        <v>4391.25</v>
      </c>
      <c r="U4815" s="1">
        <v>0.0</v>
      </c>
      <c r="V4815" s="1">
        <v>0.0</v>
      </c>
      <c r="W4815" s="1" t="s">
        <v>26</v>
      </c>
    </row>
    <row r="4816" ht="15.75" customHeight="1">
      <c r="A4816" s="1" t="s">
        <v>4853</v>
      </c>
      <c r="B4816" s="1" t="s">
        <v>24</v>
      </c>
      <c r="C4816" s="1">
        <v>0.0</v>
      </c>
      <c r="D4816" s="1" t="s">
        <v>26</v>
      </c>
      <c r="E4816" s="1" t="s">
        <v>26</v>
      </c>
      <c r="F4816" s="1">
        <v>22.0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1">
        <v>90.0</v>
      </c>
      <c r="T4816" s="1">
        <v>1993.8</v>
      </c>
      <c r="U4816" s="1">
        <v>5.0</v>
      </c>
      <c r="V4816" s="1">
        <v>0.0</v>
      </c>
      <c r="W4816" s="1" t="s">
        <v>25</v>
      </c>
    </row>
    <row r="4817" ht="15.75" customHeight="1">
      <c r="A4817" s="1" t="s">
        <v>4854</v>
      </c>
      <c r="B4817" s="1" t="s">
        <v>32</v>
      </c>
      <c r="C4817" s="1">
        <v>0.0</v>
      </c>
      <c r="D4817" s="1" t="s">
        <v>26</v>
      </c>
      <c r="E4817" s="1" t="s">
        <v>26</v>
      </c>
      <c r="F4817" s="1">
        <v>38.0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1">
        <v>70.45</v>
      </c>
      <c r="T4817" s="1">
        <v>2597.6</v>
      </c>
      <c r="U4817" s="1">
        <v>0.0</v>
      </c>
      <c r="V4817" s="1">
        <v>0.0</v>
      </c>
      <c r="W4817" s="1" t="s">
        <v>25</v>
      </c>
    </row>
    <row r="4818" ht="15.75" customHeight="1">
      <c r="A4818" s="1" t="s">
        <v>4855</v>
      </c>
      <c r="B4818" s="1" t="s">
        <v>24</v>
      </c>
      <c r="C4818" s="1">
        <v>0.0</v>
      </c>
      <c r="D4818" s="1" t="s">
        <v>25</v>
      </c>
      <c r="E4818" s="1" t="s">
        <v>25</v>
      </c>
      <c r="F4818" s="1">
        <v>55.0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1">
        <v>75.0</v>
      </c>
      <c r="T4818" s="1">
        <v>4213.9</v>
      </c>
      <c r="U4818" s="1">
        <v>0.0</v>
      </c>
      <c r="V4818" s="1">
        <v>0.0</v>
      </c>
      <c r="W4818" s="1" t="s">
        <v>26</v>
      </c>
    </row>
    <row r="4819" ht="15.75" customHeight="1">
      <c r="A4819" s="1" t="s">
        <v>4856</v>
      </c>
      <c r="B4819" s="1" t="s">
        <v>24</v>
      </c>
      <c r="C4819" s="1">
        <v>0.0</v>
      </c>
      <c r="D4819" s="1" t="s">
        <v>26</v>
      </c>
      <c r="E4819" s="1" t="s">
        <v>26</v>
      </c>
      <c r="F4819" s="1">
        <v>1.0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1">
        <v>19.9</v>
      </c>
      <c r="T4819" s="1">
        <v>19.9</v>
      </c>
      <c r="U4819" s="1">
        <v>2.0</v>
      </c>
      <c r="V4819" s="1">
        <v>0.0</v>
      </c>
      <c r="W4819" s="1" t="s">
        <v>26</v>
      </c>
    </row>
    <row r="4820" ht="15.75" customHeight="1">
      <c r="A4820" s="1" t="s">
        <v>4857</v>
      </c>
      <c r="B4820" s="1" t="s">
        <v>32</v>
      </c>
      <c r="C4820" s="1">
        <v>1.0</v>
      </c>
      <c r="D4820" s="1" t="s">
        <v>25</v>
      </c>
      <c r="E4820" s="1" t="s">
        <v>26</v>
      </c>
      <c r="F4820" s="1">
        <v>64.0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1">
        <v>80.3</v>
      </c>
      <c r="T4820" s="1">
        <v>5017.7</v>
      </c>
      <c r="U4820" s="1">
        <v>0.0</v>
      </c>
      <c r="V4820" s="1">
        <v>0.0</v>
      </c>
      <c r="W4820" s="1" t="s">
        <v>26</v>
      </c>
    </row>
    <row r="4821" ht="15.75" customHeight="1">
      <c r="A4821" s="1" t="s">
        <v>4858</v>
      </c>
      <c r="B4821" s="1" t="s">
        <v>32</v>
      </c>
      <c r="C4821" s="1">
        <v>0.0</v>
      </c>
      <c r="D4821" s="1" t="s">
        <v>26</v>
      </c>
      <c r="E4821" s="1" t="s">
        <v>25</v>
      </c>
      <c r="F4821" s="1">
        <v>53.0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1">
        <v>19.75</v>
      </c>
      <c r="T4821" s="1">
        <v>1052.35</v>
      </c>
      <c r="U4821" s="1">
        <v>0.0</v>
      </c>
      <c r="V4821" s="1">
        <v>0.0</v>
      </c>
      <c r="W4821" s="1" t="s">
        <v>25</v>
      </c>
    </row>
    <row r="4822" ht="15.75" customHeight="1">
      <c r="A4822" s="1" t="s">
        <v>4859</v>
      </c>
      <c r="B4822" s="1" t="s">
        <v>24</v>
      </c>
      <c r="C4822" s="1">
        <v>0.0</v>
      </c>
      <c r="D4822" s="1" t="s">
        <v>25</v>
      </c>
      <c r="E4822" s="1" t="s">
        <v>26</v>
      </c>
      <c r="F4822" s="1">
        <v>58.0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1">
        <v>84.3</v>
      </c>
      <c r="T4822" s="1">
        <v>4916.4</v>
      </c>
      <c r="U4822" s="1">
        <v>0.0</v>
      </c>
      <c r="V4822" s="1">
        <v>0.0</v>
      </c>
      <c r="W4822" s="1" t="s">
        <v>26</v>
      </c>
    </row>
    <row r="4823" ht="15.75" customHeight="1">
      <c r="A4823" s="1" t="s">
        <v>4860</v>
      </c>
      <c r="B4823" s="1" t="s">
        <v>32</v>
      </c>
      <c r="C4823" s="1">
        <v>0.0</v>
      </c>
      <c r="D4823" s="1" t="s">
        <v>25</v>
      </c>
      <c r="E4823" s="1" t="s">
        <v>26</v>
      </c>
      <c r="F4823" s="1">
        <v>56.0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1">
        <v>54.05</v>
      </c>
      <c r="T4823" s="1">
        <v>2959.8</v>
      </c>
      <c r="U4823" s="1">
        <v>5.0</v>
      </c>
      <c r="V4823" s="1">
        <v>0.0</v>
      </c>
      <c r="W4823" s="1" t="s">
        <v>26</v>
      </c>
    </row>
    <row r="4824" ht="15.75" customHeight="1">
      <c r="A4824" s="1" t="s">
        <v>4861</v>
      </c>
      <c r="B4824" s="1" t="s">
        <v>32</v>
      </c>
      <c r="C4824" s="1">
        <v>0.0</v>
      </c>
      <c r="D4824" s="1" t="s">
        <v>25</v>
      </c>
      <c r="E4824" s="1" t="s">
        <v>25</v>
      </c>
      <c r="F4824" s="1">
        <v>72.0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1">
        <v>104.9</v>
      </c>
      <c r="T4824" s="1">
        <v>7559.55</v>
      </c>
      <c r="U4824" s="1">
        <v>0.0</v>
      </c>
      <c r="V4824" s="1">
        <v>0.0</v>
      </c>
      <c r="W4824" s="1" t="s">
        <v>26</v>
      </c>
    </row>
    <row r="4825" ht="15.75" customHeight="1">
      <c r="A4825" s="1" t="s">
        <v>4862</v>
      </c>
      <c r="B4825" s="1" t="s">
        <v>32</v>
      </c>
      <c r="C4825" s="1">
        <v>0.0</v>
      </c>
      <c r="D4825" s="1" t="s">
        <v>26</v>
      </c>
      <c r="E4825" s="1" t="s">
        <v>26</v>
      </c>
      <c r="F4825" s="1">
        <v>1.0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1">
        <v>53.95</v>
      </c>
      <c r="T4825" s="1">
        <v>53.95</v>
      </c>
      <c r="U4825" s="1">
        <v>5.0</v>
      </c>
      <c r="V4825" s="1">
        <v>0.0</v>
      </c>
      <c r="W4825" s="1" t="s">
        <v>25</v>
      </c>
    </row>
    <row r="4826" ht="15.75" customHeight="1">
      <c r="A4826" s="1" t="s">
        <v>4863</v>
      </c>
      <c r="B4826" s="1" t="s">
        <v>32</v>
      </c>
      <c r="C4826" s="1">
        <v>1.0</v>
      </c>
      <c r="D4826" s="1" t="s">
        <v>25</v>
      </c>
      <c r="E4826" s="1" t="s">
        <v>26</v>
      </c>
      <c r="F4826" s="1">
        <v>72.0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1">
        <v>97.25</v>
      </c>
      <c r="T4826" s="1">
        <v>7133.1</v>
      </c>
      <c r="U4826" s="1">
        <v>2.0</v>
      </c>
      <c r="V4826" s="1">
        <v>0.0</v>
      </c>
      <c r="W4826" s="1" t="s">
        <v>26</v>
      </c>
    </row>
    <row r="4827" ht="15.75" customHeight="1">
      <c r="A4827" s="1" t="s">
        <v>4864</v>
      </c>
      <c r="B4827" s="1" t="s">
        <v>32</v>
      </c>
      <c r="C4827" s="1">
        <v>0.0</v>
      </c>
      <c r="D4827" s="1" t="s">
        <v>26</v>
      </c>
      <c r="E4827" s="1" t="s">
        <v>26</v>
      </c>
      <c r="F4827" s="1">
        <v>22.0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1">
        <v>83.05</v>
      </c>
      <c r="T4827" s="1">
        <v>1799.3</v>
      </c>
      <c r="U4827" s="1">
        <v>0.0</v>
      </c>
      <c r="V4827" s="1">
        <v>0.0</v>
      </c>
      <c r="W4827" s="1" t="s">
        <v>26</v>
      </c>
    </row>
    <row r="4828" ht="15.75" customHeight="1">
      <c r="A4828" s="1" t="s">
        <v>4865</v>
      </c>
      <c r="B4828" s="1" t="s">
        <v>24</v>
      </c>
      <c r="C4828" s="1">
        <v>1.0</v>
      </c>
      <c r="D4828" s="1" t="s">
        <v>26</v>
      </c>
      <c r="E4828" s="1" t="s">
        <v>26</v>
      </c>
      <c r="F4828" s="1">
        <v>8.0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1">
        <v>105.5</v>
      </c>
      <c r="T4828" s="1">
        <v>829.55</v>
      </c>
      <c r="U4828" s="1">
        <v>0.0</v>
      </c>
      <c r="V4828" s="1">
        <v>0.0</v>
      </c>
      <c r="W4828" s="1" t="s">
        <v>25</v>
      </c>
    </row>
    <row r="4829" ht="15.75" customHeight="1">
      <c r="A4829" s="1" t="s">
        <v>4866</v>
      </c>
      <c r="B4829" s="1" t="s">
        <v>24</v>
      </c>
      <c r="C4829" s="1">
        <v>0.0</v>
      </c>
      <c r="D4829" s="1" t="s">
        <v>26</v>
      </c>
      <c r="E4829" s="1" t="s">
        <v>25</v>
      </c>
      <c r="F4829" s="1">
        <v>16.0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1">
        <v>81.0</v>
      </c>
      <c r="T4829" s="1">
        <v>1312.15</v>
      </c>
      <c r="U4829" s="1">
        <v>4.0</v>
      </c>
      <c r="V4829" s="1">
        <v>0.0</v>
      </c>
      <c r="W4829" s="1" t="s">
        <v>25</v>
      </c>
    </row>
    <row r="4830" ht="15.75" customHeight="1">
      <c r="A4830" s="1" t="s">
        <v>4867</v>
      </c>
      <c r="B4830" s="1" t="s">
        <v>24</v>
      </c>
      <c r="C4830" s="1">
        <v>0.0</v>
      </c>
      <c r="D4830" s="1" t="s">
        <v>26</v>
      </c>
      <c r="E4830" s="1" t="s">
        <v>26</v>
      </c>
      <c r="F4830" s="1">
        <v>39.0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1">
        <v>41.1</v>
      </c>
      <c r="T4830" s="1">
        <v>1597.05</v>
      </c>
      <c r="U4830" s="1">
        <v>5.0</v>
      </c>
      <c r="V4830" s="1">
        <v>0.0</v>
      </c>
      <c r="W4830" s="1" t="s">
        <v>26</v>
      </c>
    </row>
    <row r="4831" ht="15.75" customHeight="1">
      <c r="A4831" s="1" t="s">
        <v>4868</v>
      </c>
      <c r="B4831" s="1" t="s">
        <v>24</v>
      </c>
      <c r="C4831" s="1">
        <v>0.0</v>
      </c>
      <c r="D4831" s="1" t="s">
        <v>26</v>
      </c>
      <c r="E4831" s="1" t="s">
        <v>26</v>
      </c>
      <c r="F4831" s="1">
        <v>12.0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1">
        <v>45.0</v>
      </c>
      <c r="T4831" s="1">
        <v>524.35</v>
      </c>
      <c r="U4831" s="1">
        <v>0.0</v>
      </c>
      <c r="V4831" s="1">
        <v>0.0</v>
      </c>
      <c r="W4831" s="1" t="s">
        <v>26</v>
      </c>
    </row>
    <row r="4832" ht="15.75" customHeight="1">
      <c r="A4832" s="1" t="s">
        <v>4869</v>
      </c>
      <c r="B4832" s="1" t="s">
        <v>32</v>
      </c>
      <c r="C4832" s="1">
        <v>0.0</v>
      </c>
      <c r="D4832" s="1" t="s">
        <v>25</v>
      </c>
      <c r="E4832" s="1" t="s">
        <v>26</v>
      </c>
      <c r="F4832" s="1">
        <v>54.0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1">
        <v>74.55</v>
      </c>
      <c r="T4832" s="1">
        <v>4191.45</v>
      </c>
      <c r="U4832" s="1">
        <v>0.0</v>
      </c>
      <c r="V4832" s="1">
        <v>0.0</v>
      </c>
      <c r="W4832" s="1" t="s">
        <v>26</v>
      </c>
    </row>
    <row r="4833" ht="15.75" customHeight="1">
      <c r="A4833" s="1" t="s">
        <v>4870</v>
      </c>
      <c r="B4833" s="1" t="s">
        <v>24</v>
      </c>
      <c r="C4833" s="1">
        <v>0.0</v>
      </c>
      <c r="D4833" s="1" t="s">
        <v>26</v>
      </c>
      <c r="E4833" s="1" t="s">
        <v>26</v>
      </c>
      <c r="F4833" s="1">
        <v>18.0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1">
        <v>40.2</v>
      </c>
      <c r="T4833" s="1">
        <v>711.95</v>
      </c>
      <c r="U4833" s="1">
        <v>0.0</v>
      </c>
      <c r="V4833" s="1">
        <v>0.0</v>
      </c>
      <c r="W4833" s="1" t="s">
        <v>26</v>
      </c>
    </row>
    <row r="4834" ht="15.75" customHeight="1">
      <c r="A4834" s="1" t="s">
        <v>4871</v>
      </c>
      <c r="B4834" s="1" t="s">
        <v>32</v>
      </c>
      <c r="C4834" s="1">
        <v>0.0</v>
      </c>
      <c r="D4834" s="1" t="s">
        <v>25</v>
      </c>
      <c r="E4834" s="1" t="s">
        <v>26</v>
      </c>
      <c r="F4834" s="1">
        <v>32.0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1">
        <v>70.5</v>
      </c>
      <c r="T4834" s="1">
        <v>2201.75</v>
      </c>
      <c r="U4834" s="1">
        <v>0.0</v>
      </c>
      <c r="V4834" s="1">
        <v>0.0</v>
      </c>
      <c r="W4834" s="1" t="s">
        <v>26</v>
      </c>
    </row>
    <row r="4835" ht="15.75" customHeight="1">
      <c r="A4835" s="1" t="s">
        <v>4872</v>
      </c>
      <c r="B4835" s="1" t="s">
        <v>24</v>
      </c>
      <c r="C4835" s="1">
        <v>0.0</v>
      </c>
      <c r="D4835" s="1" t="s">
        <v>26</v>
      </c>
      <c r="E4835" s="1" t="s">
        <v>26</v>
      </c>
      <c r="F4835" s="1">
        <v>41.0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1">
        <v>19.75</v>
      </c>
      <c r="T4835" s="1">
        <v>806.95</v>
      </c>
      <c r="U4835" s="1">
        <v>0.0</v>
      </c>
      <c r="V4835" s="1">
        <v>0.0</v>
      </c>
      <c r="W4835" s="1" t="s">
        <v>26</v>
      </c>
    </row>
    <row r="4836" ht="15.75" customHeight="1">
      <c r="A4836" s="1" t="s">
        <v>4873</v>
      </c>
      <c r="B4836" s="1" t="s">
        <v>32</v>
      </c>
      <c r="C4836" s="1">
        <v>0.0</v>
      </c>
      <c r="D4836" s="1" t="s">
        <v>25</v>
      </c>
      <c r="E4836" s="1" t="s">
        <v>25</v>
      </c>
      <c r="F4836" s="1">
        <v>67.0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1">
        <v>24.65</v>
      </c>
      <c r="T4836" s="1">
        <v>1620.45</v>
      </c>
      <c r="U4836" s="1">
        <v>0.0</v>
      </c>
      <c r="V4836" s="1">
        <v>0.0</v>
      </c>
      <c r="W4836" s="1" t="s">
        <v>26</v>
      </c>
    </row>
    <row r="4837" ht="15.75" customHeight="1">
      <c r="A4837" s="1" t="s">
        <v>4874</v>
      </c>
      <c r="B4837" s="1" t="s">
        <v>32</v>
      </c>
      <c r="C4837" s="1">
        <v>0.0</v>
      </c>
      <c r="D4837" s="1" t="s">
        <v>25</v>
      </c>
      <c r="E4837" s="1" t="s">
        <v>26</v>
      </c>
      <c r="F4837" s="1">
        <v>65.0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1">
        <v>104.25</v>
      </c>
      <c r="T4837" s="1">
        <v>6812.95</v>
      </c>
      <c r="U4837" s="1">
        <v>0.0</v>
      </c>
      <c r="V4837" s="1">
        <v>1.0</v>
      </c>
      <c r="W4837" s="1" t="s">
        <v>26</v>
      </c>
    </row>
    <row r="4838" ht="15.75" customHeight="1">
      <c r="A4838" s="1" t="s">
        <v>4875</v>
      </c>
      <c r="B4838" s="1" t="s">
        <v>24</v>
      </c>
      <c r="C4838" s="1">
        <v>0.0</v>
      </c>
      <c r="D4838" s="1" t="s">
        <v>26</v>
      </c>
      <c r="E4838" s="1" t="s">
        <v>26</v>
      </c>
      <c r="F4838" s="1">
        <v>25.0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1">
        <v>78.35</v>
      </c>
      <c r="T4838" s="1">
        <v>1837.9</v>
      </c>
      <c r="U4838" s="1">
        <v>0.0</v>
      </c>
      <c r="V4838" s="1">
        <v>0.0</v>
      </c>
      <c r="W4838" s="1" t="s">
        <v>26</v>
      </c>
    </row>
    <row r="4839" ht="15.75" customHeight="1">
      <c r="A4839" s="1" t="s">
        <v>4876</v>
      </c>
      <c r="B4839" s="1" t="s">
        <v>24</v>
      </c>
      <c r="C4839" s="1">
        <v>0.0</v>
      </c>
      <c r="D4839" s="1" t="s">
        <v>25</v>
      </c>
      <c r="E4839" s="1" t="s">
        <v>25</v>
      </c>
      <c r="F4839" s="1">
        <v>1.0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1">
        <v>69.8</v>
      </c>
      <c r="T4839" s="1">
        <v>69.8</v>
      </c>
      <c r="U4839" s="1">
        <v>0.0</v>
      </c>
      <c r="V4839" s="1">
        <v>0.0</v>
      </c>
      <c r="W4839" s="1" t="s">
        <v>25</v>
      </c>
    </row>
    <row r="4840" ht="15.75" customHeight="1">
      <c r="A4840" s="1" t="s">
        <v>4877</v>
      </c>
      <c r="B4840" s="1" t="s">
        <v>24</v>
      </c>
      <c r="C4840" s="1">
        <v>0.0</v>
      </c>
      <c r="D4840" s="1" t="s">
        <v>25</v>
      </c>
      <c r="E4840" s="1" t="s">
        <v>26</v>
      </c>
      <c r="F4840" s="1">
        <v>67.0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1">
        <v>109.7</v>
      </c>
      <c r="T4840" s="1">
        <v>7344.45</v>
      </c>
      <c r="U4840" s="1">
        <v>0.0</v>
      </c>
      <c r="V4840" s="1">
        <v>0.0</v>
      </c>
      <c r="W4840" s="1" t="s">
        <v>26</v>
      </c>
    </row>
    <row r="4841" ht="15.75" customHeight="1">
      <c r="A4841" s="1" t="s">
        <v>4878</v>
      </c>
      <c r="B4841" s="1" t="s">
        <v>32</v>
      </c>
      <c r="C4841" s="1">
        <v>1.0</v>
      </c>
      <c r="D4841" s="1" t="s">
        <v>26</v>
      </c>
      <c r="E4841" s="1" t="s">
        <v>26</v>
      </c>
      <c r="F4841" s="1">
        <v>7.0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1">
        <v>73.75</v>
      </c>
      <c r="T4841" s="1">
        <v>545.15</v>
      </c>
      <c r="U4841" s="1">
        <v>0.0</v>
      </c>
      <c r="V4841" s="1">
        <v>0.0</v>
      </c>
      <c r="W4841" s="1" t="s">
        <v>25</v>
      </c>
    </row>
    <row r="4842" ht="15.75" customHeight="1">
      <c r="A4842" s="1" t="s">
        <v>4879</v>
      </c>
      <c r="B4842" s="1" t="s">
        <v>24</v>
      </c>
      <c r="C4842" s="1">
        <v>1.0</v>
      </c>
      <c r="D4842" s="1" t="s">
        <v>26</v>
      </c>
      <c r="E4842" s="1" t="s">
        <v>26</v>
      </c>
      <c r="F4842" s="1">
        <v>43.0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1">
        <v>33.45</v>
      </c>
      <c r="T4842" s="1">
        <v>1500.25</v>
      </c>
      <c r="U4842" s="1">
        <v>0.0</v>
      </c>
      <c r="V4842" s="1">
        <v>0.0</v>
      </c>
      <c r="W4842" s="1" t="s">
        <v>26</v>
      </c>
    </row>
    <row r="4843" ht="15.75" customHeight="1">
      <c r="A4843" s="1" t="s">
        <v>4880</v>
      </c>
      <c r="B4843" s="1" t="s">
        <v>24</v>
      </c>
      <c r="C4843" s="1">
        <v>0.0</v>
      </c>
      <c r="D4843" s="1" t="s">
        <v>26</v>
      </c>
      <c r="E4843" s="1" t="s">
        <v>26</v>
      </c>
      <c r="F4843" s="1">
        <v>24.0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1">
        <v>94.6</v>
      </c>
      <c r="T4843" s="1">
        <v>2283.15</v>
      </c>
      <c r="U4843" s="1">
        <v>0.0</v>
      </c>
      <c r="V4843" s="1">
        <v>2.0</v>
      </c>
      <c r="W4843" s="1" t="s">
        <v>26</v>
      </c>
    </row>
    <row r="4844" ht="15.75" customHeight="1">
      <c r="A4844" s="1" t="s">
        <v>4881</v>
      </c>
      <c r="B4844" s="1" t="s">
        <v>32</v>
      </c>
      <c r="C4844" s="1">
        <v>1.0</v>
      </c>
      <c r="D4844" s="1" t="s">
        <v>26</v>
      </c>
      <c r="E4844" s="1" t="s">
        <v>26</v>
      </c>
      <c r="F4844" s="1">
        <v>9.0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1">
        <v>54.55</v>
      </c>
      <c r="T4844" s="1">
        <v>494.05</v>
      </c>
      <c r="U4844" s="1">
        <v>0.0</v>
      </c>
      <c r="V4844" s="1">
        <v>0.0</v>
      </c>
      <c r="W4844" s="1" t="s">
        <v>25</v>
      </c>
    </row>
    <row r="4845" ht="15.75" customHeight="1">
      <c r="A4845" s="1" t="s">
        <v>4882</v>
      </c>
      <c r="B4845" s="1" t="s">
        <v>32</v>
      </c>
      <c r="C4845" s="1">
        <v>0.0</v>
      </c>
      <c r="D4845" s="1" t="s">
        <v>25</v>
      </c>
      <c r="E4845" s="1" t="s">
        <v>25</v>
      </c>
      <c r="F4845" s="1">
        <v>69.0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1">
        <v>20.2</v>
      </c>
      <c r="T4845" s="1">
        <v>1376.5</v>
      </c>
      <c r="U4845" s="1">
        <v>1.0</v>
      </c>
      <c r="V4845" s="1">
        <v>0.0</v>
      </c>
      <c r="W4845" s="1" t="s">
        <v>26</v>
      </c>
    </row>
    <row r="4846" ht="15.75" customHeight="1">
      <c r="A4846" s="1" t="s">
        <v>4883</v>
      </c>
      <c r="B4846" s="1" t="s">
        <v>24</v>
      </c>
      <c r="C4846" s="1">
        <v>0.0</v>
      </c>
      <c r="D4846" s="1" t="s">
        <v>26</v>
      </c>
      <c r="E4846" s="1" t="s">
        <v>25</v>
      </c>
      <c r="F4846" s="1">
        <v>37.0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1">
        <v>20.3</v>
      </c>
      <c r="T4846" s="1">
        <v>755.4</v>
      </c>
      <c r="U4846" s="1">
        <v>0.0</v>
      </c>
      <c r="V4846" s="1">
        <v>0.0</v>
      </c>
      <c r="W4846" s="1" t="s">
        <v>26</v>
      </c>
    </row>
    <row r="4847" ht="15.75" customHeight="1">
      <c r="A4847" s="1" t="s">
        <v>4884</v>
      </c>
      <c r="B4847" s="1" t="s">
        <v>32</v>
      </c>
      <c r="C4847" s="1">
        <v>0.0</v>
      </c>
      <c r="D4847" s="1" t="s">
        <v>25</v>
      </c>
      <c r="E4847" s="1" t="s">
        <v>25</v>
      </c>
      <c r="F4847" s="1">
        <v>20.0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1">
        <v>39.4</v>
      </c>
      <c r="T4847" s="1">
        <v>825.4</v>
      </c>
      <c r="U4847" s="1">
        <v>0.0</v>
      </c>
      <c r="V4847" s="1">
        <v>0.0</v>
      </c>
      <c r="W4847" s="1" t="s">
        <v>26</v>
      </c>
    </row>
    <row r="4848" ht="15.75" customHeight="1">
      <c r="A4848" s="1" t="s">
        <v>4885</v>
      </c>
      <c r="B4848" s="1" t="s">
        <v>32</v>
      </c>
      <c r="C4848" s="1">
        <v>0.0</v>
      </c>
      <c r="D4848" s="1" t="s">
        <v>26</v>
      </c>
      <c r="E4848" s="1" t="s">
        <v>26</v>
      </c>
      <c r="F4848" s="1">
        <v>7.0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1">
        <v>69.15</v>
      </c>
      <c r="T4848" s="1">
        <v>488.65</v>
      </c>
      <c r="U4848" s="1">
        <v>0.0</v>
      </c>
      <c r="V4848" s="1">
        <v>0.0</v>
      </c>
      <c r="W4848" s="1" t="s">
        <v>26</v>
      </c>
    </row>
    <row r="4849" ht="15.75" customHeight="1">
      <c r="A4849" s="1" t="s">
        <v>4886</v>
      </c>
      <c r="B4849" s="1" t="s">
        <v>24</v>
      </c>
      <c r="C4849" s="1">
        <v>1.0</v>
      </c>
      <c r="D4849" s="1" t="s">
        <v>26</v>
      </c>
      <c r="E4849" s="1" t="s">
        <v>26</v>
      </c>
      <c r="F4849" s="1">
        <v>37.0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1">
        <v>76.25</v>
      </c>
      <c r="T4849" s="1">
        <v>2841.55</v>
      </c>
      <c r="U4849" s="1">
        <v>0.0</v>
      </c>
      <c r="V4849" s="1">
        <v>0.0</v>
      </c>
      <c r="W4849" s="1" t="s">
        <v>25</v>
      </c>
    </row>
    <row r="4850" ht="15.75" customHeight="1">
      <c r="A4850" s="1" t="s">
        <v>4887</v>
      </c>
      <c r="B4850" s="1" t="s">
        <v>24</v>
      </c>
      <c r="C4850" s="1">
        <v>0.0</v>
      </c>
      <c r="D4850" s="1" t="s">
        <v>26</v>
      </c>
      <c r="E4850" s="1" t="s">
        <v>26</v>
      </c>
      <c r="F4850" s="1">
        <v>5.0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1">
        <v>93.9</v>
      </c>
      <c r="T4850" s="1">
        <v>486.85</v>
      </c>
      <c r="U4850" s="1">
        <v>0.0</v>
      </c>
      <c r="V4850" s="1">
        <v>0.0</v>
      </c>
      <c r="W4850" s="1" t="s">
        <v>25</v>
      </c>
    </row>
    <row r="4851" ht="15.75" customHeight="1">
      <c r="A4851" s="1" t="s">
        <v>4888</v>
      </c>
      <c r="B4851" s="1" t="s">
        <v>32</v>
      </c>
      <c r="C4851" s="1">
        <v>0.0</v>
      </c>
      <c r="D4851" s="1" t="s">
        <v>26</v>
      </c>
      <c r="E4851" s="1" t="s">
        <v>26</v>
      </c>
      <c r="F4851" s="1">
        <v>41.0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1">
        <v>51.35</v>
      </c>
      <c r="T4851" s="1">
        <v>2075.1</v>
      </c>
      <c r="U4851" s="1">
        <v>0.0</v>
      </c>
      <c r="V4851" s="1">
        <v>0.0</v>
      </c>
      <c r="W4851" s="1" t="s">
        <v>26</v>
      </c>
    </row>
    <row r="4852" ht="15.75" customHeight="1">
      <c r="A4852" s="1" t="s">
        <v>4889</v>
      </c>
      <c r="B4852" s="1" t="s">
        <v>24</v>
      </c>
      <c r="C4852" s="1">
        <v>0.0</v>
      </c>
      <c r="D4852" s="1" t="s">
        <v>26</v>
      </c>
      <c r="E4852" s="1" t="s">
        <v>26</v>
      </c>
      <c r="F4852" s="1">
        <v>54.0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1">
        <v>100.05</v>
      </c>
      <c r="T4852" s="1">
        <v>5299.65</v>
      </c>
      <c r="U4852" s="1">
        <v>0.0</v>
      </c>
      <c r="V4852" s="1">
        <v>0.0</v>
      </c>
      <c r="W4852" s="1" t="s">
        <v>26</v>
      </c>
    </row>
    <row r="4853" ht="15.75" customHeight="1">
      <c r="A4853" s="1" t="s">
        <v>4890</v>
      </c>
      <c r="B4853" s="1" t="s">
        <v>24</v>
      </c>
      <c r="C4853" s="1">
        <v>1.0</v>
      </c>
      <c r="D4853" s="1" t="s">
        <v>26</v>
      </c>
      <c r="E4853" s="1" t="s">
        <v>26</v>
      </c>
      <c r="F4853" s="1">
        <v>3.0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1">
        <v>70.4</v>
      </c>
      <c r="T4853" s="1">
        <v>204.7</v>
      </c>
      <c r="U4853" s="1">
        <v>0.0</v>
      </c>
      <c r="V4853" s="1">
        <v>0.0</v>
      </c>
      <c r="W4853" s="1" t="s">
        <v>25</v>
      </c>
    </row>
    <row r="4854" ht="15.75" customHeight="1">
      <c r="A4854" s="1" t="s">
        <v>4891</v>
      </c>
      <c r="B4854" s="1" t="s">
        <v>32</v>
      </c>
      <c r="C4854" s="1">
        <v>1.0</v>
      </c>
      <c r="D4854" s="1" t="s">
        <v>26</v>
      </c>
      <c r="E4854" s="1" t="s">
        <v>26</v>
      </c>
      <c r="F4854" s="1">
        <v>69.0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1">
        <v>20.3</v>
      </c>
      <c r="T4854" s="1">
        <v>1356.3</v>
      </c>
      <c r="U4854" s="1">
        <v>0.0</v>
      </c>
      <c r="V4854" s="1">
        <v>0.0</v>
      </c>
      <c r="W4854" s="1" t="s">
        <v>26</v>
      </c>
    </row>
    <row r="4855" ht="15.75" customHeight="1">
      <c r="A4855" s="1" t="s">
        <v>4892</v>
      </c>
      <c r="B4855" s="1" t="s">
        <v>24</v>
      </c>
      <c r="C4855" s="1">
        <v>0.0</v>
      </c>
      <c r="D4855" s="1" t="s">
        <v>26</v>
      </c>
      <c r="E4855" s="1" t="s">
        <v>26</v>
      </c>
      <c r="F4855" s="1">
        <v>53.0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1">
        <v>94.45</v>
      </c>
      <c r="T4855" s="1">
        <v>5042.75</v>
      </c>
      <c r="U4855" s="1">
        <v>4.0</v>
      </c>
      <c r="V4855" s="1">
        <v>0.0</v>
      </c>
      <c r="W4855" s="1" t="s">
        <v>26</v>
      </c>
    </row>
    <row r="4856" ht="15.75" customHeight="1">
      <c r="A4856" s="1" t="s">
        <v>4893</v>
      </c>
      <c r="B4856" s="1" t="s">
        <v>32</v>
      </c>
      <c r="C4856" s="1">
        <v>0.0</v>
      </c>
      <c r="D4856" s="1" t="s">
        <v>25</v>
      </c>
      <c r="E4856" s="1" t="s">
        <v>25</v>
      </c>
      <c r="F4856" s="1">
        <v>18.0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1">
        <v>46.4</v>
      </c>
      <c r="T4856" s="1">
        <v>812.4</v>
      </c>
      <c r="U4856" s="1">
        <v>0.0</v>
      </c>
      <c r="V4856" s="1">
        <v>0.0</v>
      </c>
      <c r="W4856" s="1" t="s">
        <v>26</v>
      </c>
    </row>
    <row r="4857" ht="15.75" customHeight="1">
      <c r="A4857" s="1" t="s">
        <v>4894</v>
      </c>
      <c r="B4857" s="1" t="s">
        <v>32</v>
      </c>
      <c r="C4857" s="1">
        <v>0.0</v>
      </c>
      <c r="D4857" s="1" t="s">
        <v>25</v>
      </c>
      <c r="E4857" s="1" t="s">
        <v>26</v>
      </c>
      <c r="F4857" s="1">
        <v>64.0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1">
        <v>104.05</v>
      </c>
      <c r="T4857" s="1">
        <v>6605.55</v>
      </c>
      <c r="U4857" s="1">
        <v>0.0</v>
      </c>
      <c r="V4857" s="1">
        <v>0.0</v>
      </c>
      <c r="W4857" s="1" t="s">
        <v>26</v>
      </c>
    </row>
    <row r="4858" ht="15.75" customHeight="1">
      <c r="A4858" s="1" t="s">
        <v>4895</v>
      </c>
      <c r="B4858" s="1" t="s">
        <v>24</v>
      </c>
      <c r="C4858" s="1">
        <v>0.0</v>
      </c>
      <c r="D4858" s="1" t="s">
        <v>25</v>
      </c>
      <c r="E4858" s="1" t="s">
        <v>25</v>
      </c>
      <c r="F4858" s="1">
        <v>31.0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1">
        <v>91.15</v>
      </c>
      <c r="T4858" s="1">
        <v>2995.45</v>
      </c>
      <c r="U4858" s="1">
        <v>0.0</v>
      </c>
      <c r="V4858" s="1">
        <v>3.0</v>
      </c>
      <c r="W4858" s="1" t="s">
        <v>25</v>
      </c>
    </row>
    <row r="4859" ht="15.75" customHeight="1">
      <c r="A4859" s="1" t="s">
        <v>4896</v>
      </c>
      <c r="B4859" s="1" t="s">
        <v>24</v>
      </c>
      <c r="C4859" s="1">
        <v>0.0</v>
      </c>
      <c r="D4859" s="1" t="s">
        <v>26</v>
      </c>
      <c r="E4859" s="1" t="s">
        <v>26</v>
      </c>
      <c r="F4859" s="1">
        <v>20.0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1">
        <v>24.9</v>
      </c>
      <c r="T4859" s="1">
        <v>505.95</v>
      </c>
      <c r="U4859" s="1">
        <v>0.0</v>
      </c>
      <c r="V4859" s="1">
        <v>0.0</v>
      </c>
      <c r="W4859" s="1" t="s">
        <v>26</v>
      </c>
    </row>
    <row r="4860" ht="15.75" customHeight="1">
      <c r="A4860" s="1" t="s">
        <v>4897</v>
      </c>
      <c r="B4860" s="1" t="s">
        <v>32</v>
      </c>
      <c r="C4860" s="1">
        <v>0.0</v>
      </c>
      <c r="D4860" s="1" t="s">
        <v>25</v>
      </c>
      <c r="E4860" s="1" t="s">
        <v>25</v>
      </c>
      <c r="F4860" s="1">
        <v>57.0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1">
        <v>59.6</v>
      </c>
      <c r="T4860" s="1">
        <v>3509.4</v>
      </c>
      <c r="U4860" s="1">
        <v>0.0</v>
      </c>
      <c r="V4860" s="1">
        <v>0.0</v>
      </c>
      <c r="W4860" s="1" t="s">
        <v>26</v>
      </c>
    </row>
    <row r="4861" ht="15.75" customHeight="1">
      <c r="A4861" s="1" t="s">
        <v>4898</v>
      </c>
      <c r="B4861" s="1" t="s">
        <v>32</v>
      </c>
      <c r="C4861" s="1">
        <v>1.0</v>
      </c>
      <c r="D4861" s="1" t="s">
        <v>25</v>
      </c>
      <c r="E4861" s="1" t="s">
        <v>26</v>
      </c>
      <c r="F4861" s="1">
        <v>63.0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1">
        <v>108.5</v>
      </c>
      <c r="T4861" s="1">
        <v>6991.9</v>
      </c>
      <c r="U4861" s="1">
        <v>1.0</v>
      </c>
      <c r="V4861" s="1">
        <v>2.0</v>
      </c>
      <c r="W4861" s="1" t="s">
        <v>26</v>
      </c>
    </row>
    <row r="4862" ht="15.75" customHeight="1">
      <c r="A4862" s="1" t="s">
        <v>4899</v>
      </c>
      <c r="B4862" s="1" t="s">
        <v>32</v>
      </c>
      <c r="C4862" s="1">
        <v>0.0</v>
      </c>
      <c r="D4862" s="1" t="s">
        <v>25</v>
      </c>
      <c r="E4862" s="1" t="s">
        <v>25</v>
      </c>
      <c r="F4862" s="1">
        <v>13.0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1">
        <v>40.55</v>
      </c>
      <c r="T4862" s="1">
        <v>590.35</v>
      </c>
      <c r="U4862" s="1">
        <v>0.0</v>
      </c>
      <c r="V4862" s="1">
        <v>0.0</v>
      </c>
      <c r="W4862" s="1" t="s">
        <v>26</v>
      </c>
    </row>
    <row r="4863" ht="15.75" customHeight="1">
      <c r="A4863" s="1" t="s">
        <v>4900</v>
      </c>
      <c r="B4863" s="1" t="s">
        <v>24</v>
      </c>
      <c r="C4863" s="1">
        <v>1.0</v>
      </c>
      <c r="D4863" s="1" t="s">
        <v>25</v>
      </c>
      <c r="E4863" s="1" t="s">
        <v>26</v>
      </c>
      <c r="F4863" s="1">
        <v>48.0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1">
        <v>58.95</v>
      </c>
      <c r="T4863" s="1">
        <v>2789.7</v>
      </c>
      <c r="U4863" s="1">
        <v>0.0</v>
      </c>
      <c r="V4863" s="1">
        <v>0.0</v>
      </c>
      <c r="W4863" s="1" t="s">
        <v>26</v>
      </c>
    </row>
    <row r="4864" ht="15.75" customHeight="1">
      <c r="A4864" s="1" t="s">
        <v>4901</v>
      </c>
      <c r="B4864" s="1" t="s">
        <v>24</v>
      </c>
      <c r="C4864" s="1">
        <v>0.0</v>
      </c>
      <c r="D4864" s="1" t="s">
        <v>26</v>
      </c>
      <c r="E4864" s="1" t="s">
        <v>26</v>
      </c>
      <c r="F4864" s="1">
        <v>2.0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1">
        <v>70.95</v>
      </c>
      <c r="T4864" s="1">
        <v>137.95</v>
      </c>
      <c r="U4864" s="1">
        <v>0.0</v>
      </c>
      <c r="V4864" s="1">
        <v>0.0</v>
      </c>
      <c r="W4864" s="1" t="s">
        <v>25</v>
      </c>
    </row>
    <row r="4865" ht="15.75" customHeight="1">
      <c r="A4865" s="1" t="s">
        <v>4902</v>
      </c>
      <c r="B4865" s="1" t="s">
        <v>32</v>
      </c>
      <c r="C4865" s="1">
        <v>0.0</v>
      </c>
      <c r="D4865" s="1" t="s">
        <v>25</v>
      </c>
      <c r="E4865" s="1" t="s">
        <v>25</v>
      </c>
      <c r="F4865" s="1">
        <v>57.0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1">
        <v>20.75</v>
      </c>
      <c r="T4865" s="1">
        <v>1123.15</v>
      </c>
      <c r="U4865" s="1">
        <v>0.0</v>
      </c>
      <c r="V4865" s="1">
        <v>0.0</v>
      </c>
      <c r="W4865" s="1" t="s">
        <v>26</v>
      </c>
    </row>
    <row r="4866" ht="15.75" customHeight="1">
      <c r="A4866" s="1" t="s">
        <v>4903</v>
      </c>
      <c r="B4866" s="1" t="s">
        <v>32</v>
      </c>
      <c r="C4866" s="1">
        <v>0.0</v>
      </c>
      <c r="D4866" s="1" t="s">
        <v>25</v>
      </c>
      <c r="E4866" s="1" t="s">
        <v>26</v>
      </c>
      <c r="F4866" s="1">
        <v>71.0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1">
        <v>113.15</v>
      </c>
      <c r="T4866" s="1">
        <v>7953.25</v>
      </c>
      <c r="U4866" s="1">
        <v>4.0</v>
      </c>
      <c r="V4866" s="1">
        <v>0.0</v>
      </c>
      <c r="W4866" s="1" t="s">
        <v>26</v>
      </c>
    </row>
    <row r="4867" ht="15.75" customHeight="1">
      <c r="A4867" s="1" t="s">
        <v>4904</v>
      </c>
      <c r="B4867" s="1" t="s">
        <v>24</v>
      </c>
      <c r="C4867" s="1">
        <v>0.0</v>
      </c>
      <c r="D4867" s="1" t="s">
        <v>25</v>
      </c>
      <c r="E4867" s="1" t="s">
        <v>25</v>
      </c>
      <c r="F4867" s="1">
        <v>7.0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1">
        <v>48.8</v>
      </c>
      <c r="T4867" s="1">
        <v>349.8</v>
      </c>
      <c r="U4867" s="1">
        <v>0.0</v>
      </c>
      <c r="V4867" s="1">
        <v>0.0</v>
      </c>
      <c r="W4867" s="1" t="s">
        <v>26</v>
      </c>
    </row>
    <row r="4868" ht="15.75" customHeight="1">
      <c r="A4868" s="1" t="s">
        <v>4905</v>
      </c>
      <c r="B4868" s="1" t="s">
        <v>24</v>
      </c>
      <c r="C4868" s="1">
        <v>0.0</v>
      </c>
      <c r="D4868" s="1" t="s">
        <v>26</v>
      </c>
      <c r="E4868" s="1" t="s">
        <v>26</v>
      </c>
      <c r="F4868" s="1">
        <v>16.0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1">
        <v>63.05</v>
      </c>
      <c r="T4868" s="1">
        <v>1067.05</v>
      </c>
      <c r="U4868" s="1">
        <v>0.0</v>
      </c>
      <c r="V4868" s="1">
        <v>0.0</v>
      </c>
      <c r="W4868" s="1" t="s">
        <v>26</v>
      </c>
    </row>
    <row r="4869" ht="15.75" customHeight="1">
      <c r="A4869" s="1" t="s">
        <v>4906</v>
      </c>
      <c r="B4869" s="1" t="s">
        <v>32</v>
      </c>
      <c r="C4869" s="1">
        <v>0.0</v>
      </c>
      <c r="D4869" s="1" t="s">
        <v>25</v>
      </c>
      <c r="E4869" s="1" t="s">
        <v>26</v>
      </c>
      <c r="F4869" s="1">
        <v>34.0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1">
        <v>100.85</v>
      </c>
      <c r="T4869" s="1">
        <v>3527.3</v>
      </c>
      <c r="U4869" s="1">
        <v>0.0</v>
      </c>
      <c r="V4869" s="1">
        <v>0.0</v>
      </c>
      <c r="W4869" s="1" t="s">
        <v>26</v>
      </c>
    </row>
    <row r="4870" ht="15.75" customHeight="1">
      <c r="A4870" s="1" t="s">
        <v>4907</v>
      </c>
      <c r="B4870" s="1" t="s">
        <v>24</v>
      </c>
      <c r="C4870" s="1">
        <v>0.0</v>
      </c>
      <c r="D4870" s="1" t="s">
        <v>25</v>
      </c>
      <c r="E4870" s="1" t="s">
        <v>26</v>
      </c>
      <c r="F4870" s="1">
        <v>37.0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1">
        <v>99.5</v>
      </c>
      <c r="T4870" s="1">
        <v>3762.0</v>
      </c>
      <c r="U4870" s="1">
        <v>0.0</v>
      </c>
      <c r="V4870" s="1">
        <v>3.0</v>
      </c>
      <c r="W4870" s="1" t="s">
        <v>25</v>
      </c>
    </row>
    <row r="4871" ht="15.75" customHeight="1">
      <c r="A4871" s="1" t="s">
        <v>4908</v>
      </c>
      <c r="B4871" s="1" t="s">
        <v>32</v>
      </c>
      <c r="C4871" s="1">
        <v>0.0</v>
      </c>
      <c r="D4871" s="1" t="s">
        <v>26</v>
      </c>
      <c r="E4871" s="1" t="s">
        <v>26</v>
      </c>
      <c r="F4871" s="1">
        <v>16.0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1">
        <v>80.55</v>
      </c>
      <c r="T4871" s="1">
        <v>1248.9</v>
      </c>
      <c r="U4871" s="1">
        <v>0.0</v>
      </c>
      <c r="V4871" s="1">
        <v>0.0</v>
      </c>
      <c r="W4871" s="1" t="s">
        <v>26</v>
      </c>
    </row>
    <row r="4872" ht="15.75" customHeight="1">
      <c r="A4872" s="1" t="s">
        <v>4909</v>
      </c>
      <c r="B4872" s="1" t="s">
        <v>32</v>
      </c>
      <c r="C4872" s="1">
        <v>0.0</v>
      </c>
      <c r="D4872" s="1" t="s">
        <v>26</v>
      </c>
      <c r="E4872" s="1" t="s">
        <v>25</v>
      </c>
      <c r="F4872" s="1">
        <v>48.0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1">
        <v>64.4</v>
      </c>
      <c r="T4872" s="1">
        <v>3035.35</v>
      </c>
      <c r="U4872" s="1">
        <v>0.0</v>
      </c>
      <c r="V4872" s="1">
        <v>0.0</v>
      </c>
      <c r="W4872" s="1" t="s">
        <v>26</v>
      </c>
    </row>
    <row r="4873" ht="15.75" customHeight="1">
      <c r="A4873" s="1" t="s">
        <v>4910</v>
      </c>
      <c r="B4873" s="1" t="s">
        <v>32</v>
      </c>
      <c r="C4873" s="1">
        <v>0.0</v>
      </c>
      <c r="D4873" s="1" t="s">
        <v>25</v>
      </c>
      <c r="E4873" s="1" t="s">
        <v>25</v>
      </c>
      <c r="F4873" s="1">
        <v>58.0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1">
        <v>75.2</v>
      </c>
      <c r="T4873" s="1">
        <v>4300.8</v>
      </c>
      <c r="U4873" s="1">
        <v>0.0</v>
      </c>
      <c r="V4873" s="1">
        <v>0.0</v>
      </c>
      <c r="W4873" s="1" t="s">
        <v>26</v>
      </c>
    </row>
    <row r="4874" ht="15.75" customHeight="1">
      <c r="A4874" s="1" t="s">
        <v>4911</v>
      </c>
      <c r="B4874" s="1" t="s">
        <v>24</v>
      </c>
      <c r="C4874" s="1">
        <v>0.0</v>
      </c>
      <c r="D4874" s="1" t="s">
        <v>25</v>
      </c>
      <c r="E4874" s="1" t="s">
        <v>26</v>
      </c>
      <c r="F4874" s="1">
        <v>72.0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1">
        <v>84.9</v>
      </c>
      <c r="T4874" s="1">
        <v>6065.3</v>
      </c>
      <c r="U4874" s="1">
        <v>0.0</v>
      </c>
      <c r="V4874" s="1">
        <v>0.0</v>
      </c>
      <c r="W4874" s="1" t="s">
        <v>26</v>
      </c>
    </row>
    <row r="4875" ht="15.75" customHeight="1">
      <c r="A4875" s="1" t="s">
        <v>4912</v>
      </c>
      <c r="B4875" s="1" t="s">
        <v>24</v>
      </c>
      <c r="C4875" s="1">
        <v>0.0</v>
      </c>
      <c r="D4875" s="1" t="s">
        <v>26</v>
      </c>
      <c r="E4875" s="1" t="s">
        <v>26</v>
      </c>
      <c r="F4875" s="1">
        <v>7.0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1">
        <v>19.3</v>
      </c>
      <c r="T4875" s="1">
        <v>144.95</v>
      </c>
      <c r="U4875" s="1">
        <v>0.0</v>
      </c>
      <c r="V4875" s="1">
        <v>0.0</v>
      </c>
      <c r="W4875" s="1" t="s">
        <v>26</v>
      </c>
    </row>
    <row r="4876" ht="15.75" customHeight="1">
      <c r="A4876" s="1" t="s">
        <v>4913</v>
      </c>
      <c r="B4876" s="1" t="s">
        <v>24</v>
      </c>
      <c r="C4876" s="1">
        <v>0.0</v>
      </c>
      <c r="D4876" s="1" t="s">
        <v>26</v>
      </c>
      <c r="E4876" s="1" t="s">
        <v>26</v>
      </c>
      <c r="F4876" s="1">
        <v>38.0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1">
        <v>83.9</v>
      </c>
      <c r="T4876" s="1">
        <v>3233.6</v>
      </c>
      <c r="U4876" s="1">
        <v>0.0</v>
      </c>
      <c r="V4876" s="1">
        <v>4.0</v>
      </c>
      <c r="W4876" s="1" t="s">
        <v>25</v>
      </c>
    </row>
    <row r="4877" ht="15.75" customHeight="1">
      <c r="A4877" s="1" t="s">
        <v>4914</v>
      </c>
      <c r="B4877" s="1" t="s">
        <v>24</v>
      </c>
      <c r="C4877" s="1">
        <v>1.0</v>
      </c>
      <c r="D4877" s="1" t="s">
        <v>25</v>
      </c>
      <c r="E4877" s="1" t="s">
        <v>26</v>
      </c>
      <c r="F4877" s="1">
        <v>48.0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1">
        <v>117.45</v>
      </c>
      <c r="T4877" s="1">
        <v>5438.9</v>
      </c>
      <c r="U4877" s="1">
        <v>0.0</v>
      </c>
      <c r="V4877" s="1">
        <v>6.0</v>
      </c>
      <c r="W4877" s="1" t="s">
        <v>25</v>
      </c>
    </row>
    <row r="4878" ht="15.75" customHeight="1">
      <c r="A4878" s="1" t="s">
        <v>4915</v>
      </c>
      <c r="B4878" s="1" t="s">
        <v>32</v>
      </c>
      <c r="C4878" s="1">
        <v>0.0</v>
      </c>
      <c r="D4878" s="1" t="s">
        <v>26</v>
      </c>
      <c r="E4878" s="1" t="s">
        <v>26</v>
      </c>
      <c r="F4878" s="1">
        <v>10.0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1">
        <v>104.4</v>
      </c>
      <c r="T4878" s="1">
        <v>1081.45</v>
      </c>
      <c r="U4878" s="1">
        <v>0.0</v>
      </c>
      <c r="V4878" s="1">
        <v>0.0</v>
      </c>
      <c r="W4878" s="1" t="s">
        <v>25</v>
      </c>
    </row>
    <row r="4879" ht="15.75" customHeight="1">
      <c r="A4879" s="1" t="s">
        <v>4916</v>
      </c>
      <c r="B4879" s="1" t="s">
        <v>24</v>
      </c>
      <c r="C4879" s="1">
        <v>0.0</v>
      </c>
      <c r="D4879" s="1" t="s">
        <v>26</v>
      </c>
      <c r="E4879" s="1" t="s">
        <v>26</v>
      </c>
      <c r="F4879" s="1">
        <v>30.0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1">
        <v>74.65</v>
      </c>
      <c r="T4879" s="1">
        <v>2308.6</v>
      </c>
      <c r="U4879" s="1">
        <v>0.0</v>
      </c>
      <c r="V4879" s="1">
        <v>0.0</v>
      </c>
      <c r="W4879" s="1" t="s">
        <v>26</v>
      </c>
    </row>
    <row r="4880" ht="15.75" customHeight="1">
      <c r="A4880" s="1" t="s">
        <v>4917</v>
      </c>
      <c r="B4880" s="1" t="s">
        <v>32</v>
      </c>
      <c r="C4880" s="1">
        <v>0.0</v>
      </c>
      <c r="D4880" s="1" t="s">
        <v>25</v>
      </c>
      <c r="E4880" s="1" t="s">
        <v>26</v>
      </c>
      <c r="F4880" s="1">
        <v>31.0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1">
        <v>59.05</v>
      </c>
      <c r="T4880" s="1">
        <v>1882.8</v>
      </c>
      <c r="U4880" s="1">
        <v>0.0</v>
      </c>
      <c r="V4880" s="1">
        <v>0.0</v>
      </c>
      <c r="W4880" s="1" t="s">
        <v>26</v>
      </c>
    </row>
    <row r="4881" ht="15.75" customHeight="1">
      <c r="A4881" s="1" t="s">
        <v>4918</v>
      </c>
      <c r="B4881" s="1" t="s">
        <v>24</v>
      </c>
      <c r="C4881" s="1">
        <v>1.0</v>
      </c>
      <c r="D4881" s="1" t="s">
        <v>26</v>
      </c>
      <c r="E4881" s="1" t="s">
        <v>26</v>
      </c>
      <c r="F4881" s="1">
        <v>46.0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1">
        <v>69.1</v>
      </c>
      <c r="T4881" s="1">
        <v>3255.35</v>
      </c>
      <c r="U4881" s="1">
        <v>0.0</v>
      </c>
      <c r="V4881" s="1">
        <v>0.0</v>
      </c>
      <c r="W4881" s="1" t="s">
        <v>26</v>
      </c>
    </row>
    <row r="4882" ht="15.75" customHeight="1">
      <c r="A4882" s="1" t="s">
        <v>4919</v>
      </c>
      <c r="B4882" s="1" t="s">
        <v>32</v>
      </c>
      <c r="C4882" s="1">
        <v>0.0</v>
      </c>
      <c r="D4882" s="1" t="s">
        <v>25</v>
      </c>
      <c r="E4882" s="1" t="s">
        <v>26</v>
      </c>
      <c r="F4882" s="1">
        <v>50.0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1">
        <v>20.55</v>
      </c>
      <c r="T4882" s="1">
        <v>1067.65</v>
      </c>
      <c r="U4882" s="1">
        <v>0.0</v>
      </c>
      <c r="V4882" s="1">
        <v>0.0</v>
      </c>
      <c r="W4882" s="1" t="s">
        <v>26</v>
      </c>
    </row>
    <row r="4883" ht="15.75" customHeight="1">
      <c r="A4883" s="1" t="s">
        <v>4920</v>
      </c>
      <c r="B4883" s="1" t="s">
        <v>32</v>
      </c>
      <c r="C4883" s="1">
        <v>0.0</v>
      </c>
      <c r="D4883" s="1" t="s">
        <v>25</v>
      </c>
      <c r="E4883" s="1" t="s">
        <v>26</v>
      </c>
      <c r="F4883" s="1">
        <v>28.0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1">
        <v>76.55</v>
      </c>
      <c r="T4883" s="1">
        <v>2065.4</v>
      </c>
      <c r="U4883" s="1">
        <v>0.0</v>
      </c>
      <c r="V4883" s="1">
        <v>0.0</v>
      </c>
      <c r="W4883" s="1" t="s">
        <v>26</v>
      </c>
    </row>
    <row r="4884" ht="15.75" customHeight="1">
      <c r="A4884" s="1" t="s">
        <v>4921</v>
      </c>
      <c r="B4884" s="1" t="s">
        <v>24</v>
      </c>
      <c r="C4884" s="1">
        <v>0.0</v>
      </c>
      <c r="D4884" s="1" t="s">
        <v>26</v>
      </c>
      <c r="E4884" s="1" t="s">
        <v>26</v>
      </c>
      <c r="F4884" s="1">
        <v>66.0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1">
        <v>62.5</v>
      </c>
      <c r="T4884" s="1">
        <v>4136.4</v>
      </c>
      <c r="U4884" s="1">
        <v>0.0</v>
      </c>
      <c r="V4884" s="1">
        <v>0.0</v>
      </c>
      <c r="W4884" s="1" t="s">
        <v>26</v>
      </c>
    </row>
    <row r="4885" ht="15.75" customHeight="1">
      <c r="A4885" s="1" t="s">
        <v>4922</v>
      </c>
      <c r="B4885" s="1" t="s">
        <v>32</v>
      </c>
      <c r="C4885" s="1">
        <v>1.0</v>
      </c>
      <c r="D4885" s="1" t="s">
        <v>26</v>
      </c>
      <c r="E4885" s="1" t="s">
        <v>26</v>
      </c>
      <c r="F4885" s="1">
        <v>8.0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1">
        <v>29.4</v>
      </c>
      <c r="T4885" s="1">
        <v>221.9</v>
      </c>
      <c r="U4885" s="1">
        <v>0.0</v>
      </c>
      <c r="V4885" s="1">
        <v>0.0</v>
      </c>
      <c r="W4885" s="1" t="s">
        <v>25</v>
      </c>
    </row>
    <row r="4886" ht="15.75" customHeight="1">
      <c r="A4886" s="1" t="s">
        <v>4923</v>
      </c>
      <c r="B4886" s="1" t="s">
        <v>24</v>
      </c>
      <c r="C4886" s="1">
        <v>0.0</v>
      </c>
      <c r="D4886" s="1" t="s">
        <v>25</v>
      </c>
      <c r="E4886" s="1" t="s">
        <v>25</v>
      </c>
      <c r="F4886" s="1">
        <v>41.0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1">
        <v>94.9</v>
      </c>
      <c r="T4886" s="1">
        <v>3848.0</v>
      </c>
      <c r="U4886" s="1">
        <v>0.0</v>
      </c>
      <c r="V4886" s="1">
        <v>0.0</v>
      </c>
      <c r="W4886" s="1" t="s">
        <v>26</v>
      </c>
    </row>
    <row r="4887" ht="15.75" customHeight="1">
      <c r="A4887" s="1" t="s">
        <v>4924</v>
      </c>
      <c r="B4887" s="1" t="s">
        <v>32</v>
      </c>
      <c r="C4887" s="1">
        <v>1.0</v>
      </c>
      <c r="D4887" s="1" t="s">
        <v>25</v>
      </c>
      <c r="E4887" s="1" t="s">
        <v>26</v>
      </c>
      <c r="F4887" s="1">
        <v>72.0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1">
        <v>111.65</v>
      </c>
      <c r="T4887" s="1">
        <v>8022.85</v>
      </c>
      <c r="U4887" s="1">
        <v>0.0</v>
      </c>
      <c r="V4887" s="1">
        <v>2.0</v>
      </c>
      <c r="W4887" s="1" t="s">
        <v>26</v>
      </c>
    </row>
    <row r="4888" ht="15.75" customHeight="1">
      <c r="A4888" s="1" t="s">
        <v>4925</v>
      </c>
      <c r="B4888" s="1" t="s">
        <v>24</v>
      </c>
      <c r="C4888" s="1">
        <v>0.0</v>
      </c>
      <c r="D4888" s="1" t="s">
        <v>26</v>
      </c>
      <c r="E4888" s="1" t="s">
        <v>26</v>
      </c>
      <c r="F4888" s="1">
        <v>7.0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1">
        <v>19.9</v>
      </c>
      <c r="T4888" s="1">
        <v>173.15</v>
      </c>
      <c r="U4888" s="1">
        <v>0.0</v>
      </c>
      <c r="V4888" s="1">
        <v>0.0</v>
      </c>
      <c r="W4888" s="1" t="s">
        <v>26</v>
      </c>
    </row>
    <row r="4889" ht="15.75" customHeight="1">
      <c r="A4889" s="1" t="s">
        <v>4926</v>
      </c>
      <c r="B4889" s="1" t="s">
        <v>24</v>
      </c>
      <c r="C4889" s="1">
        <v>0.0</v>
      </c>
      <c r="D4889" s="1" t="s">
        <v>25</v>
      </c>
      <c r="E4889" s="1" t="s">
        <v>25</v>
      </c>
      <c r="F4889" s="1">
        <v>38.0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1">
        <v>20.45</v>
      </c>
      <c r="T4889" s="1">
        <v>781.25</v>
      </c>
      <c r="U4889" s="1">
        <v>0.0</v>
      </c>
      <c r="V4889" s="1">
        <v>0.0</v>
      </c>
      <c r="W4889" s="1" t="s">
        <v>26</v>
      </c>
    </row>
    <row r="4890" ht="15.75" customHeight="1">
      <c r="A4890" s="1" t="s">
        <v>4927</v>
      </c>
      <c r="B4890" s="1" t="s">
        <v>32</v>
      </c>
      <c r="C4890" s="1">
        <v>0.0</v>
      </c>
      <c r="D4890" s="1" t="s">
        <v>26</v>
      </c>
      <c r="E4890" s="1" t="s">
        <v>26</v>
      </c>
      <c r="F4890" s="1">
        <v>44.0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1">
        <v>106.05</v>
      </c>
      <c r="T4890" s="1">
        <v>4510.8</v>
      </c>
      <c r="U4890" s="1">
        <v>0.0</v>
      </c>
      <c r="V4890" s="1">
        <v>0.0</v>
      </c>
      <c r="W4890" s="1" t="s">
        <v>26</v>
      </c>
    </row>
    <row r="4891" ht="15.75" customHeight="1">
      <c r="A4891" s="1" t="s">
        <v>4928</v>
      </c>
      <c r="B4891" s="1" t="s">
        <v>32</v>
      </c>
      <c r="C4891" s="1">
        <v>0.0</v>
      </c>
      <c r="D4891" s="1" t="s">
        <v>25</v>
      </c>
      <c r="E4891" s="1" t="s">
        <v>25</v>
      </c>
      <c r="F4891" s="1">
        <v>47.0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1">
        <v>113.45</v>
      </c>
      <c r="T4891" s="1">
        <v>5317.8</v>
      </c>
      <c r="U4891" s="1">
        <v>0.0</v>
      </c>
      <c r="V4891" s="1">
        <v>0.0</v>
      </c>
      <c r="W4891" s="1" t="s">
        <v>26</v>
      </c>
    </row>
    <row r="4892" ht="15.75" customHeight="1">
      <c r="A4892" s="1" t="s">
        <v>4929</v>
      </c>
      <c r="B4892" s="1" t="s">
        <v>32</v>
      </c>
      <c r="C4892" s="1">
        <v>0.0</v>
      </c>
      <c r="D4892" s="1" t="s">
        <v>25</v>
      </c>
      <c r="E4892" s="1" t="s">
        <v>25</v>
      </c>
      <c r="F4892" s="1">
        <v>53.0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1">
        <v>92.55</v>
      </c>
      <c r="T4892" s="1">
        <v>4779.45</v>
      </c>
      <c r="U4892" s="1">
        <v>0.0</v>
      </c>
      <c r="V4892" s="1">
        <v>0.0</v>
      </c>
      <c r="W4892" s="1" t="s">
        <v>26</v>
      </c>
    </row>
    <row r="4893" ht="15.75" customHeight="1">
      <c r="A4893" s="1" t="s">
        <v>4930</v>
      </c>
      <c r="B4893" s="1" t="s">
        <v>32</v>
      </c>
      <c r="C4893" s="1">
        <v>0.0</v>
      </c>
      <c r="D4893" s="1" t="s">
        <v>25</v>
      </c>
      <c r="E4893" s="1" t="s">
        <v>26</v>
      </c>
      <c r="F4893" s="1">
        <v>4.0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1">
        <v>65.6</v>
      </c>
      <c r="T4893" s="1">
        <v>250.1</v>
      </c>
      <c r="U4893" s="1">
        <v>0.0</v>
      </c>
      <c r="V4893" s="1">
        <v>0.0</v>
      </c>
      <c r="W4893" s="1" t="s">
        <v>26</v>
      </c>
    </row>
    <row r="4894" ht="15.75" customHeight="1">
      <c r="A4894" s="1" t="s">
        <v>4931</v>
      </c>
      <c r="B4894" s="1" t="s">
        <v>32</v>
      </c>
      <c r="C4894" s="1">
        <v>1.0</v>
      </c>
      <c r="D4894" s="1" t="s">
        <v>26</v>
      </c>
      <c r="E4894" s="1" t="s">
        <v>26</v>
      </c>
      <c r="F4894" s="1">
        <v>20.0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1">
        <v>84.35</v>
      </c>
      <c r="T4894" s="1">
        <v>1745.2</v>
      </c>
      <c r="U4894" s="1">
        <v>3.0</v>
      </c>
      <c r="V4894" s="1">
        <v>0.0</v>
      </c>
      <c r="W4894" s="1" t="s">
        <v>26</v>
      </c>
    </row>
    <row r="4895" ht="15.75" customHeight="1">
      <c r="A4895" s="1" t="s">
        <v>4932</v>
      </c>
      <c r="B4895" s="1" t="s">
        <v>32</v>
      </c>
      <c r="C4895" s="1">
        <v>0.0</v>
      </c>
      <c r="D4895" s="1" t="s">
        <v>26</v>
      </c>
      <c r="E4895" s="1" t="s">
        <v>26</v>
      </c>
      <c r="F4895" s="1">
        <v>2.0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1">
        <v>44.65</v>
      </c>
      <c r="T4895" s="1">
        <v>74.9</v>
      </c>
      <c r="U4895" s="1">
        <v>5.0</v>
      </c>
      <c r="V4895" s="1">
        <v>0.0</v>
      </c>
      <c r="W4895" s="1" t="s">
        <v>25</v>
      </c>
    </row>
    <row r="4896" ht="15.75" customHeight="1">
      <c r="A4896" s="1" t="s">
        <v>4933</v>
      </c>
      <c r="B4896" s="1" t="s">
        <v>32</v>
      </c>
      <c r="C4896" s="1">
        <v>1.0</v>
      </c>
      <c r="D4896" s="1" t="s">
        <v>25</v>
      </c>
      <c r="E4896" s="1" t="s">
        <v>26</v>
      </c>
      <c r="F4896" s="1">
        <v>57.0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1">
        <v>71.1</v>
      </c>
      <c r="T4896" s="1">
        <v>4140.1</v>
      </c>
      <c r="U4896" s="1">
        <v>3.0</v>
      </c>
      <c r="V4896" s="1">
        <v>0.0</v>
      </c>
      <c r="W4896" s="1" t="s">
        <v>26</v>
      </c>
    </row>
    <row r="4897" ht="15.75" customHeight="1">
      <c r="A4897" s="1" t="s">
        <v>4934</v>
      </c>
      <c r="B4897" s="1" t="s">
        <v>24</v>
      </c>
      <c r="C4897" s="1">
        <v>1.0</v>
      </c>
      <c r="D4897" s="1" t="s">
        <v>25</v>
      </c>
      <c r="E4897" s="1" t="s">
        <v>26</v>
      </c>
      <c r="F4897" s="1">
        <v>44.0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1">
        <v>85.15</v>
      </c>
      <c r="T4897" s="1">
        <v>3670.5</v>
      </c>
      <c r="U4897" s="1">
        <v>0.0</v>
      </c>
      <c r="V4897" s="1">
        <v>0.0</v>
      </c>
      <c r="W4897" s="1" t="s">
        <v>26</v>
      </c>
    </row>
    <row r="4898" ht="15.75" customHeight="1">
      <c r="A4898" s="1" t="s">
        <v>4935</v>
      </c>
      <c r="B4898" s="1" t="s">
        <v>32</v>
      </c>
      <c r="C4898" s="1">
        <v>0.0</v>
      </c>
      <c r="D4898" s="1" t="s">
        <v>26</v>
      </c>
      <c r="E4898" s="1" t="s">
        <v>26</v>
      </c>
      <c r="F4898" s="1">
        <v>24.0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1">
        <v>49.7</v>
      </c>
      <c r="T4898" s="1">
        <v>1167.8</v>
      </c>
      <c r="U4898" s="1">
        <v>0.0</v>
      </c>
      <c r="V4898" s="1">
        <v>0.0</v>
      </c>
      <c r="W4898" s="1" t="s">
        <v>26</v>
      </c>
    </row>
    <row r="4899" ht="15.75" customHeight="1">
      <c r="A4899" s="1" t="s">
        <v>4936</v>
      </c>
      <c r="B4899" s="1" t="s">
        <v>32</v>
      </c>
      <c r="C4899" s="1">
        <v>0.0</v>
      </c>
      <c r="D4899" s="1" t="s">
        <v>25</v>
      </c>
      <c r="E4899" s="1" t="s">
        <v>25</v>
      </c>
      <c r="F4899" s="1">
        <v>15.0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1">
        <v>30.2</v>
      </c>
      <c r="T4899" s="1">
        <v>469.65</v>
      </c>
      <c r="U4899" s="1">
        <v>0.0</v>
      </c>
      <c r="V4899" s="1">
        <v>0.0</v>
      </c>
      <c r="W4899" s="1" t="s">
        <v>26</v>
      </c>
    </row>
    <row r="4900" ht="15.75" customHeight="1">
      <c r="A4900" s="1" t="s">
        <v>4937</v>
      </c>
      <c r="B4900" s="1" t="s">
        <v>24</v>
      </c>
      <c r="C4900" s="1">
        <v>0.0</v>
      </c>
      <c r="D4900" s="1" t="s">
        <v>26</v>
      </c>
      <c r="E4900" s="1" t="s">
        <v>26</v>
      </c>
      <c r="F4900" s="1">
        <v>3.0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1">
        <v>25.25</v>
      </c>
      <c r="T4900" s="1">
        <v>58.9</v>
      </c>
      <c r="U4900" s="1">
        <v>0.0</v>
      </c>
      <c r="V4900" s="1">
        <v>0.0</v>
      </c>
      <c r="W4900" s="1" t="s">
        <v>25</v>
      </c>
    </row>
    <row r="4901" ht="15.75" customHeight="1">
      <c r="A4901" s="1" t="s">
        <v>4938</v>
      </c>
      <c r="B4901" s="1" t="s">
        <v>24</v>
      </c>
      <c r="C4901" s="1">
        <v>0.0</v>
      </c>
      <c r="D4901" s="1" t="s">
        <v>26</v>
      </c>
      <c r="E4901" s="1" t="s">
        <v>25</v>
      </c>
      <c r="F4901" s="1">
        <v>4.0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1">
        <v>84.05</v>
      </c>
      <c r="T4901" s="1">
        <v>333.55</v>
      </c>
      <c r="U4901" s="1">
        <v>0.0</v>
      </c>
      <c r="V4901" s="1">
        <v>0.0</v>
      </c>
      <c r="W4901" s="1" t="s">
        <v>25</v>
      </c>
    </row>
    <row r="4902" ht="15.75" customHeight="1">
      <c r="A4902" s="1" t="s">
        <v>4939</v>
      </c>
      <c r="B4902" s="1" t="s">
        <v>32</v>
      </c>
      <c r="C4902" s="1">
        <v>1.0</v>
      </c>
      <c r="D4902" s="1" t="s">
        <v>25</v>
      </c>
      <c r="E4902" s="1" t="s">
        <v>26</v>
      </c>
      <c r="F4902" s="1">
        <v>37.0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1">
        <v>85.7</v>
      </c>
      <c r="T4902" s="1">
        <v>3171.15</v>
      </c>
      <c r="U4902" s="1">
        <v>0.0</v>
      </c>
      <c r="V4902" s="1">
        <v>0.0</v>
      </c>
      <c r="W4902" s="1" t="s">
        <v>25</v>
      </c>
    </row>
    <row r="4903" ht="15.75" customHeight="1">
      <c r="A4903" s="1" t="s">
        <v>4940</v>
      </c>
      <c r="B4903" s="1" t="s">
        <v>24</v>
      </c>
      <c r="C4903" s="1">
        <v>0.0</v>
      </c>
      <c r="D4903" s="1" t="s">
        <v>26</v>
      </c>
      <c r="E4903" s="1" t="s">
        <v>26</v>
      </c>
      <c r="F4903" s="1">
        <v>1.0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1">
        <v>74.7</v>
      </c>
      <c r="T4903" s="1">
        <v>74.7</v>
      </c>
      <c r="U4903" s="1">
        <v>0.0</v>
      </c>
      <c r="V4903" s="1">
        <v>0.0</v>
      </c>
      <c r="W4903" s="1" t="s">
        <v>25</v>
      </c>
    </row>
    <row r="4904" ht="15.75" customHeight="1">
      <c r="A4904" s="1" t="s">
        <v>4941</v>
      </c>
      <c r="B4904" s="1" t="s">
        <v>24</v>
      </c>
      <c r="C4904" s="1">
        <v>0.0</v>
      </c>
      <c r="D4904" s="1" t="s">
        <v>26</v>
      </c>
      <c r="E4904" s="1" t="s">
        <v>26</v>
      </c>
      <c r="F4904" s="1">
        <v>24.0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1">
        <v>56.35</v>
      </c>
      <c r="T4904" s="1">
        <v>1381.2</v>
      </c>
      <c r="U4904" s="1">
        <v>0.0</v>
      </c>
      <c r="V4904" s="1">
        <v>0.0</v>
      </c>
      <c r="W4904" s="1" t="s">
        <v>26</v>
      </c>
    </row>
    <row r="4905" ht="15.75" customHeight="1">
      <c r="A4905" s="1" t="s">
        <v>4942</v>
      </c>
      <c r="B4905" s="1" t="s">
        <v>24</v>
      </c>
      <c r="C4905" s="1">
        <v>0.0</v>
      </c>
      <c r="D4905" s="1" t="s">
        <v>26</v>
      </c>
      <c r="E4905" s="1" t="s">
        <v>26</v>
      </c>
      <c r="F4905" s="1">
        <v>5.0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1">
        <v>90.8</v>
      </c>
      <c r="T4905" s="1">
        <v>455.5</v>
      </c>
      <c r="U4905" s="1">
        <v>0.0</v>
      </c>
      <c r="V4905" s="1">
        <v>0.0</v>
      </c>
      <c r="W4905" s="1" t="s">
        <v>25</v>
      </c>
    </row>
    <row r="4906" ht="15.75" customHeight="1">
      <c r="A4906" s="1" t="s">
        <v>4943</v>
      </c>
      <c r="B4906" s="1" t="s">
        <v>24</v>
      </c>
      <c r="C4906" s="1">
        <v>0.0</v>
      </c>
      <c r="D4906" s="1" t="s">
        <v>26</v>
      </c>
      <c r="E4906" s="1" t="s">
        <v>26</v>
      </c>
      <c r="F4906" s="1">
        <v>33.0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1">
        <v>107.55</v>
      </c>
      <c r="T4906" s="1">
        <v>3645.5</v>
      </c>
      <c r="U4906" s="1">
        <v>1.0</v>
      </c>
      <c r="V4906" s="1">
        <v>0.0</v>
      </c>
      <c r="W4906" s="1" t="s">
        <v>26</v>
      </c>
    </row>
    <row r="4907" ht="15.75" customHeight="1">
      <c r="A4907" s="1" t="s">
        <v>4944</v>
      </c>
      <c r="B4907" s="1" t="s">
        <v>24</v>
      </c>
      <c r="C4907" s="1">
        <v>0.0</v>
      </c>
      <c r="D4907" s="1" t="s">
        <v>25</v>
      </c>
      <c r="E4907" s="1" t="s">
        <v>25</v>
      </c>
      <c r="F4907" s="1">
        <v>58.0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1">
        <v>19.85</v>
      </c>
      <c r="T4907" s="1">
        <v>1158.85</v>
      </c>
      <c r="U4907" s="1">
        <v>0.0</v>
      </c>
      <c r="V4907" s="1">
        <v>0.0</v>
      </c>
      <c r="W4907" s="1" t="s">
        <v>26</v>
      </c>
    </row>
    <row r="4908" ht="15.75" customHeight="1">
      <c r="A4908" s="1" t="s">
        <v>4945</v>
      </c>
      <c r="B4908" s="1" t="s">
        <v>24</v>
      </c>
      <c r="C4908" s="1">
        <v>0.0</v>
      </c>
      <c r="D4908" s="1" t="s">
        <v>25</v>
      </c>
      <c r="E4908" s="1" t="s">
        <v>25</v>
      </c>
      <c r="F4908" s="1">
        <v>72.0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1">
        <v>95.9</v>
      </c>
      <c r="T4908" s="1">
        <v>6954.15</v>
      </c>
      <c r="U4908" s="1">
        <v>0.0</v>
      </c>
      <c r="V4908" s="1">
        <v>0.0</v>
      </c>
      <c r="W4908" s="1" t="s">
        <v>26</v>
      </c>
    </row>
    <row r="4909" ht="15.75" customHeight="1">
      <c r="A4909" s="1" t="s">
        <v>4946</v>
      </c>
      <c r="B4909" s="1" t="s">
        <v>24</v>
      </c>
      <c r="C4909" s="1">
        <v>0.0</v>
      </c>
      <c r="D4909" s="1" t="s">
        <v>25</v>
      </c>
      <c r="E4909" s="1" t="s">
        <v>26</v>
      </c>
      <c r="F4909" s="1">
        <v>71.0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1">
        <v>23.85</v>
      </c>
      <c r="T4909" s="1">
        <v>1672.1</v>
      </c>
      <c r="U4909" s="1">
        <v>0.0</v>
      </c>
      <c r="V4909" s="1">
        <v>0.0</v>
      </c>
      <c r="W4909" s="1" t="s">
        <v>26</v>
      </c>
    </row>
    <row r="4910" ht="15.75" customHeight="1">
      <c r="A4910" s="1" t="s">
        <v>4947</v>
      </c>
      <c r="B4910" s="1" t="s">
        <v>24</v>
      </c>
      <c r="C4910" s="1">
        <v>1.0</v>
      </c>
      <c r="D4910" s="1" t="s">
        <v>26</v>
      </c>
      <c r="E4910" s="1" t="s">
        <v>26</v>
      </c>
      <c r="F4910" s="1">
        <v>28.0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1">
        <v>106.15</v>
      </c>
      <c r="T4910" s="1">
        <v>3152.5</v>
      </c>
      <c r="U4910" s="1">
        <v>0.0</v>
      </c>
      <c r="V4910" s="1">
        <v>3.0</v>
      </c>
      <c r="W4910" s="1" t="s">
        <v>25</v>
      </c>
    </row>
    <row r="4911" ht="15.75" customHeight="1">
      <c r="A4911" s="1" t="s">
        <v>4948</v>
      </c>
      <c r="B4911" s="1" t="s">
        <v>32</v>
      </c>
      <c r="C4911" s="1">
        <v>0.0</v>
      </c>
      <c r="D4911" s="1" t="s">
        <v>25</v>
      </c>
      <c r="E4911" s="1" t="s">
        <v>26</v>
      </c>
      <c r="F4911" s="1">
        <v>51.0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1">
        <v>83.85</v>
      </c>
      <c r="T4911" s="1">
        <v>4307.1</v>
      </c>
      <c r="U4911" s="1">
        <v>0.0</v>
      </c>
      <c r="V4911" s="1">
        <v>0.0</v>
      </c>
      <c r="W4911" s="1" t="s">
        <v>26</v>
      </c>
    </row>
    <row r="4912" ht="15.75" customHeight="1">
      <c r="A4912" s="1" t="s">
        <v>4949</v>
      </c>
      <c r="B4912" s="1" t="s">
        <v>24</v>
      </c>
      <c r="C4912" s="1">
        <v>0.0</v>
      </c>
      <c r="D4912" s="1" t="s">
        <v>26</v>
      </c>
      <c r="E4912" s="1" t="s">
        <v>26</v>
      </c>
      <c r="F4912" s="1">
        <v>30.0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1">
        <v>85.35</v>
      </c>
      <c r="T4912" s="1">
        <v>2530.4</v>
      </c>
      <c r="U4912" s="1">
        <v>0.0</v>
      </c>
      <c r="V4912" s="1">
        <v>4.0</v>
      </c>
      <c r="W4912" s="1" t="s">
        <v>25</v>
      </c>
    </row>
    <row r="4913" ht="15.75" customHeight="1">
      <c r="A4913" s="1" t="s">
        <v>4950</v>
      </c>
      <c r="B4913" s="1" t="s">
        <v>32</v>
      </c>
      <c r="C4913" s="1">
        <v>1.0</v>
      </c>
      <c r="D4913" s="1" t="s">
        <v>25</v>
      </c>
      <c r="E4913" s="1" t="s">
        <v>26</v>
      </c>
      <c r="F4913" s="1">
        <v>72.0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1">
        <v>84.8</v>
      </c>
      <c r="T4913" s="1">
        <v>6141.65</v>
      </c>
      <c r="U4913" s="1">
        <v>4.0</v>
      </c>
      <c r="V4913" s="1">
        <v>0.0</v>
      </c>
      <c r="W4913" s="1" t="s">
        <v>26</v>
      </c>
    </row>
    <row r="4914" ht="15.75" customHeight="1">
      <c r="A4914" s="1" t="s">
        <v>4951</v>
      </c>
      <c r="B4914" s="1" t="s">
        <v>32</v>
      </c>
      <c r="C4914" s="1">
        <v>1.0</v>
      </c>
      <c r="D4914" s="1" t="s">
        <v>26</v>
      </c>
      <c r="E4914" s="1" t="s">
        <v>26</v>
      </c>
      <c r="F4914" s="1">
        <v>36.0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1">
        <v>90.85</v>
      </c>
      <c r="T4914" s="1">
        <v>3186.7</v>
      </c>
      <c r="U4914" s="1">
        <v>0.0</v>
      </c>
      <c r="V4914" s="1">
        <v>3.0</v>
      </c>
      <c r="W4914" s="1" t="s">
        <v>25</v>
      </c>
    </row>
    <row r="4915" ht="15.75" customHeight="1">
      <c r="A4915" s="1" t="s">
        <v>4952</v>
      </c>
      <c r="B4915" s="1" t="s">
        <v>32</v>
      </c>
      <c r="C4915" s="1">
        <v>0.0</v>
      </c>
      <c r="D4915" s="1" t="s">
        <v>26</v>
      </c>
      <c r="E4915" s="1" t="s">
        <v>25</v>
      </c>
      <c r="F4915" s="1">
        <v>14.0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1">
        <v>76.1</v>
      </c>
      <c r="T4915" s="1">
        <v>1054.8</v>
      </c>
      <c r="U4915" s="1">
        <v>0.0</v>
      </c>
      <c r="V4915" s="1">
        <v>0.0</v>
      </c>
      <c r="W4915" s="1" t="s">
        <v>26</v>
      </c>
    </row>
    <row r="4916" ht="15.75" customHeight="1">
      <c r="A4916" s="1" t="s">
        <v>4953</v>
      </c>
      <c r="B4916" s="1" t="s">
        <v>24</v>
      </c>
      <c r="C4916" s="1">
        <v>0.0</v>
      </c>
      <c r="D4916" s="1" t="s">
        <v>25</v>
      </c>
      <c r="E4916" s="1" t="s">
        <v>25</v>
      </c>
      <c r="F4916" s="1">
        <v>72.0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1">
        <v>74.55</v>
      </c>
      <c r="T4916" s="1">
        <v>5430.65</v>
      </c>
      <c r="U4916" s="1">
        <v>0.0</v>
      </c>
      <c r="V4916" s="1">
        <v>0.0</v>
      </c>
      <c r="W4916" s="1" t="s">
        <v>26</v>
      </c>
    </row>
    <row r="4917" ht="15.75" customHeight="1">
      <c r="A4917" s="1" t="s">
        <v>4954</v>
      </c>
      <c r="B4917" s="1" t="s">
        <v>24</v>
      </c>
      <c r="C4917" s="1">
        <v>0.0</v>
      </c>
      <c r="D4917" s="1" t="s">
        <v>25</v>
      </c>
      <c r="E4917" s="1" t="s">
        <v>25</v>
      </c>
      <c r="F4917" s="1">
        <v>22.0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1">
        <v>39.2</v>
      </c>
      <c r="T4917" s="1">
        <v>849.9</v>
      </c>
      <c r="U4917" s="1">
        <v>4.0</v>
      </c>
      <c r="V4917" s="1">
        <v>0.0</v>
      </c>
      <c r="W4917" s="1" t="s">
        <v>26</v>
      </c>
    </row>
    <row r="4918" ht="15.75" customHeight="1">
      <c r="A4918" s="1" t="s">
        <v>4955</v>
      </c>
      <c r="B4918" s="1" t="s">
        <v>24</v>
      </c>
      <c r="C4918" s="1">
        <v>0.0</v>
      </c>
      <c r="D4918" s="1" t="s">
        <v>26</v>
      </c>
      <c r="E4918" s="1" t="s">
        <v>26</v>
      </c>
      <c r="F4918" s="1">
        <v>2.0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1">
        <v>79.55</v>
      </c>
      <c r="T4918" s="1">
        <v>151.75</v>
      </c>
      <c r="U4918" s="1">
        <v>2.0</v>
      </c>
      <c r="V4918" s="1">
        <v>0.0</v>
      </c>
      <c r="W4918" s="1" t="s">
        <v>26</v>
      </c>
    </row>
    <row r="4919" ht="15.75" customHeight="1">
      <c r="A4919" s="1" t="s">
        <v>4956</v>
      </c>
      <c r="B4919" s="1" t="s">
        <v>24</v>
      </c>
      <c r="C4919" s="1">
        <v>0.0</v>
      </c>
      <c r="D4919" s="1" t="s">
        <v>26</v>
      </c>
      <c r="E4919" s="1" t="s">
        <v>26</v>
      </c>
      <c r="F4919" s="1">
        <v>15.0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1">
        <v>19.6</v>
      </c>
      <c r="T4919" s="1">
        <v>299.4</v>
      </c>
      <c r="U4919" s="1">
        <v>0.0</v>
      </c>
      <c r="V4919" s="1">
        <v>0.0</v>
      </c>
      <c r="W4919" s="1" t="s">
        <v>26</v>
      </c>
    </row>
    <row r="4920" ht="15.75" customHeight="1">
      <c r="A4920" s="1" t="s">
        <v>4957</v>
      </c>
      <c r="B4920" s="1" t="s">
        <v>32</v>
      </c>
      <c r="C4920" s="1">
        <v>0.0</v>
      </c>
      <c r="D4920" s="1" t="s">
        <v>25</v>
      </c>
      <c r="E4920" s="1" t="s">
        <v>25</v>
      </c>
      <c r="F4920" s="1">
        <v>51.0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1">
        <v>19.55</v>
      </c>
      <c r="T4920" s="1">
        <v>1086.75</v>
      </c>
      <c r="U4920" s="1">
        <v>0.0</v>
      </c>
      <c r="V4920" s="1">
        <v>0.0</v>
      </c>
      <c r="W4920" s="1" t="s">
        <v>26</v>
      </c>
    </row>
    <row r="4921" ht="15.75" customHeight="1">
      <c r="A4921" s="1" t="s">
        <v>4958</v>
      </c>
      <c r="B4921" s="1" t="s">
        <v>32</v>
      </c>
      <c r="C4921" s="1">
        <v>0.0</v>
      </c>
      <c r="D4921" s="1" t="s">
        <v>25</v>
      </c>
      <c r="E4921" s="1" t="s">
        <v>26</v>
      </c>
      <c r="F4921" s="1">
        <v>70.0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1">
        <v>39.15</v>
      </c>
      <c r="T4921" s="1">
        <v>2692.75</v>
      </c>
      <c r="U4921" s="1">
        <v>0.0</v>
      </c>
      <c r="V4921" s="1">
        <v>0.0</v>
      </c>
      <c r="W4921" s="1" t="s">
        <v>26</v>
      </c>
    </row>
    <row r="4922" ht="15.75" customHeight="1">
      <c r="A4922" s="1" t="s">
        <v>4959</v>
      </c>
      <c r="B4922" s="1" t="s">
        <v>24</v>
      </c>
      <c r="C4922" s="1">
        <v>0.0</v>
      </c>
      <c r="D4922" s="1" t="s">
        <v>25</v>
      </c>
      <c r="E4922" s="1" t="s">
        <v>25</v>
      </c>
      <c r="F4922" s="1">
        <v>71.0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1">
        <v>20.1</v>
      </c>
      <c r="T4922" s="1">
        <v>1389.6</v>
      </c>
      <c r="U4922" s="1">
        <v>0.0</v>
      </c>
      <c r="V4922" s="1">
        <v>0.0</v>
      </c>
      <c r="W4922" s="1" t="s">
        <v>26</v>
      </c>
    </row>
    <row r="4923" ht="15.75" customHeight="1">
      <c r="A4923" s="1" t="s">
        <v>4960</v>
      </c>
      <c r="B4923" s="1" t="s">
        <v>24</v>
      </c>
      <c r="C4923" s="1">
        <v>0.0</v>
      </c>
      <c r="D4923" s="1" t="s">
        <v>25</v>
      </c>
      <c r="E4923" s="1" t="s">
        <v>25</v>
      </c>
      <c r="F4923" s="1">
        <v>39.0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1">
        <v>99.95</v>
      </c>
      <c r="T4923" s="1">
        <v>3767.4</v>
      </c>
      <c r="U4923" s="1">
        <v>0.0</v>
      </c>
      <c r="V4923" s="1">
        <v>0.0</v>
      </c>
      <c r="W4923" s="1" t="s">
        <v>26</v>
      </c>
    </row>
    <row r="4924" ht="15.75" customHeight="1">
      <c r="A4924" s="1" t="s">
        <v>4961</v>
      </c>
      <c r="B4924" s="1" t="s">
        <v>24</v>
      </c>
      <c r="C4924" s="1">
        <v>0.0</v>
      </c>
      <c r="D4924" s="1" t="s">
        <v>25</v>
      </c>
      <c r="E4924" s="1" t="s">
        <v>25</v>
      </c>
      <c r="F4924" s="1">
        <v>61.0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1">
        <v>59.8</v>
      </c>
      <c r="T4924" s="1">
        <v>3641.5</v>
      </c>
      <c r="U4924" s="1">
        <v>4.0</v>
      </c>
      <c r="V4924" s="1">
        <v>0.0</v>
      </c>
      <c r="W4924" s="1" t="s">
        <v>26</v>
      </c>
    </row>
    <row r="4925" ht="15.75" customHeight="1">
      <c r="A4925" s="1" t="s">
        <v>4962</v>
      </c>
      <c r="B4925" s="1" t="s">
        <v>24</v>
      </c>
      <c r="C4925" s="1">
        <v>0.0</v>
      </c>
      <c r="D4925" s="1" t="s">
        <v>26</v>
      </c>
      <c r="E4925" s="1" t="s">
        <v>26</v>
      </c>
      <c r="F4925" s="1">
        <v>52.0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1">
        <v>49.75</v>
      </c>
      <c r="T4925" s="1">
        <v>2535.55</v>
      </c>
      <c r="U4925" s="1">
        <v>0.0</v>
      </c>
      <c r="V4925" s="1">
        <v>0.0</v>
      </c>
      <c r="W4925" s="1" t="s">
        <v>26</v>
      </c>
    </row>
    <row r="4926" ht="15.75" customHeight="1">
      <c r="A4926" s="1" t="s">
        <v>4963</v>
      </c>
      <c r="B4926" s="1" t="s">
        <v>24</v>
      </c>
      <c r="C4926" s="1">
        <v>0.0</v>
      </c>
      <c r="D4926" s="1" t="s">
        <v>26</v>
      </c>
      <c r="E4926" s="1" t="s">
        <v>26</v>
      </c>
      <c r="F4926" s="1">
        <v>1.0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1">
        <v>35.75</v>
      </c>
      <c r="T4926" s="1">
        <v>35.75</v>
      </c>
      <c r="U4926" s="1">
        <v>0.0</v>
      </c>
      <c r="V4926" s="1">
        <v>0.0</v>
      </c>
      <c r="W4926" s="1" t="s">
        <v>25</v>
      </c>
    </row>
    <row r="4927" ht="15.75" customHeight="1">
      <c r="A4927" s="1" t="s">
        <v>4964</v>
      </c>
      <c r="B4927" s="1" t="s">
        <v>32</v>
      </c>
      <c r="C4927" s="1">
        <v>0.0</v>
      </c>
      <c r="D4927" s="1" t="s">
        <v>25</v>
      </c>
      <c r="E4927" s="1" t="s">
        <v>26</v>
      </c>
      <c r="F4927" s="1">
        <v>64.0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1">
        <v>108.5</v>
      </c>
      <c r="T4927" s="1">
        <v>6880.85</v>
      </c>
      <c r="U4927" s="1">
        <v>0.0</v>
      </c>
      <c r="V4927" s="1">
        <v>0.0</v>
      </c>
      <c r="W4927" s="1" t="s">
        <v>26</v>
      </c>
    </row>
    <row r="4928" ht="15.75" customHeight="1">
      <c r="A4928" s="1" t="s">
        <v>4965</v>
      </c>
      <c r="B4928" s="1" t="s">
        <v>32</v>
      </c>
      <c r="C4928" s="1">
        <v>0.0</v>
      </c>
      <c r="D4928" s="1" t="s">
        <v>25</v>
      </c>
      <c r="E4928" s="1" t="s">
        <v>26</v>
      </c>
      <c r="F4928" s="1">
        <v>62.0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1">
        <v>60.15</v>
      </c>
      <c r="T4928" s="1">
        <v>3753.2</v>
      </c>
      <c r="U4928" s="1">
        <v>0.0</v>
      </c>
      <c r="V4928" s="1">
        <v>0.0</v>
      </c>
      <c r="W4928" s="1" t="s">
        <v>26</v>
      </c>
    </row>
    <row r="4929" ht="15.75" customHeight="1">
      <c r="A4929" s="1" t="s">
        <v>4966</v>
      </c>
      <c r="B4929" s="1" t="s">
        <v>32</v>
      </c>
      <c r="C4929" s="1">
        <v>0.0</v>
      </c>
      <c r="D4929" s="1" t="s">
        <v>25</v>
      </c>
      <c r="E4929" s="1" t="s">
        <v>26</v>
      </c>
      <c r="F4929" s="1">
        <v>30.0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1">
        <v>19.05</v>
      </c>
      <c r="T4929" s="1">
        <v>637.55</v>
      </c>
      <c r="U4929" s="1">
        <v>0.0</v>
      </c>
      <c r="V4929" s="1">
        <v>0.0</v>
      </c>
      <c r="W4929" s="1" t="s">
        <v>26</v>
      </c>
    </row>
    <row r="4930" ht="15.75" customHeight="1">
      <c r="A4930" s="1" t="s">
        <v>4967</v>
      </c>
      <c r="B4930" s="1" t="s">
        <v>24</v>
      </c>
      <c r="C4930" s="1">
        <v>1.0</v>
      </c>
      <c r="D4930" s="1" t="s">
        <v>25</v>
      </c>
      <c r="E4930" s="1" t="s">
        <v>25</v>
      </c>
      <c r="F4930" s="1">
        <v>4.0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1">
        <v>46.0</v>
      </c>
      <c r="T4930" s="1">
        <v>181.6</v>
      </c>
      <c r="U4930" s="1">
        <v>0.0</v>
      </c>
      <c r="V4930" s="1">
        <v>0.0</v>
      </c>
      <c r="W4930" s="1" t="s">
        <v>25</v>
      </c>
    </row>
    <row r="4931" ht="15.75" customHeight="1">
      <c r="A4931" s="1" t="s">
        <v>4968</v>
      </c>
      <c r="B4931" s="1" t="s">
        <v>32</v>
      </c>
      <c r="C4931" s="1">
        <v>1.0</v>
      </c>
      <c r="D4931" s="1" t="s">
        <v>25</v>
      </c>
      <c r="E4931" s="1" t="s">
        <v>26</v>
      </c>
      <c r="F4931" s="1">
        <v>63.0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1">
        <v>84.0</v>
      </c>
      <c r="T4931" s="1">
        <v>5329.55</v>
      </c>
      <c r="U4931" s="1">
        <v>0.0</v>
      </c>
      <c r="V4931" s="1">
        <v>0.0</v>
      </c>
      <c r="W4931" s="1" t="s">
        <v>26</v>
      </c>
    </row>
    <row r="4932" ht="15.75" customHeight="1">
      <c r="A4932" s="1" t="s">
        <v>4969</v>
      </c>
      <c r="B4932" s="1" t="s">
        <v>24</v>
      </c>
      <c r="C4932" s="1">
        <v>0.0</v>
      </c>
      <c r="D4932" s="1" t="s">
        <v>26</v>
      </c>
      <c r="E4932" s="1" t="s">
        <v>26</v>
      </c>
      <c r="F4932" s="1">
        <v>1.0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1">
        <v>44.55</v>
      </c>
      <c r="T4932" s="1">
        <v>44.55</v>
      </c>
      <c r="U4932" s="1">
        <v>0.0</v>
      </c>
      <c r="V4932" s="1">
        <v>0.0</v>
      </c>
      <c r="W4932" s="1" t="s">
        <v>26</v>
      </c>
    </row>
    <row r="4933" ht="15.75" customHeight="1">
      <c r="A4933" s="1" t="s">
        <v>4970</v>
      </c>
      <c r="B4933" s="1" t="s">
        <v>32</v>
      </c>
      <c r="C4933" s="1">
        <v>0.0</v>
      </c>
      <c r="D4933" s="1" t="s">
        <v>25</v>
      </c>
      <c r="E4933" s="1" t="s">
        <v>26</v>
      </c>
      <c r="F4933" s="1">
        <v>15.0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1">
        <v>103.45</v>
      </c>
      <c r="T4933" s="1">
        <v>1539.8</v>
      </c>
      <c r="U4933" s="1">
        <v>0.0</v>
      </c>
      <c r="V4933" s="1">
        <v>0.0</v>
      </c>
      <c r="W4933" s="1" t="s">
        <v>26</v>
      </c>
    </row>
    <row r="4934" ht="15.75" customHeight="1">
      <c r="A4934" s="1" t="s">
        <v>4971</v>
      </c>
      <c r="B4934" s="1" t="s">
        <v>32</v>
      </c>
      <c r="C4934" s="1">
        <v>0.0</v>
      </c>
      <c r="D4934" s="1" t="s">
        <v>25</v>
      </c>
      <c r="E4934" s="1" t="s">
        <v>25</v>
      </c>
      <c r="F4934" s="1">
        <v>27.0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1">
        <v>80.65</v>
      </c>
      <c r="T4934" s="1">
        <v>2209.75</v>
      </c>
      <c r="U4934" s="1">
        <v>0.0</v>
      </c>
      <c r="V4934" s="1">
        <v>0.0</v>
      </c>
      <c r="W4934" s="1" t="s">
        <v>26</v>
      </c>
    </row>
    <row r="4935" ht="15.75" customHeight="1">
      <c r="A4935" s="1" t="s">
        <v>4972</v>
      </c>
      <c r="B4935" s="1" t="s">
        <v>24</v>
      </c>
      <c r="C4935" s="1">
        <v>0.0</v>
      </c>
      <c r="D4935" s="1" t="s">
        <v>26</v>
      </c>
      <c r="E4935" s="1" t="s">
        <v>25</v>
      </c>
      <c r="F4935" s="1">
        <v>4.0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1">
        <v>57.2</v>
      </c>
      <c r="T4935" s="1">
        <v>223.75</v>
      </c>
      <c r="U4935" s="1">
        <v>0.0</v>
      </c>
      <c r="V4935" s="1">
        <v>0.0</v>
      </c>
      <c r="W4935" s="1" t="s">
        <v>26</v>
      </c>
    </row>
    <row r="4936" ht="15.75" customHeight="1">
      <c r="A4936" s="1" t="s">
        <v>4973</v>
      </c>
      <c r="B4936" s="1" t="s">
        <v>24</v>
      </c>
      <c r="C4936" s="1">
        <v>0.0</v>
      </c>
      <c r="D4936" s="1" t="s">
        <v>25</v>
      </c>
      <c r="E4936" s="1" t="s">
        <v>26</v>
      </c>
      <c r="F4936" s="1">
        <v>72.0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1">
        <v>110.75</v>
      </c>
      <c r="T4936" s="1">
        <v>7751.7</v>
      </c>
      <c r="U4936" s="1">
        <v>0.0</v>
      </c>
      <c r="V4936" s="1">
        <v>0.0</v>
      </c>
      <c r="W4936" s="1" t="s">
        <v>26</v>
      </c>
    </row>
    <row r="4937" ht="15.75" customHeight="1">
      <c r="A4937" s="1" t="s">
        <v>4974</v>
      </c>
      <c r="B4937" s="1" t="s">
        <v>32</v>
      </c>
      <c r="C4937" s="1">
        <v>1.0</v>
      </c>
      <c r="D4937" s="1" t="s">
        <v>25</v>
      </c>
      <c r="E4937" s="1" t="s">
        <v>26</v>
      </c>
      <c r="F4937" s="1">
        <v>45.0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1">
        <v>24.7</v>
      </c>
      <c r="T4937" s="1">
        <v>1174.35</v>
      </c>
      <c r="U4937" s="1">
        <v>2.0</v>
      </c>
      <c r="V4937" s="1">
        <v>0.0</v>
      </c>
      <c r="W4937" s="1" t="s">
        <v>26</v>
      </c>
    </row>
    <row r="4938" ht="15.75" customHeight="1">
      <c r="A4938" s="1" t="s">
        <v>4975</v>
      </c>
      <c r="B4938" s="1" t="s">
        <v>24</v>
      </c>
      <c r="C4938" s="1">
        <v>1.0</v>
      </c>
      <c r="D4938" s="1" t="s">
        <v>26</v>
      </c>
      <c r="E4938" s="1" t="s">
        <v>26</v>
      </c>
      <c r="F4938" s="1">
        <v>45.0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1">
        <v>97.05</v>
      </c>
      <c r="T4938" s="1">
        <v>4385.05</v>
      </c>
      <c r="U4938" s="1">
        <v>0.0</v>
      </c>
      <c r="V4938" s="1">
        <v>0.0</v>
      </c>
      <c r="W4938" s="1" t="s">
        <v>26</v>
      </c>
    </row>
    <row r="4939" ht="15.75" customHeight="1">
      <c r="A4939" s="1" t="s">
        <v>4976</v>
      </c>
      <c r="B4939" s="1" t="s">
        <v>24</v>
      </c>
      <c r="C4939" s="1">
        <v>0.0</v>
      </c>
      <c r="D4939" s="1" t="s">
        <v>26</v>
      </c>
      <c r="E4939" s="1" t="s">
        <v>26</v>
      </c>
      <c r="F4939" s="1">
        <v>36.0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1">
        <v>76.35</v>
      </c>
      <c r="T4939" s="1">
        <v>2606.35</v>
      </c>
      <c r="U4939" s="1">
        <v>0.0</v>
      </c>
      <c r="V4939" s="1">
        <v>0.0</v>
      </c>
      <c r="W4939" s="1" t="s">
        <v>26</v>
      </c>
    </row>
    <row r="4940" ht="15.75" customHeight="1">
      <c r="A4940" s="1" t="s">
        <v>4977</v>
      </c>
      <c r="B4940" s="1" t="s">
        <v>32</v>
      </c>
      <c r="C4940" s="1">
        <v>0.0</v>
      </c>
      <c r="D4940" s="1" t="s">
        <v>25</v>
      </c>
      <c r="E4940" s="1" t="s">
        <v>25</v>
      </c>
      <c r="F4940" s="1">
        <v>17.0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1">
        <v>89.4</v>
      </c>
      <c r="T4940" s="1">
        <v>1539.45</v>
      </c>
      <c r="U4940" s="1">
        <v>0.0</v>
      </c>
      <c r="V4940" s="1">
        <v>1.0</v>
      </c>
      <c r="W4940" s="1" t="s">
        <v>25</v>
      </c>
    </row>
    <row r="4941" ht="15.75" customHeight="1">
      <c r="A4941" s="1" t="s">
        <v>4978</v>
      </c>
      <c r="B4941" s="1" t="s">
        <v>32</v>
      </c>
      <c r="C4941" s="1">
        <v>0.0</v>
      </c>
      <c r="D4941" s="1" t="s">
        <v>26</v>
      </c>
      <c r="E4941" s="1" t="s">
        <v>26</v>
      </c>
      <c r="F4941" s="1">
        <v>1.0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1">
        <v>18.9</v>
      </c>
      <c r="T4941" s="1">
        <v>18.9</v>
      </c>
      <c r="U4941" s="1">
        <v>0.0</v>
      </c>
      <c r="V4941" s="1">
        <v>0.0</v>
      </c>
      <c r="W4941" s="1" t="s">
        <v>26</v>
      </c>
    </row>
    <row r="4942" ht="15.75" customHeight="1">
      <c r="A4942" s="1" t="s">
        <v>4979</v>
      </c>
      <c r="B4942" s="1" t="s">
        <v>32</v>
      </c>
      <c r="C4942" s="1">
        <v>1.0</v>
      </c>
      <c r="D4942" s="1" t="s">
        <v>26</v>
      </c>
      <c r="E4942" s="1" t="s">
        <v>26</v>
      </c>
      <c r="F4942" s="1">
        <v>16.0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1">
        <v>74.45</v>
      </c>
      <c r="T4942" s="1">
        <v>1261.35</v>
      </c>
      <c r="U4942" s="1">
        <v>0.0</v>
      </c>
      <c r="V4942" s="1">
        <v>0.0</v>
      </c>
      <c r="W4942" s="1" t="s">
        <v>26</v>
      </c>
    </row>
    <row r="4943" ht="15.75" customHeight="1">
      <c r="A4943" s="1" t="s">
        <v>4980</v>
      </c>
      <c r="B4943" s="1" t="s">
        <v>32</v>
      </c>
      <c r="C4943" s="1">
        <v>0.0</v>
      </c>
      <c r="D4943" s="1" t="s">
        <v>26</v>
      </c>
      <c r="E4943" s="1" t="s">
        <v>26</v>
      </c>
      <c r="F4943" s="1">
        <v>3.0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1">
        <v>19.8</v>
      </c>
      <c r="T4943" s="1">
        <v>58.15</v>
      </c>
      <c r="U4943" s="1">
        <v>0.0</v>
      </c>
      <c r="V4943" s="1">
        <v>0.0</v>
      </c>
      <c r="W4943" s="1" t="s">
        <v>25</v>
      </c>
    </row>
    <row r="4944" ht="15.75" customHeight="1">
      <c r="A4944" s="1" t="s">
        <v>4981</v>
      </c>
      <c r="B4944" s="1" t="s">
        <v>32</v>
      </c>
      <c r="C4944" s="1">
        <v>0.0</v>
      </c>
      <c r="D4944" s="1" t="s">
        <v>25</v>
      </c>
      <c r="E4944" s="1" t="s">
        <v>25</v>
      </c>
      <c r="F4944" s="1">
        <v>4.0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1">
        <v>50.9</v>
      </c>
      <c r="T4944" s="1">
        <v>225.6</v>
      </c>
      <c r="U4944" s="1">
        <v>0.0</v>
      </c>
      <c r="V4944" s="1">
        <v>0.0</v>
      </c>
      <c r="W4944" s="1" t="s">
        <v>25</v>
      </c>
    </row>
    <row r="4945" ht="15.75" customHeight="1">
      <c r="A4945" s="1" t="s">
        <v>4982</v>
      </c>
      <c r="B4945" s="1" t="s">
        <v>24</v>
      </c>
      <c r="C4945" s="1">
        <v>0.0</v>
      </c>
      <c r="D4945" s="1" t="s">
        <v>25</v>
      </c>
      <c r="E4945" s="1" t="s">
        <v>26</v>
      </c>
      <c r="F4945" s="1">
        <v>71.0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1">
        <v>84.4</v>
      </c>
      <c r="T4945" s="1">
        <v>5969.3</v>
      </c>
      <c r="U4945" s="1">
        <v>2.0</v>
      </c>
      <c r="V4945" s="1">
        <v>0.0</v>
      </c>
      <c r="W4945" s="1" t="s">
        <v>26</v>
      </c>
    </row>
    <row r="4946" ht="15.75" customHeight="1">
      <c r="A4946" s="1" t="s">
        <v>4983</v>
      </c>
      <c r="B4946" s="1" t="s">
        <v>32</v>
      </c>
      <c r="C4946" s="1">
        <v>0.0</v>
      </c>
      <c r="D4946" s="1" t="s">
        <v>25</v>
      </c>
      <c r="E4946" s="1" t="s">
        <v>25</v>
      </c>
      <c r="F4946" s="1">
        <v>10.0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1">
        <v>24.4</v>
      </c>
      <c r="T4946" s="1">
        <v>253.9</v>
      </c>
      <c r="U4946" s="1">
        <v>2.0</v>
      </c>
      <c r="V4946" s="1">
        <v>0.0</v>
      </c>
      <c r="W4946" s="1" t="s">
        <v>26</v>
      </c>
    </row>
    <row r="4947" ht="15.75" customHeight="1">
      <c r="A4947" s="1" t="s">
        <v>4984</v>
      </c>
      <c r="B4947" s="1" t="s">
        <v>32</v>
      </c>
      <c r="C4947" s="1">
        <v>0.0</v>
      </c>
      <c r="D4947" s="1" t="s">
        <v>25</v>
      </c>
      <c r="E4947" s="1" t="s">
        <v>25</v>
      </c>
      <c r="F4947" s="1">
        <v>20.0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1">
        <v>20.05</v>
      </c>
      <c r="T4947" s="1">
        <v>400.0</v>
      </c>
      <c r="U4947" s="1">
        <v>0.0</v>
      </c>
      <c r="V4947" s="1">
        <v>0.0</v>
      </c>
      <c r="W4947" s="1" t="s">
        <v>26</v>
      </c>
    </row>
    <row r="4948" ht="15.75" customHeight="1">
      <c r="A4948" s="1" t="s">
        <v>4985</v>
      </c>
      <c r="B4948" s="1" t="s">
        <v>32</v>
      </c>
      <c r="C4948" s="1">
        <v>0.0</v>
      </c>
      <c r="D4948" s="1" t="s">
        <v>26</v>
      </c>
      <c r="E4948" s="1" t="s">
        <v>26</v>
      </c>
      <c r="F4948" s="1">
        <v>4.0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1">
        <v>81.0</v>
      </c>
      <c r="T4948" s="1">
        <v>340.85</v>
      </c>
      <c r="U4948" s="1">
        <v>0.0</v>
      </c>
      <c r="V4948" s="1">
        <v>0.0</v>
      </c>
      <c r="W4948" s="1" t="s">
        <v>25</v>
      </c>
    </row>
    <row r="4949" ht="15.75" customHeight="1">
      <c r="A4949" s="1" t="s">
        <v>4986</v>
      </c>
      <c r="B4949" s="1" t="s">
        <v>32</v>
      </c>
      <c r="C4949" s="1">
        <v>0.0</v>
      </c>
      <c r="D4949" s="1" t="s">
        <v>26</v>
      </c>
      <c r="E4949" s="1" t="s">
        <v>26</v>
      </c>
      <c r="F4949" s="1">
        <v>26.0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1">
        <v>98.35</v>
      </c>
      <c r="T4949" s="1">
        <v>2515.3</v>
      </c>
      <c r="U4949" s="1">
        <v>0.0</v>
      </c>
      <c r="V4949" s="1">
        <v>2.0</v>
      </c>
      <c r="W4949" s="1" t="s">
        <v>25</v>
      </c>
    </row>
    <row r="4950" ht="15.75" customHeight="1">
      <c r="A4950" s="1" t="s">
        <v>4987</v>
      </c>
      <c r="B4950" s="1" t="s">
        <v>24</v>
      </c>
      <c r="C4950" s="1">
        <v>0.0</v>
      </c>
      <c r="D4950" s="1" t="s">
        <v>26</v>
      </c>
      <c r="E4950" s="1" t="s">
        <v>26</v>
      </c>
      <c r="F4950" s="1">
        <v>4.0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1">
        <v>55.5</v>
      </c>
      <c r="T4950" s="1">
        <v>227.35</v>
      </c>
      <c r="U4950" s="1">
        <v>0.0</v>
      </c>
      <c r="V4950" s="1">
        <v>0.0</v>
      </c>
      <c r="W4950" s="1" t="s">
        <v>26</v>
      </c>
    </row>
    <row r="4951" ht="15.75" customHeight="1">
      <c r="A4951" s="1" t="s">
        <v>4988</v>
      </c>
      <c r="B4951" s="1" t="s">
        <v>32</v>
      </c>
      <c r="C4951" s="1">
        <v>0.0</v>
      </c>
      <c r="D4951" s="1" t="s">
        <v>26</v>
      </c>
      <c r="E4951" s="1" t="s">
        <v>26</v>
      </c>
      <c r="F4951" s="1">
        <v>5.0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1">
        <v>51.0</v>
      </c>
      <c r="T4951" s="1">
        <v>305.95</v>
      </c>
      <c r="U4951" s="1">
        <v>0.0</v>
      </c>
      <c r="V4951" s="1">
        <v>0.0</v>
      </c>
      <c r="W4951" s="1" t="s">
        <v>25</v>
      </c>
    </row>
    <row r="4952" ht="15.75" customHeight="1">
      <c r="A4952" s="1" t="s">
        <v>4989</v>
      </c>
      <c r="B4952" s="1" t="s">
        <v>24</v>
      </c>
      <c r="C4952" s="1">
        <v>0.0</v>
      </c>
      <c r="D4952" s="1" t="s">
        <v>25</v>
      </c>
      <c r="E4952" s="1" t="s">
        <v>26</v>
      </c>
      <c r="F4952" s="1">
        <v>4.0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1">
        <v>91.65</v>
      </c>
      <c r="T4952" s="1">
        <v>365.4</v>
      </c>
      <c r="U4952" s="1">
        <v>0.0</v>
      </c>
      <c r="V4952" s="1">
        <v>0.0</v>
      </c>
      <c r="W4952" s="1" t="s">
        <v>25</v>
      </c>
    </row>
    <row r="4953" ht="15.75" customHeight="1">
      <c r="A4953" s="1" t="s">
        <v>4990</v>
      </c>
      <c r="B4953" s="1" t="s">
        <v>32</v>
      </c>
      <c r="C4953" s="1">
        <v>1.0</v>
      </c>
      <c r="D4953" s="1" t="s">
        <v>25</v>
      </c>
      <c r="E4953" s="1" t="s">
        <v>26</v>
      </c>
      <c r="F4953" s="1">
        <v>29.0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1">
        <v>84.3</v>
      </c>
      <c r="T4953" s="1">
        <v>2357.75</v>
      </c>
      <c r="U4953" s="1">
        <v>0.0</v>
      </c>
      <c r="V4953" s="1">
        <v>0.0</v>
      </c>
      <c r="W4953" s="1" t="s">
        <v>26</v>
      </c>
    </row>
    <row r="4954" ht="15.75" customHeight="1">
      <c r="A4954" s="1" t="s">
        <v>4991</v>
      </c>
      <c r="B4954" s="1" t="s">
        <v>32</v>
      </c>
      <c r="C4954" s="1">
        <v>0.0</v>
      </c>
      <c r="D4954" s="1" t="s">
        <v>26</v>
      </c>
      <c r="E4954" s="1" t="s">
        <v>26</v>
      </c>
      <c r="F4954" s="1">
        <v>2.0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1">
        <v>100.2</v>
      </c>
      <c r="T4954" s="1">
        <v>198.5</v>
      </c>
      <c r="U4954" s="1">
        <v>0.0</v>
      </c>
      <c r="V4954" s="1">
        <v>0.0</v>
      </c>
      <c r="W4954" s="1" t="s">
        <v>26</v>
      </c>
    </row>
    <row r="4955" ht="15.75" customHeight="1">
      <c r="A4955" s="1" t="s">
        <v>4992</v>
      </c>
      <c r="B4955" s="1" t="s">
        <v>24</v>
      </c>
      <c r="C4955" s="1">
        <v>0.0</v>
      </c>
      <c r="D4955" s="1" t="s">
        <v>26</v>
      </c>
      <c r="E4955" s="1" t="s">
        <v>26</v>
      </c>
      <c r="F4955" s="1">
        <v>29.0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1">
        <v>19.4</v>
      </c>
      <c r="T4955" s="1">
        <v>554.25</v>
      </c>
      <c r="U4955" s="1">
        <v>0.0</v>
      </c>
      <c r="V4955" s="1">
        <v>0.0</v>
      </c>
      <c r="W4955" s="1" t="s">
        <v>26</v>
      </c>
    </row>
    <row r="4956" ht="15.75" customHeight="1">
      <c r="A4956" s="1" t="s">
        <v>4993</v>
      </c>
      <c r="B4956" s="1" t="s">
        <v>32</v>
      </c>
      <c r="C4956" s="1">
        <v>0.0</v>
      </c>
      <c r="D4956" s="1" t="s">
        <v>26</v>
      </c>
      <c r="E4956" s="1" t="s">
        <v>25</v>
      </c>
      <c r="F4956" s="1">
        <v>1.0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1">
        <v>90.85</v>
      </c>
      <c r="T4956" s="1">
        <v>90.85</v>
      </c>
      <c r="U4956" s="1">
        <v>3.0</v>
      </c>
      <c r="V4956" s="1">
        <v>0.0</v>
      </c>
      <c r="W4956" s="1" t="s">
        <v>25</v>
      </c>
    </row>
    <row r="4957" ht="15.75" customHeight="1">
      <c r="A4957" s="1" t="s">
        <v>4994</v>
      </c>
      <c r="B4957" s="1" t="s">
        <v>32</v>
      </c>
      <c r="C4957" s="1">
        <v>0.0</v>
      </c>
      <c r="D4957" s="1" t="s">
        <v>26</v>
      </c>
      <c r="E4957" s="1" t="s">
        <v>26</v>
      </c>
      <c r="F4957" s="1">
        <v>1.0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1">
        <v>69.4</v>
      </c>
      <c r="T4957" s="1">
        <v>69.4</v>
      </c>
      <c r="U4957" s="1">
        <v>0.0</v>
      </c>
      <c r="V4957" s="1">
        <v>0.0</v>
      </c>
      <c r="W4957" s="1" t="s">
        <v>25</v>
      </c>
    </row>
    <row r="4958" ht="15.75" customHeight="1">
      <c r="A4958" s="1" t="s">
        <v>4995</v>
      </c>
      <c r="B4958" s="1" t="s">
        <v>24</v>
      </c>
      <c r="C4958" s="1">
        <v>1.0</v>
      </c>
      <c r="D4958" s="1" t="s">
        <v>26</v>
      </c>
      <c r="E4958" s="1" t="s">
        <v>26</v>
      </c>
      <c r="F4958" s="1">
        <v>8.0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1">
        <v>94.45</v>
      </c>
      <c r="T4958" s="1">
        <v>742.95</v>
      </c>
      <c r="U4958" s="1">
        <v>0.0</v>
      </c>
      <c r="V4958" s="1">
        <v>0.0</v>
      </c>
      <c r="W4958" s="1" t="s">
        <v>25</v>
      </c>
    </row>
    <row r="4959" ht="15.75" customHeight="1">
      <c r="A4959" s="1" t="s">
        <v>4996</v>
      </c>
      <c r="B4959" s="1" t="s">
        <v>32</v>
      </c>
      <c r="C4959" s="1">
        <v>0.0</v>
      </c>
      <c r="D4959" s="1" t="s">
        <v>26</v>
      </c>
      <c r="E4959" s="1" t="s">
        <v>26</v>
      </c>
      <c r="F4959" s="1">
        <v>13.0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1">
        <v>20.4</v>
      </c>
      <c r="T4959" s="1">
        <v>251.65</v>
      </c>
      <c r="U4959" s="1">
        <v>0.0</v>
      </c>
      <c r="V4959" s="1">
        <v>0.0</v>
      </c>
      <c r="W4959" s="1" t="s">
        <v>26</v>
      </c>
    </row>
    <row r="4960" ht="15.75" customHeight="1">
      <c r="A4960" s="1" t="s">
        <v>4997</v>
      </c>
      <c r="B4960" s="1" t="s">
        <v>24</v>
      </c>
      <c r="C4960" s="1">
        <v>0.0</v>
      </c>
      <c r="D4960" s="1" t="s">
        <v>25</v>
      </c>
      <c r="E4960" s="1" t="s">
        <v>26</v>
      </c>
      <c r="F4960" s="1">
        <v>59.0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1">
        <v>94.75</v>
      </c>
      <c r="T4960" s="1">
        <v>5597.65</v>
      </c>
      <c r="U4960" s="1">
        <v>0.0</v>
      </c>
      <c r="V4960" s="1">
        <v>0.0</v>
      </c>
      <c r="W4960" s="1" t="s">
        <v>26</v>
      </c>
    </row>
    <row r="4961" ht="15.75" customHeight="1">
      <c r="A4961" s="1" t="s">
        <v>4998</v>
      </c>
      <c r="B4961" s="1" t="s">
        <v>24</v>
      </c>
      <c r="C4961" s="1">
        <v>0.0</v>
      </c>
      <c r="D4961" s="1" t="s">
        <v>25</v>
      </c>
      <c r="E4961" s="1" t="s">
        <v>25</v>
      </c>
      <c r="F4961" s="1">
        <v>1.0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1">
        <v>20.15</v>
      </c>
      <c r="T4961" s="1">
        <v>20.15</v>
      </c>
      <c r="U4961" s="1">
        <v>0.0</v>
      </c>
      <c r="V4961" s="1">
        <v>0.0</v>
      </c>
      <c r="W4961" s="1" t="s">
        <v>25</v>
      </c>
    </row>
    <row r="4962" ht="15.75" customHeight="1">
      <c r="A4962" s="1" t="s">
        <v>4999</v>
      </c>
      <c r="B4962" s="1" t="s">
        <v>32</v>
      </c>
      <c r="C4962" s="1">
        <v>1.0</v>
      </c>
      <c r="D4962" s="1" t="s">
        <v>26</v>
      </c>
      <c r="E4962" s="1" t="s">
        <v>26</v>
      </c>
      <c r="F4962" s="1">
        <v>50.0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1">
        <v>95.7</v>
      </c>
      <c r="T4962" s="1">
        <v>4816.7</v>
      </c>
      <c r="U4962" s="1">
        <v>3.0</v>
      </c>
      <c r="V4962" s="1">
        <v>3.0</v>
      </c>
      <c r="W4962" s="1" t="s">
        <v>25</v>
      </c>
    </row>
    <row r="4963" ht="15.75" customHeight="1">
      <c r="A4963" s="1" t="s">
        <v>5000</v>
      </c>
      <c r="B4963" s="1" t="s">
        <v>32</v>
      </c>
      <c r="C4963" s="1">
        <v>0.0</v>
      </c>
      <c r="D4963" s="1" t="s">
        <v>25</v>
      </c>
      <c r="E4963" s="1" t="s">
        <v>26</v>
      </c>
      <c r="F4963" s="1">
        <v>18.0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1">
        <v>44.35</v>
      </c>
      <c r="T4963" s="1">
        <v>768.05</v>
      </c>
      <c r="U4963" s="1">
        <v>0.0</v>
      </c>
      <c r="V4963" s="1">
        <v>0.0</v>
      </c>
      <c r="W4963" s="1" t="s">
        <v>26</v>
      </c>
    </row>
    <row r="4964" ht="15.75" customHeight="1">
      <c r="A4964" s="1" t="s">
        <v>5001</v>
      </c>
      <c r="B4964" s="1" t="s">
        <v>24</v>
      </c>
      <c r="C4964" s="1">
        <v>0.0</v>
      </c>
      <c r="D4964" s="1" t="s">
        <v>25</v>
      </c>
      <c r="E4964" s="1" t="s">
        <v>25</v>
      </c>
      <c r="F4964" s="1">
        <v>17.0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1">
        <v>74.55</v>
      </c>
      <c r="T4964" s="1">
        <v>1215.8</v>
      </c>
      <c r="U4964" s="1">
        <v>0.0</v>
      </c>
      <c r="V4964" s="1">
        <v>0.0</v>
      </c>
      <c r="W4964" s="1" t="s">
        <v>26</v>
      </c>
    </row>
    <row r="4965" ht="15.75" customHeight="1">
      <c r="A4965" s="1" t="s">
        <v>5002</v>
      </c>
      <c r="B4965" s="1" t="s">
        <v>32</v>
      </c>
      <c r="C4965" s="1">
        <v>0.0</v>
      </c>
      <c r="D4965" s="1" t="s">
        <v>25</v>
      </c>
      <c r="E4965" s="1" t="s">
        <v>26</v>
      </c>
      <c r="F4965" s="1">
        <v>47.0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1">
        <v>73.6</v>
      </c>
      <c r="T4965" s="1">
        <v>3522.65</v>
      </c>
      <c r="U4965" s="1">
        <v>0.0</v>
      </c>
      <c r="V4965" s="1">
        <v>0.0</v>
      </c>
      <c r="W4965" s="1" t="s">
        <v>26</v>
      </c>
    </row>
    <row r="4966" ht="15.75" customHeight="1">
      <c r="A4966" s="1" t="s">
        <v>5003</v>
      </c>
      <c r="B4966" s="1" t="s">
        <v>24</v>
      </c>
      <c r="C4966" s="1">
        <v>0.0</v>
      </c>
      <c r="D4966" s="1" t="s">
        <v>26</v>
      </c>
      <c r="E4966" s="1" t="s">
        <v>26</v>
      </c>
      <c r="F4966" s="1">
        <v>26.0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1">
        <v>74.95</v>
      </c>
      <c r="T4966" s="1">
        <v>1834.95</v>
      </c>
      <c r="U4966" s="1">
        <v>0.0</v>
      </c>
      <c r="V4966" s="1">
        <v>0.0</v>
      </c>
      <c r="W4966" s="1" t="s">
        <v>25</v>
      </c>
    </row>
    <row r="4967" ht="15.75" customHeight="1">
      <c r="A4967" s="1" t="s">
        <v>5004</v>
      </c>
      <c r="B4967" s="1" t="s">
        <v>24</v>
      </c>
      <c r="C4967" s="1">
        <v>0.0</v>
      </c>
      <c r="D4967" s="1" t="s">
        <v>26</v>
      </c>
      <c r="E4967" s="1" t="s">
        <v>26</v>
      </c>
      <c r="F4967" s="1">
        <v>6.0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1">
        <v>47.95</v>
      </c>
      <c r="T4967" s="1">
        <v>305.1</v>
      </c>
      <c r="U4967" s="1">
        <v>0.0</v>
      </c>
      <c r="V4967" s="1">
        <v>0.0</v>
      </c>
      <c r="W4967" s="1" t="s">
        <v>25</v>
      </c>
    </row>
    <row r="4968" ht="15.75" customHeight="1">
      <c r="A4968" s="1" t="s">
        <v>5005</v>
      </c>
      <c r="B4968" s="1" t="s">
        <v>32</v>
      </c>
      <c r="C4968" s="1">
        <v>0.0</v>
      </c>
      <c r="D4968" s="1" t="s">
        <v>25</v>
      </c>
      <c r="E4968" s="1" t="s">
        <v>25</v>
      </c>
      <c r="F4968" s="1">
        <v>19.0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1">
        <v>50.1</v>
      </c>
      <c r="T4968" s="1">
        <v>910.45</v>
      </c>
      <c r="U4968" s="1">
        <v>0.0</v>
      </c>
      <c r="V4968" s="1">
        <v>0.0</v>
      </c>
      <c r="W4968" s="1" t="s">
        <v>26</v>
      </c>
    </row>
    <row r="4969" ht="15.75" customHeight="1">
      <c r="A4969" s="1" t="s">
        <v>5006</v>
      </c>
      <c r="B4969" s="1" t="s">
        <v>24</v>
      </c>
      <c r="C4969" s="1">
        <v>0.0</v>
      </c>
      <c r="D4969" s="1" t="s">
        <v>26</v>
      </c>
      <c r="E4969" s="1" t="s">
        <v>26</v>
      </c>
      <c r="F4969" s="1">
        <v>3.0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1">
        <v>63.6</v>
      </c>
      <c r="T4969" s="1">
        <v>155.65</v>
      </c>
      <c r="U4969" s="1">
        <v>0.0</v>
      </c>
      <c r="V4969" s="1">
        <v>0.0</v>
      </c>
      <c r="W4969" s="1" t="s">
        <v>25</v>
      </c>
    </row>
    <row r="4970" ht="15.75" customHeight="1">
      <c r="A4970" s="1" t="s">
        <v>5007</v>
      </c>
      <c r="B4970" s="1" t="s">
        <v>24</v>
      </c>
      <c r="C4970" s="1">
        <v>1.0</v>
      </c>
      <c r="D4970" s="1" t="s">
        <v>25</v>
      </c>
      <c r="E4970" s="1" t="s">
        <v>25</v>
      </c>
      <c r="F4970" s="1">
        <v>68.0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1">
        <v>53.0</v>
      </c>
      <c r="T4970" s="1">
        <v>3656.25</v>
      </c>
      <c r="U4970" s="1">
        <v>2.0</v>
      </c>
      <c r="V4970" s="1">
        <v>0.0</v>
      </c>
      <c r="W4970" s="1" t="s">
        <v>26</v>
      </c>
    </row>
    <row r="4971" ht="15.75" customHeight="1">
      <c r="A4971" s="1" t="s">
        <v>5008</v>
      </c>
      <c r="B4971" s="1" t="s">
        <v>24</v>
      </c>
      <c r="C4971" s="1">
        <v>0.0</v>
      </c>
      <c r="D4971" s="1" t="s">
        <v>25</v>
      </c>
      <c r="E4971" s="1" t="s">
        <v>26</v>
      </c>
      <c r="F4971" s="1">
        <v>2.0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1">
        <v>19.85</v>
      </c>
      <c r="T4971" s="1">
        <v>52.0</v>
      </c>
      <c r="U4971" s="1">
        <v>5.0</v>
      </c>
      <c r="V4971" s="1">
        <v>0.0</v>
      </c>
      <c r="W4971" s="1" t="s">
        <v>26</v>
      </c>
    </row>
    <row r="4972" ht="15.75" customHeight="1">
      <c r="A4972" s="1" t="s">
        <v>5009</v>
      </c>
      <c r="B4972" s="1" t="s">
        <v>32</v>
      </c>
      <c r="C4972" s="1">
        <v>0.0</v>
      </c>
      <c r="D4972" s="1" t="s">
        <v>26</v>
      </c>
      <c r="E4972" s="1" t="s">
        <v>26</v>
      </c>
      <c r="F4972" s="1">
        <v>7.0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1">
        <v>24.35</v>
      </c>
      <c r="T4972" s="1">
        <v>150.85</v>
      </c>
      <c r="U4972" s="1">
        <v>0.0</v>
      </c>
      <c r="V4972" s="1">
        <v>0.0</v>
      </c>
      <c r="W4972" s="1" t="s">
        <v>26</v>
      </c>
    </row>
    <row r="4973" ht="15.75" customHeight="1">
      <c r="A4973" s="1" t="s">
        <v>5010</v>
      </c>
      <c r="B4973" s="1" t="s">
        <v>24</v>
      </c>
      <c r="C4973" s="1">
        <v>0.0</v>
      </c>
      <c r="D4973" s="1" t="s">
        <v>26</v>
      </c>
      <c r="E4973" s="1" t="s">
        <v>26</v>
      </c>
      <c r="F4973" s="1">
        <v>18.0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1">
        <v>19.55</v>
      </c>
      <c r="T4973" s="1">
        <v>389.25</v>
      </c>
      <c r="U4973" s="1">
        <v>0.0</v>
      </c>
      <c r="V4973" s="1">
        <v>0.0</v>
      </c>
      <c r="W4973" s="1" t="s">
        <v>26</v>
      </c>
    </row>
    <row r="4974" ht="15.75" customHeight="1">
      <c r="A4974" s="1" t="s">
        <v>5011</v>
      </c>
      <c r="B4974" s="1" t="s">
        <v>24</v>
      </c>
      <c r="C4974" s="1">
        <v>0.0</v>
      </c>
      <c r="D4974" s="1" t="s">
        <v>25</v>
      </c>
      <c r="E4974" s="1" t="s">
        <v>26</v>
      </c>
      <c r="F4974" s="1">
        <v>71.0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1">
        <v>25.05</v>
      </c>
      <c r="T4974" s="1">
        <v>1873.7</v>
      </c>
      <c r="U4974" s="1">
        <v>0.0</v>
      </c>
      <c r="V4974" s="1">
        <v>0.0</v>
      </c>
      <c r="W4974" s="1" t="s">
        <v>26</v>
      </c>
    </row>
    <row r="4975" ht="15.75" customHeight="1">
      <c r="A4975" s="1" t="s">
        <v>5012</v>
      </c>
      <c r="B4975" s="1" t="s">
        <v>32</v>
      </c>
      <c r="C4975" s="1">
        <v>1.0</v>
      </c>
      <c r="D4975" s="1" t="s">
        <v>25</v>
      </c>
      <c r="E4975" s="1" t="s">
        <v>26</v>
      </c>
      <c r="F4975" s="1">
        <v>13.0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1">
        <v>93.8</v>
      </c>
      <c r="T4975" s="1">
        <v>1261.0</v>
      </c>
      <c r="U4975" s="1">
        <v>0.0</v>
      </c>
      <c r="V4975" s="1">
        <v>0.0</v>
      </c>
      <c r="W4975" s="1" t="s">
        <v>26</v>
      </c>
    </row>
    <row r="4976" ht="15.75" customHeight="1">
      <c r="A4976" s="1" t="s">
        <v>5013</v>
      </c>
      <c r="B4976" s="1" t="s">
        <v>32</v>
      </c>
      <c r="C4976" s="1">
        <v>0.0</v>
      </c>
      <c r="D4976" s="1" t="s">
        <v>26</v>
      </c>
      <c r="E4976" s="1" t="s">
        <v>26</v>
      </c>
      <c r="F4976" s="1">
        <v>3.0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1">
        <v>36.85</v>
      </c>
      <c r="T4976" s="1">
        <v>108.7</v>
      </c>
      <c r="U4976" s="1">
        <v>4.0</v>
      </c>
      <c r="V4976" s="1">
        <v>0.0</v>
      </c>
      <c r="W4976" s="1" t="s">
        <v>25</v>
      </c>
    </row>
    <row r="4977" ht="15.75" customHeight="1">
      <c r="A4977" s="1" t="s">
        <v>5014</v>
      </c>
      <c r="B4977" s="1" t="s">
        <v>32</v>
      </c>
      <c r="C4977" s="1">
        <v>0.0</v>
      </c>
      <c r="D4977" s="1" t="s">
        <v>25</v>
      </c>
      <c r="E4977" s="1" t="s">
        <v>26</v>
      </c>
      <c r="F4977" s="1">
        <v>72.0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1">
        <v>103.75</v>
      </c>
      <c r="T4977" s="1">
        <v>7346.2</v>
      </c>
      <c r="U4977" s="1">
        <v>0.0</v>
      </c>
      <c r="V4977" s="1">
        <v>0.0</v>
      </c>
      <c r="W4977" s="1" t="s">
        <v>26</v>
      </c>
    </row>
    <row r="4978" ht="15.75" customHeight="1">
      <c r="A4978" s="1" t="s">
        <v>5015</v>
      </c>
      <c r="B4978" s="1" t="s">
        <v>32</v>
      </c>
      <c r="C4978" s="1">
        <v>0.0</v>
      </c>
      <c r="D4978" s="1" t="s">
        <v>25</v>
      </c>
      <c r="E4978" s="1" t="s">
        <v>25</v>
      </c>
      <c r="F4978" s="1">
        <v>66.0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1">
        <v>56.75</v>
      </c>
      <c r="T4978" s="1">
        <v>3708.4</v>
      </c>
      <c r="U4978" s="1">
        <v>0.0</v>
      </c>
      <c r="V4978" s="1">
        <v>0.0</v>
      </c>
      <c r="W4978" s="1" t="s">
        <v>26</v>
      </c>
    </row>
    <row r="4979" ht="15.75" customHeight="1">
      <c r="A4979" s="1" t="s">
        <v>5016</v>
      </c>
      <c r="B4979" s="1" t="s">
        <v>32</v>
      </c>
      <c r="C4979" s="1">
        <v>0.0</v>
      </c>
      <c r="D4979" s="1" t="s">
        <v>25</v>
      </c>
      <c r="E4979" s="1" t="s">
        <v>25</v>
      </c>
      <c r="F4979" s="1">
        <v>24.0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1">
        <v>20.8</v>
      </c>
      <c r="T4979" s="1">
        <v>469.65</v>
      </c>
      <c r="U4979" s="1">
        <v>0.0</v>
      </c>
      <c r="V4979" s="1">
        <v>0.0</v>
      </c>
      <c r="W4979" s="1" t="s">
        <v>26</v>
      </c>
    </row>
    <row r="4980" ht="15.75" customHeight="1">
      <c r="A4980" s="1" t="s">
        <v>5017</v>
      </c>
      <c r="B4980" s="1" t="s">
        <v>24</v>
      </c>
      <c r="C4980" s="1">
        <v>0.0</v>
      </c>
      <c r="D4980" s="1" t="s">
        <v>26</v>
      </c>
      <c r="E4980" s="1" t="s">
        <v>26</v>
      </c>
      <c r="F4980" s="1">
        <v>1.0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1">
        <v>44.1</v>
      </c>
      <c r="T4980" s="1">
        <v>44.1</v>
      </c>
      <c r="U4980" s="1">
        <v>0.0</v>
      </c>
      <c r="V4980" s="1">
        <v>0.0</v>
      </c>
      <c r="W4980" s="1" t="s">
        <v>25</v>
      </c>
    </row>
    <row r="4981" ht="15.75" customHeight="1">
      <c r="A4981" s="1" t="s">
        <v>5018</v>
      </c>
      <c r="B4981" s="1" t="s">
        <v>24</v>
      </c>
      <c r="C4981" s="1">
        <v>0.0</v>
      </c>
      <c r="D4981" s="1" t="s">
        <v>25</v>
      </c>
      <c r="E4981" s="1" t="s">
        <v>25</v>
      </c>
      <c r="F4981" s="1">
        <v>56.0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1">
        <v>24.45</v>
      </c>
      <c r="T4981" s="1">
        <v>1385.85</v>
      </c>
      <c r="U4981" s="1">
        <v>0.0</v>
      </c>
      <c r="V4981" s="1">
        <v>0.0</v>
      </c>
      <c r="W4981" s="1" t="s">
        <v>26</v>
      </c>
    </row>
    <row r="4982" ht="15.75" customHeight="1">
      <c r="A4982" s="1" t="s">
        <v>5019</v>
      </c>
      <c r="B4982" s="1" t="s">
        <v>24</v>
      </c>
      <c r="C4982" s="1">
        <v>1.0</v>
      </c>
      <c r="D4982" s="1" t="s">
        <v>25</v>
      </c>
      <c r="E4982" s="1" t="s">
        <v>26</v>
      </c>
      <c r="F4982" s="1">
        <v>22.0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1">
        <v>25.6</v>
      </c>
      <c r="T4982" s="1">
        <v>548.8</v>
      </c>
      <c r="U4982" s="1">
        <v>0.0</v>
      </c>
      <c r="V4982" s="1">
        <v>0.0</v>
      </c>
      <c r="W4982" s="1" t="s">
        <v>26</v>
      </c>
    </row>
    <row r="4983" ht="15.75" customHeight="1">
      <c r="A4983" s="1" t="s">
        <v>5020</v>
      </c>
      <c r="B4983" s="1" t="s">
        <v>32</v>
      </c>
      <c r="C4983" s="1">
        <v>0.0</v>
      </c>
      <c r="D4983" s="1" t="s">
        <v>26</v>
      </c>
      <c r="E4983" s="1" t="s">
        <v>26</v>
      </c>
      <c r="F4983" s="1">
        <v>14.0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1">
        <v>50.75</v>
      </c>
      <c r="T4983" s="1">
        <v>712.75</v>
      </c>
      <c r="U4983" s="1">
        <v>0.0</v>
      </c>
      <c r="V4983" s="1">
        <v>1.0</v>
      </c>
      <c r="W4983" s="1" t="s">
        <v>25</v>
      </c>
    </row>
    <row r="4984" ht="15.75" customHeight="1">
      <c r="A4984" s="1" t="s">
        <v>5021</v>
      </c>
      <c r="B4984" s="1" t="s">
        <v>24</v>
      </c>
      <c r="C4984" s="1">
        <v>1.0</v>
      </c>
      <c r="D4984" s="1" t="s">
        <v>25</v>
      </c>
      <c r="E4984" s="1" t="s">
        <v>26</v>
      </c>
      <c r="F4984" s="1">
        <v>61.0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1">
        <v>104.4</v>
      </c>
      <c r="T4984" s="1">
        <v>6405.0</v>
      </c>
      <c r="U4984" s="1">
        <v>0.0</v>
      </c>
      <c r="V4984" s="1">
        <v>6.0</v>
      </c>
      <c r="W4984" s="1" t="s">
        <v>25</v>
      </c>
    </row>
    <row r="4985" ht="15.75" customHeight="1">
      <c r="A4985" s="1" t="s">
        <v>5022</v>
      </c>
      <c r="B4985" s="1" t="s">
        <v>24</v>
      </c>
      <c r="C4985" s="1">
        <v>1.0</v>
      </c>
      <c r="D4985" s="1" t="s">
        <v>25</v>
      </c>
      <c r="E4985" s="1" t="s">
        <v>26</v>
      </c>
      <c r="F4985" s="1">
        <v>40.0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1">
        <v>39.3</v>
      </c>
      <c r="T4985" s="1">
        <v>1637.4</v>
      </c>
      <c r="U4985" s="1">
        <v>0.0</v>
      </c>
      <c r="V4985" s="1">
        <v>3.0</v>
      </c>
      <c r="W4985" s="1" t="s">
        <v>25</v>
      </c>
    </row>
    <row r="4986" ht="15.75" customHeight="1">
      <c r="A4986" s="1" t="s">
        <v>5023</v>
      </c>
      <c r="B4986" s="1" t="s">
        <v>24</v>
      </c>
      <c r="C4986" s="1">
        <v>0.0</v>
      </c>
      <c r="D4986" s="1" t="s">
        <v>26</v>
      </c>
      <c r="E4986" s="1" t="s">
        <v>26</v>
      </c>
      <c r="F4986" s="1">
        <v>42.0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1">
        <v>59.65</v>
      </c>
      <c r="T4986" s="1">
        <v>2536.55</v>
      </c>
      <c r="U4986" s="1">
        <v>0.0</v>
      </c>
      <c r="V4986" s="1">
        <v>0.0</v>
      </c>
      <c r="W4986" s="1" t="s">
        <v>26</v>
      </c>
    </row>
    <row r="4987" ht="15.75" customHeight="1">
      <c r="A4987" s="1" t="s">
        <v>5024</v>
      </c>
      <c r="B4987" s="1" t="s">
        <v>24</v>
      </c>
      <c r="C4987" s="1">
        <v>0.0</v>
      </c>
      <c r="D4987" s="1" t="s">
        <v>25</v>
      </c>
      <c r="E4987" s="1" t="s">
        <v>25</v>
      </c>
      <c r="F4987" s="1">
        <v>72.0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1">
        <v>83.3</v>
      </c>
      <c r="T4987" s="1">
        <v>6042.7</v>
      </c>
      <c r="U4987" s="1">
        <v>0.0</v>
      </c>
      <c r="V4987" s="1">
        <v>0.0</v>
      </c>
      <c r="W4987" s="1" t="s">
        <v>26</v>
      </c>
    </row>
    <row r="4988" ht="15.75" customHeight="1">
      <c r="A4988" s="1" t="s">
        <v>5025</v>
      </c>
      <c r="B4988" s="1" t="s">
        <v>24</v>
      </c>
      <c r="C4988" s="1">
        <v>0.0</v>
      </c>
      <c r="D4988" s="1" t="s">
        <v>26</v>
      </c>
      <c r="E4988" s="1" t="s">
        <v>26</v>
      </c>
      <c r="F4988" s="1">
        <v>12.0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1">
        <v>79.55</v>
      </c>
      <c r="T4988" s="1">
        <v>958.25</v>
      </c>
      <c r="U4988" s="1">
        <v>2.0</v>
      </c>
      <c r="V4988" s="1">
        <v>0.0</v>
      </c>
      <c r="W4988" s="1" t="s">
        <v>26</v>
      </c>
    </row>
    <row r="4989" ht="15.75" customHeight="1">
      <c r="A4989" s="1" t="s">
        <v>5026</v>
      </c>
      <c r="B4989" s="1" t="s">
        <v>32</v>
      </c>
      <c r="C4989" s="1">
        <v>0.0</v>
      </c>
      <c r="D4989" s="1" t="s">
        <v>25</v>
      </c>
      <c r="E4989" s="1" t="s">
        <v>26</v>
      </c>
      <c r="F4989" s="1">
        <v>71.0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1">
        <v>24.45</v>
      </c>
      <c r="T4989" s="1">
        <v>1730.65</v>
      </c>
      <c r="U4989" s="1">
        <v>0.0</v>
      </c>
      <c r="V4989" s="1">
        <v>0.0</v>
      </c>
      <c r="W4989" s="1" t="s">
        <v>26</v>
      </c>
    </row>
    <row r="4990" ht="15.75" customHeight="1">
      <c r="A4990" s="1" t="s">
        <v>5027</v>
      </c>
      <c r="B4990" s="1" t="s">
        <v>24</v>
      </c>
      <c r="C4990" s="1">
        <v>0.0</v>
      </c>
      <c r="D4990" s="1" t="s">
        <v>25</v>
      </c>
      <c r="E4990" s="1" t="s">
        <v>26</v>
      </c>
      <c r="F4990" s="1">
        <v>26.0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1">
        <v>19.2</v>
      </c>
      <c r="T4990" s="1">
        <v>459.6</v>
      </c>
      <c r="U4990" s="1">
        <v>4.0</v>
      </c>
      <c r="V4990" s="1">
        <v>0.0</v>
      </c>
      <c r="W4990" s="1" t="s">
        <v>26</v>
      </c>
    </row>
    <row r="4991" ht="15.75" customHeight="1">
      <c r="A4991" s="1" t="s">
        <v>5028</v>
      </c>
      <c r="B4991" s="1" t="s">
        <v>24</v>
      </c>
      <c r="C4991" s="1">
        <v>0.0</v>
      </c>
      <c r="D4991" s="1" t="s">
        <v>26</v>
      </c>
      <c r="E4991" s="1" t="s">
        <v>25</v>
      </c>
      <c r="F4991" s="1">
        <v>7.0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1">
        <v>29.8</v>
      </c>
      <c r="T4991" s="1">
        <v>201.95</v>
      </c>
      <c r="U4991" s="1">
        <v>0.0</v>
      </c>
      <c r="V4991" s="1">
        <v>0.0</v>
      </c>
      <c r="W4991" s="1" t="s">
        <v>26</v>
      </c>
    </row>
    <row r="4992" ht="15.75" customHeight="1">
      <c r="A4992" s="1" t="s">
        <v>5029</v>
      </c>
      <c r="B4992" s="1" t="s">
        <v>24</v>
      </c>
      <c r="C4992" s="1">
        <v>0.0</v>
      </c>
      <c r="D4992" s="1" t="s">
        <v>25</v>
      </c>
      <c r="E4992" s="1" t="s">
        <v>25</v>
      </c>
      <c r="F4992" s="1">
        <v>6.0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1">
        <v>45.5</v>
      </c>
      <c r="T4992" s="1">
        <v>285.2</v>
      </c>
      <c r="U4992" s="1">
        <v>0.0</v>
      </c>
      <c r="V4992" s="1">
        <v>0.0</v>
      </c>
      <c r="W4992" s="1" t="s">
        <v>26</v>
      </c>
    </row>
    <row r="4993" ht="15.75" customHeight="1">
      <c r="A4993" s="1" t="s">
        <v>5030</v>
      </c>
      <c r="B4993" s="1" t="s">
        <v>24</v>
      </c>
      <c r="C4993" s="1">
        <v>0.0</v>
      </c>
      <c r="D4993" s="1" t="s">
        <v>26</v>
      </c>
      <c r="E4993" s="1" t="s">
        <v>26</v>
      </c>
      <c r="F4993" s="1">
        <v>58.0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1">
        <v>106.45</v>
      </c>
      <c r="T4993" s="1">
        <v>6145.85</v>
      </c>
      <c r="U4993" s="1">
        <v>0.0</v>
      </c>
      <c r="V4993" s="1">
        <v>6.0</v>
      </c>
      <c r="W4993" s="1" t="s">
        <v>25</v>
      </c>
    </row>
    <row r="4994" ht="15.75" customHeight="1">
      <c r="A4994" s="1" t="s">
        <v>5031</v>
      </c>
      <c r="B4994" s="1" t="s">
        <v>32</v>
      </c>
      <c r="C4994" s="1">
        <v>0.0</v>
      </c>
      <c r="D4994" s="1" t="s">
        <v>25</v>
      </c>
      <c r="E4994" s="1" t="s">
        <v>26</v>
      </c>
      <c r="F4994" s="1">
        <v>51.0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1">
        <v>30.05</v>
      </c>
      <c r="T4994" s="1">
        <v>1529.45</v>
      </c>
      <c r="U4994" s="1">
        <v>0.0</v>
      </c>
      <c r="V4994" s="1">
        <v>0.0</v>
      </c>
      <c r="W4994" s="1" t="s">
        <v>26</v>
      </c>
    </row>
    <row r="4995" ht="15.75" customHeight="1">
      <c r="A4995" s="1" t="s">
        <v>5032</v>
      </c>
      <c r="B4995" s="1" t="s">
        <v>32</v>
      </c>
      <c r="C4995" s="1">
        <v>0.0</v>
      </c>
      <c r="D4995" s="1" t="s">
        <v>25</v>
      </c>
      <c r="E4995" s="1" t="s">
        <v>25</v>
      </c>
      <c r="F4995" s="1">
        <v>72.0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1">
        <v>65.65</v>
      </c>
      <c r="T4995" s="1">
        <v>4664.5</v>
      </c>
      <c r="U4995" s="1">
        <v>0.0</v>
      </c>
      <c r="V4995" s="1">
        <v>0.0</v>
      </c>
      <c r="W4995" s="1" t="s">
        <v>26</v>
      </c>
    </row>
    <row r="4996" ht="15.75" customHeight="1">
      <c r="A4996" s="1" t="s">
        <v>5033</v>
      </c>
      <c r="B4996" s="1" t="s">
        <v>24</v>
      </c>
      <c r="C4996" s="1">
        <v>0.0</v>
      </c>
      <c r="D4996" s="1" t="s">
        <v>26</v>
      </c>
      <c r="E4996" s="1" t="s">
        <v>26</v>
      </c>
      <c r="F4996" s="1">
        <v>18.0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1">
        <v>96.05</v>
      </c>
      <c r="T4996" s="1">
        <v>1740.7</v>
      </c>
      <c r="U4996" s="1">
        <v>0.0</v>
      </c>
      <c r="V4996" s="1">
        <v>1.0</v>
      </c>
      <c r="W4996" s="1" t="s">
        <v>25</v>
      </c>
    </row>
    <row r="4997" ht="15.75" customHeight="1">
      <c r="A4997" s="1" t="s">
        <v>5034</v>
      </c>
      <c r="B4997" s="1" t="s">
        <v>24</v>
      </c>
      <c r="C4997" s="1">
        <v>0.0</v>
      </c>
      <c r="D4997" s="1" t="s">
        <v>26</v>
      </c>
      <c r="E4997" s="1" t="s">
        <v>26</v>
      </c>
      <c r="F4997" s="1">
        <v>7.0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1">
        <v>75.1</v>
      </c>
      <c r="T4997" s="1">
        <v>552.95</v>
      </c>
      <c r="U4997" s="1">
        <v>0.0</v>
      </c>
      <c r="V4997" s="1">
        <v>0.0</v>
      </c>
      <c r="W4997" s="1" t="s">
        <v>25</v>
      </c>
    </row>
    <row r="4998" ht="15.75" customHeight="1">
      <c r="A4998" s="1" t="s">
        <v>5035</v>
      </c>
      <c r="B4998" s="1" t="s">
        <v>24</v>
      </c>
      <c r="C4998" s="1">
        <v>0.0</v>
      </c>
      <c r="D4998" s="1" t="s">
        <v>26</v>
      </c>
      <c r="E4998" s="1" t="s">
        <v>26</v>
      </c>
      <c r="F4998" s="1">
        <v>47.0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1">
        <v>74.05</v>
      </c>
      <c r="T4998" s="1">
        <v>3496.3</v>
      </c>
      <c r="U4998" s="1">
        <v>0.0</v>
      </c>
      <c r="V4998" s="1">
        <v>0.0</v>
      </c>
      <c r="W4998" s="1" t="s">
        <v>26</v>
      </c>
    </row>
    <row r="4999" ht="15.75" customHeight="1">
      <c r="A4999" s="1" t="s">
        <v>5036</v>
      </c>
      <c r="B4999" s="1" t="s">
        <v>32</v>
      </c>
      <c r="C4999" s="1">
        <v>1.0</v>
      </c>
      <c r="D4999" s="1" t="s">
        <v>26</v>
      </c>
      <c r="E4999" s="1" t="s">
        <v>26</v>
      </c>
      <c r="F4999" s="1">
        <v>2.0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1">
        <v>44.7</v>
      </c>
      <c r="T4999" s="1">
        <v>93.7</v>
      </c>
      <c r="U4999" s="1">
        <v>4.0</v>
      </c>
      <c r="V4999" s="1">
        <v>0.0</v>
      </c>
      <c r="W4999" s="1" t="s">
        <v>25</v>
      </c>
    </row>
    <row r="5000" ht="15.75" customHeight="1">
      <c r="A5000" s="1" t="s">
        <v>5037</v>
      </c>
      <c r="B5000" s="1" t="s">
        <v>32</v>
      </c>
      <c r="C5000" s="1">
        <v>1.0</v>
      </c>
      <c r="D5000" s="1" t="s">
        <v>26</v>
      </c>
      <c r="E5000" s="1" t="s">
        <v>26</v>
      </c>
      <c r="F5000" s="1">
        <v>62.0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1">
        <v>110.75</v>
      </c>
      <c r="T5000" s="1">
        <v>7053.35</v>
      </c>
      <c r="U5000" s="1">
        <v>4.0</v>
      </c>
      <c r="V5000" s="1">
        <v>0.0</v>
      </c>
      <c r="W5000" s="1" t="s">
        <v>26</v>
      </c>
    </row>
    <row r="5001" ht="15.75" customHeight="1">
      <c r="A5001" s="1" t="s">
        <v>5038</v>
      </c>
      <c r="B5001" s="1" t="s">
        <v>24</v>
      </c>
      <c r="C5001" s="1">
        <v>0.0</v>
      </c>
      <c r="D5001" s="1" t="s">
        <v>25</v>
      </c>
      <c r="E5001" s="1" t="s">
        <v>25</v>
      </c>
      <c r="F5001" s="1">
        <v>16.0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1">
        <v>19.7</v>
      </c>
      <c r="T5001" s="1">
        <v>301.55</v>
      </c>
      <c r="U5001" s="1">
        <v>0.0</v>
      </c>
      <c r="V5001" s="1">
        <v>0.0</v>
      </c>
      <c r="W5001" s="1" t="s">
        <v>26</v>
      </c>
    </row>
    <row r="5002" ht="15.75" customHeight="1">
      <c r="A5002" s="1" t="s">
        <v>5039</v>
      </c>
      <c r="B5002" s="1" t="s">
        <v>32</v>
      </c>
      <c r="C5002" s="1">
        <v>0.0</v>
      </c>
      <c r="D5002" s="1" t="s">
        <v>26</v>
      </c>
      <c r="E5002" s="1" t="s">
        <v>26</v>
      </c>
      <c r="F5002" s="1">
        <v>6.0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1">
        <v>49.5</v>
      </c>
      <c r="T5002" s="1">
        <v>312.7</v>
      </c>
      <c r="U5002" s="1">
        <v>0.0</v>
      </c>
      <c r="V5002" s="1">
        <v>0.0</v>
      </c>
      <c r="W5002" s="1" t="s">
        <v>26</v>
      </c>
    </row>
    <row r="5003" ht="15.75" customHeight="1">
      <c r="A5003" s="1" t="s">
        <v>5040</v>
      </c>
      <c r="B5003" s="1" t="s">
        <v>32</v>
      </c>
      <c r="C5003" s="1">
        <v>0.0</v>
      </c>
      <c r="D5003" s="1" t="s">
        <v>26</v>
      </c>
      <c r="E5003" s="1" t="s">
        <v>26</v>
      </c>
      <c r="F5003" s="1">
        <v>19.0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1">
        <v>55.0</v>
      </c>
      <c r="T5003" s="1">
        <v>1046.5</v>
      </c>
      <c r="U5003" s="1">
        <v>0.0</v>
      </c>
      <c r="V5003" s="1">
        <v>0.0</v>
      </c>
      <c r="W5003" s="1" t="s">
        <v>25</v>
      </c>
    </row>
    <row r="5004" ht="15.75" customHeight="1">
      <c r="A5004" s="1" t="s">
        <v>5041</v>
      </c>
      <c r="B5004" s="1" t="s">
        <v>24</v>
      </c>
      <c r="C5004" s="1">
        <v>0.0</v>
      </c>
      <c r="D5004" s="1" t="s">
        <v>25</v>
      </c>
      <c r="E5004" s="1" t="s">
        <v>25</v>
      </c>
      <c r="F5004" s="1">
        <v>69.0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1">
        <v>43.95</v>
      </c>
      <c r="T5004" s="1">
        <v>2960.1</v>
      </c>
      <c r="U5004" s="1">
        <v>0.0</v>
      </c>
      <c r="V5004" s="1">
        <v>0.0</v>
      </c>
      <c r="W5004" s="1" t="s">
        <v>26</v>
      </c>
    </row>
    <row r="5005" ht="15.75" customHeight="1">
      <c r="A5005" s="1" t="s">
        <v>5042</v>
      </c>
      <c r="B5005" s="1" t="s">
        <v>32</v>
      </c>
      <c r="C5005" s="1">
        <v>0.0</v>
      </c>
      <c r="D5005" s="1" t="s">
        <v>25</v>
      </c>
      <c r="E5005" s="1" t="s">
        <v>25</v>
      </c>
      <c r="F5005" s="1">
        <v>11.0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1">
        <v>74.35</v>
      </c>
      <c r="T5005" s="1">
        <v>834.2</v>
      </c>
      <c r="U5005" s="1">
        <v>0.0</v>
      </c>
      <c r="V5005" s="1">
        <v>0.0</v>
      </c>
      <c r="W5005" s="1" t="s">
        <v>25</v>
      </c>
    </row>
    <row r="5006" ht="15.75" customHeight="1">
      <c r="A5006" s="1" t="s">
        <v>5043</v>
      </c>
      <c r="B5006" s="1" t="s">
        <v>24</v>
      </c>
      <c r="C5006" s="1">
        <v>0.0</v>
      </c>
      <c r="D5006" s="1" t="s">
        <v>25</v>
      </c>
      <c r="E5006" s="1" t="s">
        <v>26</v>
      </c>
      <c r="F5006" s="1">
        <v>64.0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1">
        <v>111.15</v>
      </c>
      <c r="T5006" s="1">
        <v>6953.4</v>
      </c>
      <c r="U5006" s="1">
        <v>0.0</v>
      </c>
      <c r="V5006" s="1">
        <v>4.0</v>
      </c>
      <c r="W5006" s="1" t="s">
        <v>26</v>
      </c>
    </row>
    <row r="5007" ht="15.75" customHeight="1">
      <c r="A5007" s="1" t="s">
        <v>5044</v>
      </c>
      <c r="B5007" s="1" t="s">
        <v>24</v>
      </c>
      <c r="C5007" s="1">
        <v>0.0</v>
      </c>
      <c r="D5007" s="1" t="s">
        <v>25</v>
      </c>
      <c r="E5007" s="1" t="s">
        <v>26</v>
      </c>
      <c r="F5007" s="1">
        <v>39.0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1">
        <v>104.7</v>
      </c>
      <c r="T5007" s="1">
        <v>4134.85</v>
      </c>
      <c r="U5007" s="1">
        <v>5.0</v>
      </c>
      <c r="V5007" s="1">
        <v>3.0</v>
      </c>
      <c r="W5007" s="1" t="s">
        <v>25</v>
      </c>
    </row>
    <row r="5008" ht="15.75" customHeight="1">
      <c r="A5008" s="1" t="s">
        <v>5045</v>
      </c>
      <c r="B5008" s="1" t="s">
        <v>24</v>
      </c>
      <c r="C5008" s="1">
        <v>0.0</v>
      </c>
      <c r="D5008" s="1" t="s">
        <v>26</v>
      </c>
      <c r="E5008" s="1" t="s">
        <v>26</v>
      </c>
      <c r="F5008" s="1">
        <v>15.0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1">
        <v>55.7</v>
      </c>
      <c r="T5008" s="1">
        <v>899.8</v>
      </c>
      <c r="U5008" s="1">
        <v>0.0</v>
      </c>
      <c r="V5008" s="1">
        <v>0.0</v>
      </c>
      <c r="W5008" s="1" t="s">
        <v>25</v>
      </c>
    </row>
    <row r="5009" ht="15.75" customHeight="1">
      <c r="A5009" s="1" t="s">
        <v>5046</v>
      </c>
      <c r="B5009" s="1" t="s">
        <v>32</v>
      </c>
      <c r="C5009" s="1">
        <v>0.0</v>
      </c>
      <c r="D5009" s="1" t="s">
        <v>26</v>
      </c>
      <c r="E5009" s="1" t="s">
        <v>26</v>
      </c>
      <c r="F5009" s="1">
        <v>25.0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1">
        <v>20.6</v>
      </c>
      <c r="T5009" s="1">
        <v>541.5</v>
      </c>
      <c r="U5009" s="1">
        <v>0.0</v>
      </c>
      <c r="V5009" s="1">
        <v>0.0</v>
      </c>
      <c r="W5009" s="1" t="s">
        <v>26</v>
      </c>
    </row>
    <row r="5010" ht="15.75" customHeight="1">
      <c r="A5010" s="1" t="s">
        <v>5047</v>
      </c>
      <c r="B5010" s="1" t="s">
        <v>24</v>
      </c>
      <c r="C5010" s="1">
        <v>0.0</v>
      </c>
      <c r="D5010" s="1" t="s">
        <v>26</v>
      </c>
      <c r="E5010" s="1" t="s">
        <v>26</v>
      </c>
      <c r="F5010" s="1">
        <v>6.0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1">
        <v>19.65</v>
      </c>
      <c r="T5010" s="1">
        <v>116.85</v>
      </c>
      <c r="U5010" s="1">
        <v>0.0</v>
      </c>
      <c r="V5010" s="1">
        <v>0.0</v>
      </c>
      <c r="W5010" s="1" t="s">
        <v>26</v>
      </c>
    </row>
    <row r="5011" ht="15.75" customHeight="1">
      <c r="A5011" s="1" t="s">
        <v>5048</v>
      </c>
      <c r="B5011" s="1" t="s">
        <v>32</v>
      </c>
      <c r="C5011" s="1">
        <v>0.0</v>
      </c>
      <c r="D5011" s="1" t="s">
        <v>25</v>
      </c>
      <c r="E5011" s="1" t="s">
        <v>26</v>
      </c>
      <c r="F5011" s="1">
        <v>66.0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1">
        <v>115.8</v>
      </c>
      <c r="T5011" s="1">
        <v>7942.15</v>
      </c>
      <c r="U5011" s="1">
        <v>3.0</v>
      </c>
      <c r="V5011" s="1">
        <v>0.0</v>
      </c>
      <c r="W5011" s="1" t="s">
        <v>26</v>
      </c>
    </row>
    <row r="5012" ht="15.75" customHeight="1">
      <c r="A5012" s="1" t="s">
        <v>5049</v>
      </c>
      <c r="B5012" s="1" t="s">
        <v>24</v>
      </c>
      <c r="C5012" s="1">
        <v>0.0</v>
      </c>
      <c r="D5012" s="1" t="s">
        <v>26</v>
      </c>
      <c r="E5012" s="1" t="s">
        <v>26</v>
      </c>
      <c r="F5012" s="1">
        <v>61.0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1">
        <v>88.65</v>
      </c>
      <c r="T5012" s="1">
        <v>5321.25</v>
      </c>
      <c r="U5012" s="1">
        <v>0.0</v>
      </c>
      <c r="V5012" s="1">
        <v>0.0</v>
      </c>
      <c r="W5012" s="1" t="s">
        <v>26</v>
      </c>
    </row>
    <row r="5013" ht="15.75" customHeight="1">
      <c r="A5013" s="1" t="s">
        <v>5050</v>
      </c>
      <c r="B5013" s="1" t="s">
        <v>24</v>
      </c>
      <c r="C5013" s="1">
        <v>1.0</v>
      </c>
      <c r="D5013" s="1" t="s">
        <v>25</v>
      </c>
      <c r="E5013" s="1" t="s">
        <v>26</v>
      </c>
      <c r="F5013" s="1">
        <v>43.0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1">
        <v>94.5</v>
      </c>
      <c r="T5013" s="1">
        <v>4156.8</v>
      </c>
      <c r="U5013" s="1">
        <v>0.0</v>
      </c>
      <c r="V5013" s="1">
        <v>0.0</v>
      </c>
      <c r="W5013" s="1" t="s">
        <v>26</v>
      </c>
    </row>
    <row r="5014" ht="15.75" customHeight="1">
      <c r="A5014" s="1" t="s">
        <v>5051</v>
      </c>
      <c r="B5014" s="1" t="s">
        <v>24</v>
      </c>
      <c r="C5014" s="1">
        <v>0.0</v>
      </c>
      <c r="D5014" s="1" t="s">
        <v>26</v>
      </c>
      <c r="E5014" s="1" t="s">
        <v>26</v>
      </c>
      <c r="F5014" s="1">
        <v>12.0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1">
        <v>20.1</v>
      </c>
      <c r="T5014" s="1">
        <v>223.6</v>
      </c>
      <c r="U5014" s="1">
        <v>0.0</v>
      </c>
      <c r="V5014" s="1">
        <v>0.0</v>
      </c>
      <c r="W5014" s="1" t="s">
        <v>26</v>
      </c>
    </row>
    <row r="5015" ht="15.75" customHeight="1">
      <c r="A5015" s="1" t="s">
        <v>5052</v>
      </c>
      <c r="B5015" s="1" t="s">
        <v>32</v>
      </c>
      <c r="C5015" s="1">
        <v>1.0</v>
      </c>
      <c r="D5015" s="1" t="s">
        <v>26</v>
      </c>
      <c r="E5015" s="1" t="s">
        <v>26</v>
      </c>
      <c r="F5015" s="1">
        <v>23.0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1">
        <v>34.65</v>
      </c>
      <c r="T5015" s="1">
        <v>768.45</v>
      </c>
      <c r="U5015" s="1">
        <v>0.0</v>
      </c>
      <c r="V5015" s="1">
        <v>0.0</v>
      </c>
      <c r="W5015" s="1" t="s">
        <v>26</v>
      </c>
    </row>
    <row r="5016" ht="15.75" customHeight="1">
      <c r="A5016" s="1" t="s">
        <v>5053</v>
      </c>
      <c r="B5016" s="1" t="s">
        <v>32</v>
      </c>
      <c r="C5016" s="1">
        <v>1.0</v>
      </c>
      <c r="D5016" s="1" t="s">
        <v>25</v>
      </c>
      <c r="E5016" s="1" t="s">
        <v>26</v>
      </c>
      <c r="F5016" s="1">
        <v>71.0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1">
        <v>52.3</v>
      </c>
      <c r="T5016" s="1">
        <v>3765.05</v>
      </c>
      <c r="U5016" s="1">
        <v>0.0</v>
      </c>
      <c r="V5016" s="1">
        <v>0.0</v>
      </c>
      <c r="W5016" s="1" t="s">
        <v>26</v>
      </c>
    </row>
    <row r="5017" ht="15.75" customHeight="1">
      <c r="A5017" s="1" t="s">
        <v>5054</v>
      </c>
      <c r="B5017" s="1" t="s">
        <v>24</v>
      </c>
      <c r="C5017" s="1">
        <v>0.0</v>
      </c>
      <c r="D5017" s="1" t="s">
        <v>26</v>
      </c>
      <c r="E5017" s="1" t="s">
        <v>26</v>
      </c>
      <c r="F5017" s="1">
        <v>34.0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1">
        <v>65.0</v>
      </c>
      <c r="T5017" s="1">
        <v>2157.5</v>
      </c>
      <c r="U5017" s="1">
        <v>0.0</v>
      </c>
      <c r="V5017" s="1">
        <v>2.0</v>
      </c>
      <c r="W5017" s="1" t="s">
        <v>26</v>
      </c>
    </row>
    <row r="5018" ht="15.75" customHeight="1">
      <c r="A5018" s="1" t="s">
        <v>5055</v>
      </c>
      <c r="B5018" s="1" t="s">
        <v>24</v>
      </c>
      <c r="C5018" s="1">
        <v>0.0</v>
      </c>
      <c r="D5018" s="1" t="s">
        <v>26</v>
      </c>
      <c r="E5018" s="1" t="s">
        <v>26</v>
      </c>
      <c r="F5018" s="1">
        <v>5.0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1">
        <v>19.85</v>
      </c>
      <c r="T5018" s="1">
        <v>108.05</v>
      </c>
      <c r="U5018" s="1">
        <v>0.0</v>
      </c>
      <c r="V5018" s="1">
        <v>0.0</v>
      </c>
      <c r="W5018" s="1" t="s">
        <v>25</v>
      </c>
    </row>
    <row r="5019" ht="15.75" customHeight="1">
      <c r="A5019" s="1" t="s">
        <v>5056</v>
      </c>
      <c r="B5019" s="1" t="s">
        <v>24</v>
      </c>
      <c r="C5019" s="1">
        <v>0.0</v>
      </c>
      <c r="D5019" s="1" t="s">
        <v>25</v>
      </c>
      <c r="E5019" s="1" t="s">
        <v>26</v>
      </c>
      <c r="F5019" s="1">
        <v>41.0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1">
        <v>35.45</v>
      </c>
      <c r="T5019" s="1">
        <v>1391.65</v>
      </c>
      <c r="U5019" s="1">
        <v>0.0</v>
      </c>
      <c r="V5019" s="1">
        <v>0.0</v>
      </c>
      <c r="W5019" s="1" t="s">
        <v>26</v>
      </c>
    </row>
    <row r="5020" ht="15.75" customHeight="1">
      <c r="A5020" s="1" t="s">
        <v>5057</v>
      </c>
      <c r="B5020" s="1" t="s">
        <v>24</v>
      </c>
      <c r="C5020" s="1">
        <v>0.0</v>
      </c>
      <c r="D5020" s="1" t="s">
        <v>25</v>
      </c>
      <c r="E5020" s="1" t="s">
        <v>25</v>
      </c>
      <c r="F5020" s="1">
        <v>72.0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1">
        <v>19.7</v>
      </c>
      <c r="T5020" s="1">
        <v>1379.8</v>
      </c>
      <c r="U5020" s="1">
        <v>0.0</v>
      </c>
      <c r="V5020" s="1">
        <v>0.0</v>
      </c>
      <c r="W5020" s="1" t="s">
        <v>26</v>
      </c>
    </row>
    <row r="5021" ht="15.75" customHeight="1">
      <c r="A5021" s="1" t="s">
        <v>5058</v>
      </c>
      <c r="B5021" s="1" t="s">
        <v>32</v>
      </c>
      <c r="C5021" s="1">
        <v>1.0</v>
      </c>
      <c r="D5021" s="1" t="s">
        <v>26</v>
      </c>
      <c r="E5021" s="1" t="s">
        <v>26</v>
      </c>
      <c r="F5021" s="1">
        <v>14.0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1">
        <v>95.6</v>
      </c>
      <c r="T5021" s="1">
        <v>1273.3</v>
      </c>
      <c r="U5021" s="1">
        <v>0.0</v>
      </c>
      <c r="V5021" s="1">
        <v>0.0</v>
      </c>
      <c r="W5021" s="1" t="s">
        <v>26</v>
      </c>
    </row>
    <row r="5022" ht="15.75" customHeight="1">
      <c r="A5022" s="1" t="s">
        <v>5059</v>
      </c>
      <c r="B5022" s="1" t="s">
        <v>24</v>
      </c>
      <c r="C5022" s="1">
        <v>0.0</v>
      </c>
      <c r="D5022" s="1" t="s">
        <v>26</v>
      </c>
      <c r="E5022" s="1" t="s">
        <v>26</v>
      </c>
      <c r="F5022" s="1">
        <v>41.0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1">
        <v>19.85</v>
      </c>
      <c r="T5022" s="1">
        <v>810.45</v>
      </c>
      <c r="U5022" s="1">
        <v>0.0</v>
      </c>
      <c r="V5022" s="1">
        <v>0.0</v>
      </c>
      <c r="W5022" s="1" t="s">
        <v>26</v>
      </c>
    </row>
    <row r="5023" ht="15.75" customHeight="1">
      <c r="A5023" s="1" t="s">
        <v>5060</v>
      </c>
      <c r="B5023" s="1" t="s">
        <v>24</v>
      </c>
      <c r="C5023" s="1">
        <v>0.0</v>
      </c>
      <c r="D5023" s="1" t="s">
        <v>25</v>
      </c>
      <c r="E5023" s="1" t="s">
        <v>25</v>
      </c>
      <c r="F5023" s="1">
        <v>23.0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1">
        <v>81.85</v>
      </c>
      <c r="T5023" s="1">
        <v>1810.85</v>
      </c>
      <c r="U5023" s="1">
        <v>0.0</v>
      </c>
      <c r="V5023" s="1">
        <v>0.0</v>
      </c>
      <c r="W5023" s="1" t="s">
        <v>26</v>
      </c>
    </row>
    <row r="5024" ht="15.75" customHeight="1">
      <c r="A5024" s="1" t="s">
        <v>5061</v>
      </c>
      <c r="B5024" s="1" t="s">
        <v>32</v>
      </c>
      <c r="C5024" s="1">
        <v>0.0</v>
      </c>
      <c r="D5024" s="1" t="s">
        <v>25</v>
      </c>
      <c r="E5024" s="1" t="s">
        <v>25</v>
      </c>
      <c r="F5024" s="1">
        <v>71.0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1">
        <v>109.3</v>
      </c>
      <c r="T5024" s="1">
        <v>7782.85</v>
      </c>
      <c r="U5024" s="1">
        <v>0.0</v>
      </c>
      <c r="V5024" s="1">
        <v>0.0</v>
      </c>
      <c r="W5024" s="1" t="s">
        <v>26</v>
      </c>
    </row>
    <row r="5025" ht="15.75" customHeight="1">
      <c r="A5025" s="1" t="s">
        <v>5062</v>
      </c>
      <c r="B5025" s="1" t="s">
        <v>24</v>
      </c>
      <c r="C5025" s="1">
        <v>0.0</v>
      </c>
      <c r="D5025" s="1" t="s">
        <v>26</v>
      </c>
      <c r="E5025" s="1" t="s">
        <v>26</v>
      </c>
      <c r="F5025" s="1">
        <v>1.0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1">
        <v>70.3</v>
      </c>
      <c r="T5025" s="1">
        <v>70.3</v>
      </c>
      <c r="U5025" s="1">
        <v>0.0</v>
      </c>
      <c r="V5025" s="1">
        <v>0.0</v>
      </c>
      <c r="W5025" s="1" t="s">
        <v>25</v>
      </c>
    </row>
    <row r="5026" ht="15.75" customHeight="1">
      <c r="A5026" s="1" t="s">
        <v>5063</v>
      </c>
      <c r="B5026" s="1" t="s">
        <v>32</v>
      </c>
      <c r="C5026" s="1">
        <v>0.0</v>
      </c>
      <c r="D5026" s="1" t="s">
        <v>25</v>
      </c>
      <c r="E5026" s="1" t="s">
        <v>26</v>
      </c>
      <c r="F5026" s="1">
        <v>72.0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1">
        <v>25.4</v>
      </c>
      <c r="T5026" s="1">
        <v>1797.1</v>
      </c>
      <c r="U5026" s="1">
        <v>0.0</v>
      </c>
      <c r="V5026" s="1">
        <v>0.0</v>
      </c>
      <c r="W5026" s="1" t="s">
        <v>26</v>
      </c>
    </row>
    <row r="5027" ht="15.75" customHeight="1">
      <c r="A5027" s="1" t="s">
        <v>5064</v>
      </c>
      <c r="B5027" s="1" t="s">
        <v>32</v>
      </c>
      <c r="C5027" s="1">
        <v>0.0</v>
      </c>
      <c r="D5027" s="1" t="s">
        <v>25</v>
      </c>
      <c r="E5027" s="1" t="s">
        <v>25</v>
      </c>
      <c r="F5027" s="1">
        <v>6.0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1">
        <v>69.8</v>
      </c>
      <c r="T5027" s="1">
        <v>377.85</v>
      </c>
      <c r="U5027" s="1">
        <v>0.0</v>
      </c>
      <c r="V5027" s="1">
        <v>0.0</v>
      </c>
      <c r="W5027" s="1" t="s">
        <v>26</v>
      </c>
    </row>
    <row r="5028" ht="15.75" customHeight="1">
      <c r="A5028" s="1" t="s">
        <v>5065</v>
      </c>
      <c r="B5028" s="1" t="s">
        <v>32</v>
      </c>
      <c r="C5028" s="1">
        <v>0.0</v>
      </c>
      <c r="D5028" s="1" t="s">
        <v>25</v>
      </c>
      <c r="E5028" s="1" t="s">
        <v>25</v>
      </c>
      <c r="F5028" s="1">
        <v>23.0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1">
        <v>20.0</v>
      </c>
      <c r="T5028" s="1">
        <v>445.3</v>
      </c>
      <c r="U5028" s="1">
        <v>0.0</v>
      </c>
      <c r="V5028" s="1">
        <v>0.0</v>
      </c>
      <c r="W5028" s="1" t="s">
        <v>26</v>
      </c>
    </row>
    <row r="5029" ht="15.75" customHeight="1">
      <c r="A5029" s="1" t="s">
        <v>5066</v>
      </c>
      <c r="B5029" s="1" t="s">
        <v>32</v>
      </c>
      <c r="C5029" s="1">
        <v>1.0</v>
      </c>
      <c r="D5029" s="1" t="s">
        <v>25</v>
      </c>
      <c r="E5029" s="1" t="s">
        <v>26</v>
      </c>
      <c r="F5029" s="1">
        <v>10.0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1">
        <v>85.55</v>
      </c>
      <c r="T5029" s="1">
        <v>851.75</v>
      </c>
      <c r="U5029" s="1">
        <v>0.0</v>
      </c>
      <c r="V5029" s="1">
        <v>0.0</v>
      </c>
      <c r="W5029" s="1" t="s">
        <v>25</v>
      </c>
    </row>
    <row r="5030" ht="15.75" customHeight="1">
      <c r="A5030" s="1" t="s">
        <v>5067</v>
      </c>
      <c r="B5030" s="1" t="s">
        <v>24</v>
      </c>
      <c r="C5030" s="1">
        <v>0.0</v>
      </c>
      <c r="D5030" s="1" t="s">
        <v>26</v>
      </c>
      <c r="E5030" s="1" t="s">
        <v>26</v>
      </c>
      <c r="F5030" s="1">
        <v>72.0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1">
        <v>109.9</v>
      </c>
      <c r="T5030" s="1">
        <v>7624.2</v>
      </c>
      <c r="U5030" s="1">
        <v>0.0</v>
      </c>
      <c r="V5030" s="1">
        <v>0.0</v>
      </c>
      <c r="W5030" s="1" t="s">
        <v>26</v>
      </c>
    </row>
    <row r="5031" ht="15.75" customHeight="1">
      <c r="A5031" s="1" t="s">
        <v>5068</v>
      </c>
      <c r="B5031" s="1" t="s">
        <v>24</v>
      </c>
      <c r="C5031" s="1">
        <v>0.0</v>
      </c>
      <c r="D5031" s="1" t="s">
        <v>25</v>
      </c>
      <c r="E5031" s="1" t="s">
        <v>26</v>
      </c>
      <c r="F5031" s="1">
        <v>7.0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1">
        <v>50.3</v>
      </c>
      <c r="T5031" s="1">
        <v>355.1</v>
      </c>
      <c r="U5031" s="1">
        <v>5.0</v>
      </c>
      <c r="V5031" s="1">
        <v>0.0</v>
      </c>
      <c r="W5031" s="1" t="s">
        <v>26</v>
      </c>
    </row>
    <row r="5032" ht="15.75" customHeight="1">
      <c r="A5032" s="1" t="s">
        <v>5069</v>
      </c>
      <c r="B5032" s="1" t="s">
        <v>32</v>
      </c>
      <c r="C5032" s="1">
        <v>0.0</v>
      </c>
      <c r="D5032" s="1" t="s">
        <v>26</v>
      </c>
      <c r="E5032" s="1" t="s">
        <v>25</v>
      </c>
      <c r="F5032" s="1">
        <v>6.0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1">
        <v>94.5</v>
      </c>
      <c r="T5032" s="1">
        <v>575.45</v>
      </c>
      <c r="U5032" s="1">
        <v>0.0</v>
      </c>
      <c r="V5032" s="1">
        <v>0.0</v>
      </c>
      <c r="W5032" s="1" t="s">
        <v>25</v>
      </c>
    </row>
    <row r="5033" ht="15.75" customHeight="1">
      <c r="A5033" s="1" t="s">
        <v>5070</v>
      </c>
      <c r="B5033" s="1" t="s">
        <v>32</v>
      </c>
      <c r="C5033" s="1">
        <v>0.0</v>
      </c>
      <c r="D5033" s="1" t="s">
        <v>25</v>
      </c>
      <c r="E5033" s="1" t="s">
        <v>25</v>
      </c>
      <c r="F5033" s="1">
        <v>9.0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1">
        <v>101.5</v>
      </c>
      <c r="T5033" s="1">
        <v>906.85</v>
      </c>
      <c r="U5033" s="1">
        <v>0.0</v>
      </c>
      <c r="V5033" s="1">
        <v>0.0</v>
      </c>
      <c r="W5033" s="1" t="s">
        <v>26</v>
      </c>
    </row>
    <row r="5034" ht="15.75" customHeight="1">
      <c r="A5034" s="1" t="s">
        <v>5071</v>
      </c>
      <c r="B5034" s="1" t="s">
        <v>24</v>
      </c>
      <c r="C5034" s="1">
        <v>0.0</v>
      </c>
      <c r="D5034" s="1" t="s">
        <v>26</v>
      </c>
      <c r="E5034" s="1" t="s">
        <v>26</v>
      </c>
      <c r="F5034" s="1">
        <v>12.0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1">
        <v>89.15</v>
      </c>
      <c r="T5034" s="1">
        <v>1057.55</v>
      </c>
      <c r="U5034" s="1">
        <v>0.0</v>
      </c>
      <c r="V5034" s="1">
        <v>0.0</v>
      </c>
      <c r="W5034" s="1" t="s">
        <v>26</v>
      </c>
    </row>
    <row r="5035" ht="15.75" customHeight="1">
      <c r="A5035" s="1" t="s">
        <v>5072</v>
      </c>
      <c r="B5035" s="1" t="s">
        <v>24</v>
      </c>
      <c r="C5035" s="1">
        <v>0.0</v>
      </c>
      <c r="D5035" s="1" t="s">
        <v>26</v>
      </c>
      <c r="E5035" s="1" t="s">
        <v>26</v>
      </c>
      <c r="F5035" s="1">
        <v>1.0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1">
        <v>19.4</v>
      </c>
      <c r="T5035" s="1">
        <v>19.4</v>
      </c>
      <c r="U5035" s="1">
        <v>3.0</v>
      </c>
      <c r="V5035" s="1">
        <v>0.0</v>
      </c>
      <c r="W5035" s="1" t="s">
        <v>26</v>
      </c>
    </row>
    <row r="5036" ht="15.75" customHeight="1">
      <c r="A5036" s="1" t="s">
        <v>5073</v>
      </c>
      <c r="B5036" s="1" t="s">
        <v>24</v>
      </c>
      <c r="C5036" s="1">
        <v>1.0</v>
      </c>
      <c r="D5036" s="1" t="s">
        <v>25</v>
      </c>
      <c r="E5036" s="1" t="s">
        <v>25</v>
      </c>
      <c r="F5036" s="1">
        <v>48.0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1">
        <v>29.9</v>
      </c>
      <c r="T5036" s="1">
        <v>1388.75</v>
      </c>
      <c r="U5036" s="1">
        <v>0.0</v>
      </c>
      <c r="V5036" s="1">
        <v>0.0</v>
      </c>
      <c r="W5036" s="1" t="s">
        <v>26</v>
      </c>
    </row>
    <row r="5037" ht="15.75" customHeight="1">
      <c r="A5037" s="1" t="s">
        <v>5074</v>
      </c>
      <c r="B5037" s="1" t="s">
        <v>32</v>
      </c>
      <c r="C5037" s="1">
        <v>0.0</v>
      </c>
      <c r="D5037" s="1" t="s">
        <v>26</v>
      </c>
      <c r="E5037" s="1" t="s">
        <v>26</v>
      </c>
      <c r="F5037" s="1">
        <v>20.0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1">
        <v>78.8</v>
      </c>
      <c r="T5037" s="1">
        <v>1641.3</v>
      </c>
      <c r="U5037" s="1">
        <v>0.0</v>
      </c>
      <c r="V5037" s="1">
        <v>0.0</v>
      </c>
      <c r="W5037" s="1" t="s">
        <v>26</v>
      </c>
    </row>
    <row r="5038" ht="15.75" customHeight="1">
      <c r="A5038" s="1" t="s">
        <v>5075</v>
      </c>
      <c r="B5038" s="1" t="s">
        <v>24</v>
      </c>
      <c r="C5038" s="1">
        <v>1.0</v>
      </c>
      <c r="D5038" s="1" t="s">
        <v>25</v>
      </c>
      <c r="E5038" s="1" t="s">
        <v>26</v>
      </c>
      <c r="F5038" s="1">
        <v>16.0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1">
        <v>85.35</v>
      </c>
      <c r="T5038" s="1">
        <v>1375.15</v>
      </c>
      <c r="U5038" s="1">
        <v>0.0</v>
      </c>
      <c r="V5038" s="1">
        <v>0.0</v>
      </c>
      <c r="W5038" s="1" t="s">
        <v>25</v>
      </c>
    </row>
    <row r="5039" ht="15.75" customHeight="1">
      <c r="A5039" s="1" t="s">
        <v>5076</v>
      </c>
      <c r="B5039" s="1" t="s">
        <v>24</v>
      </c>
      <c r="C5039" s="1">
        <v>0.0</v>
      </c>
      <c r="D5039" s="1" t="s">
        <v>26</v>
      </c>
      <c r="E5039" s="1" t="s">
        <v>26</v>
      </c>
      <c r="F5039" s="1">
        <v>2.0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1">
        <v>79.65</v>
      </c>
      <c r="T5039" s="1">
        <v>152.7</v>
      </c>
      <c r="U5039" s="1">
        <v>5.0</v>
      </c>
      <c r="V5039" s="1">
        <v>0.0</v>
      </c>
      <c r="W5039" s="1" t="s">
        <v>25</v>
      </c>
    </row>
    <row r="5040" ht="15.75" customHeight="1">
      <c r="A5040" s="1" t="s">
        <v>5077</v>
      </c>
      <c r="B5040" s="1" t="s">
        <v>24</v>
      </c>
      <c r="C5040" s="1">
        <v>0.0</v>
      </c>
      <c r="D5040" s="1" t="s">
        <v>26</v>
      </c>
      <c r="E5040" s="1" t="s">
        <v>26</v>
      </c>
      <c r="F5040" s="1">
        <v>10.0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1">
        <v>19.3</v>
      </c>
      <c r="T5040" s="1">
        <v>185.2</v>
      </c>
      <c r="U5040" s="1">
        <v>0.0</v>
      </c>
      <c r="V5040" s="1">
        <v>0.0</v>
      </c>
      <c r="W5040" s="1" t="s">
        <v>26</v>
      </c>
    </row>
    <row r="5041" ht="15.75" customHeight="1">
      <c r="A5041" s="1" t="s">
        <v>5078</v>
      </c>
      <c r="B5041" s="1" t="s">
        <v>24</v>
      </c>
      <c r="C5041" s="1">
        <v>1.0</v>
      </c>
      <c r="D5041" s="1" t="s">
        <v>26</v>
      </c>
      <c r="E5041" s="1" t="s">
        <v>26</v>
      </c>
      <c r="F5041" s="1">
        <v>2.0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1">
        <v>79.6</v>
      </c>
      <c r="T5041" s="1">
        <v>195.05</v>
      </c>
      <c r="U5041" s="1">
        <v>0.0</v>
      </c>
      <c r="V5041" s="1">
        <v>0.0</v>
      </c>
      <c r="W5041" s="1" t="s">
        <v>25</v>
      </c>
    </row>
    <row r="5042" ht="15.75" customHeight="1">
      <c r="A5042" s="1" t="s">
        <v>5079</v>
      </c>
      <c r="B5042" s="1" t="s">
        <v>32</v>
      </c>
      <c r="C5042" s="1">
        <v>0.0</v>
      </c>
      <c r="D5042" s="1" t="s">
        <v>25</v>
      </c>
      <c r="E5042" s="1" t="s">
        <v>25</v>
      </c>
      <c r="F5042" s="1">
        <v>20.0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1">
        <v>96.8</v>
      </c>
      <c r="T5042" s="1">
        <v>1826.7</v>
      </c>
      <c r="U5042" s="1">
        <v>1.0</v>
      </c>
      <c r="V5042" s="1">
        <v>1.0</v>
      </c>
      <c r="W5042" s="1" t="s">
        <v>26</v>
      </c>
    </row>
    <row r="5043" ht="15.75" customHeight="1">
      <c r="A5043" s="1" t="s">
        <v>5080</v>
      </c>
      <c r="B5043" s="1" t="s">
        <v>32</v>
      </c>
      <c r="C5043" s="1">
        <v>0.0</v>
      </c>
      <c r="D5043" s="1" t="s">
        <v>25</v>
      </c>
      <c r="E5043" s="1" t="s">
        <v>26</v>
      </c>
      <c r="F5043" s="1">
        <v>20.0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1">
        <v>20.65</v>
      </c>
      <c r="T5043" s="1">
        <v>417.5</v>
      </c>
      <c r="U5043" s="1">
        <v>0.0</v>
      </c>
      <c r="V5043" s="1">
        <v>0.0</v>
      </c>
      <c r="W5043" s="1" t="s">
        <v>26</v>
      </c>
    </row>
    <row r="5044" ht="15.75" customHeight="1">
      <c r="A5044" s="1" t="s">
        <v>5081</v>
      </c>
      <c r="B5044" s="1" t="s">
        <v>32</v>
      </c>
      <c r="C5044" s="1">
        <v>0.0</v>
      </c>
      <c r="D5044" s="1" t="s">
        <v>25</v>
      </c>
      <c r="E5044" s="1" t="s">
        <v>25</v>
      </c>
      <c r="F5044" s="1">
        <v>19.0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1">
        <v>19.8</v>
      </c>
      <c r="T5044" s="1">
        <v>344.5</v>
      </c>
      <c r="U5044" s="1">
        <v>0.0</v>
      </c>
      <c r="V5044" s="1">
        <v>0.0</v>
      </c>
      <c r="W5044" s="1" t="s">
        <v>26</v>
      </c>
    </row>
    <row r="5045" ht="15.75" customHeight="1">
      <c r="A5045" s="1" t="s">
        <v>5082</v>
      </c>
      <c r="B5045" s="1" t="s">
        <v>32</v>
      </c>
      <c r="C5045" s="1">
        <v>1.0</v>
      </c>
      <c r="D5045" s="1" t="s">
        <v>26</v>
      </c>
      <c r="E5045" s="1" t="s">
        <v>26</v>
      </c>
      <c r="F5045" s="1">
        <v>19.0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1">
        <v>90.6</v>
      </c>
      <c r="T5045" s="1">
        <v>1660.0</v>
      </c>
      <c r="U5045" s="1">
        <v>5.0</v>
      </c>
      <c r="V5045" s="1">
        <v>2.0</v>
      </c>
      <c r="W5045" s="1" t="s">
        <v>25</v>
      </c>
    </row>
    <row r="5046" ht="15.75" customHeight="1">
      <c r="A5046" s="1" t="s">
        <v>5083</v>
      </c>
      <c r="B5046" s="1" t="s">
        <v>32</v>
      </c>
      <c r="C5046" s="1">
        <v>0.0</v>
      </c>
      <c r="D5046" s="1" t="s">
        <v>25</v>
      </c>
      <c r="E5046" s="1" t="s">
        <v>26</v>
      </c>
      <c r="F5046" s="1">
        <v>22.0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1">
        <v>104.6</v>
      </c>
      <c r="T5046" s="1">
        <v>2180.55</v>
      </c>
      <c r="U5046" s="1">
        <v>0.0</v>
      </c>
      <c r="V5046" s="1">
        <v>0.0</v>
      </c>
      <c r="W5046" s="1" t="s">
        <v>26</v>
      </c>
    </row>
    <row r="5047" ht="15.75" customHeight="1">
      <c r="A5047" s="1" t="s">
        <v>5084</v>
      </c>
      <c r="B5047" s="1" t="s">
        <v>24</v>
      </c>
      <c r="C5047" s="1">
        <v>0.0</v>
      </c>
      <c r="D5047" s="1" t="s">
        <v>26</v>
      </c>
      <c r="E5047" s="1" t="s">
        <v>26</v>
      </c>
      <c r="F5047" s="1">
        <v>35.0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1">
        <v>80.05</v>
      </c>
      <c r="T5047" s="1">
        <v>2835.9</v>
      </c>
      <c r="U5047" s="1">
        <v>0.0</v>
      </c>
      <c r="V5047" s="1">
        <v>0.0</v>
      </c>
      <c r="W5047" s="1" t="s">
        <v>26</v>
      </c>
    </row>
    <row r="5048" ht="15.75" customHeight="1">
      <c r="A5048" s="1" t="s">
        <v>5085</v>
      </c>
      <c r="B5048" s="1" t="s">
        <v>24</v>
      </c>
      <c r="C5048" s="1">
        <v>0.0</v>
      </c>
      <c r="D5048" s="1" t="s">
        <v>26</v>
      </c>
      <c r="E5048" s="1" t="s">
        <v>26</v>
      </c>
      <c r="F5048" s="1">
        <v>1.0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1">
        <v>45.15</v>
      </c>
      <c r="T5048" s="1">
        <v>45.15</v>
      </c>
      <c r="U5048" s="1">
        <v>0.0</v>
      </c>
      <c r="V5048" s="1">
        <v>0.0</v>
      </c>
      <c r="W5048" s="1" t="s">
        <v>26</v>
      </c>
    </row>
    <row r="5049" ht="15.75" customHeight="1">
      <c r="A5049" s="1" t="s">
        <v>5086</v>
      </c>
      <c r="B5049" s="1" t="s">
        <v>32</v>
      </c>
      <c r="C5049" s="1">
        <v>0.0</v>
      </c>
      <c r="D5049" s="1" t="s">
        <v>26</v>
      </c>
      <c r="E5049" s="1" t="s">
        <v>26</v>
      </c>
      <c r="F5049" s="1">
        <v>39.0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1">
        <v>73.15</v>
      </c>
      <c r="T5049" s="1">
        <v>2730.85</v>
      </c>
      <c r="U5049" s="1">
        <v>0.0</v>
      </c>
      <c r="V5049" s="1">
        <v>0.0</v>
      </c>
      <c r="W5049" s="1" t="s">
        <v>26</v>
      </c>
    </row>
    <row r="5050" ht="15.75" customHeight="1">
      <c r="A5050" s="1" t="s">
        <v>5087</v>
      </c>
      <c r="B5050" s="1" t="s">
        <v>24</v>
      </c>
      <c r="C5050" s="1">
        <v>1.0</v>
      </c>
      <c r="D5050" s="1" t="s">
        <v>25</v>
      </c>
      <c r="E5050" s="1" t="s">
        <v>26</v>
      </c>
      <c r="F5050" s="1">
        <v>54.0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1">
        <v>99.1</v>
      </c>
      <c r="T5050" s="1">
        <v>5437.1</v>
      </c>
      <c r="U5050" s="1">
        <v>3.0</v>
      </c>
      <c r="V5050" s="1">
        <v>0.0</v>
      </c>
      <c r="W5050" s="1" t="s">
        <v>26</v>
      </c>
    </row>
    <row r="5051" ht="15.75" customHeight="1">
      <c r="A5051" s="1" t="s">
        <v>5088</v>
      </c>
      <c r="B5051" s="1" t="s">
        <v>24</v>
      </c>
      <c r="C5051" s="1">
        <v>0.0</v>
      </c>
      <c r="D5051" s="1" t="s">
        <v>26</v>
      </c>
      <c r="E5051" s="1" t="s">
        <v>26</v>
      </c>
      <c r="F5051" s="1">
        <v>1.0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1">
        <v>20.2</v>
      </c>
      <c r="T5051" s="1">
        <v>20.2</v>
      </c>
      <c r="U5051" s="1">
        <v>0.0</v>
      </c>
      <c r="V5051" s="1">
        <v>0.0</v>
      </c>
      <c r="W5051" s="1" t="s">
        <v>25</v>
      </c>
    </row>
    <row r="5052" ht="15.75" customHeight="1">
      <c r="A5052" s="1" t="s">
        <v>5089</v>
      </c>
      <c r="B5052" s="1" t="s">
        <v>32</v>
      </c>
      <c r="C5052" s="1">
        <v>0.0</v>
      </c>
      <c r="D5052" s="1" t="s">
        <v>25</v>
      </c>
      <c r="E5052" s="1" t="s">
        <v>26</v>
      </c>
      <c r="F5052" s="1">
        <v>66.0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1">
        <v>106.05</v>
      </c>
      <c r="T5052" s="1">
        <v>6981.35</v>
      </c>
      <c r="U5052" s="1">
        <v>0.0</v>
      </c>
      <c r="V5052" s="1">
        <v>5.0</v>
      </c>
      <c r="W5052" s="1" t="s">
        <v>25</v>
      </c>
    </row>
    <row r="5053" ht="15.75" customHeight="1">
      <c r="A5053" s="1" t="s">
        <v>5090</v>
      </c>
      <c r="B5053" s="1" t="s">
        <v>32</v>
      </c>
      <c r="C5053" s="1">
        <v>0.0</v>
      </c>
      <c r="D5053" s="1" t="s">
        <v>26</v>
      </c>
      <c r="E5053" s="1" t="s">
        <v>26</v>
      </c>
      <c r="F5053" s="1">
        <v>56.0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1">
        <v>105.35</v>
      </c>
      <c r="T5053" s="1">
        <v>5794.45</v>
      </c>
      <c r="U5053" s="1">
        <v>0.0</v>
      </c>
      <c r="V5053" s="1">
        <v>0.0</v>
      </c>
      <c r="W5053" s="1" t="s">
        <v>26</v>
      </c>
    </row>
    <row r="5054" ht="15.75" customHeight="1">
      <c r="A5054" s="1" t="s">
        <v>5091</v>
      </c>
      <c r="B5054" s="1" t="s">
        <v>32</v>
      </c>
      <c r="C5054" s="1">
        <v>0.0</v>
      </c>
      <c r="D5054" s="1" t="s">
        <v>26</v>
      </c>
      <c r="E5054" s="1" t="s">
        <v>25</v>
      </c>
      <c r="F5054" s="1">
        <v>18.0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1">
        <v>45.65</v>
      </c>
      <c r="T5054" s="1">
        <v>747.2</v>
      </c>
      <c r="U5054" s="1">
        <v>0.0</v>
      </c>
      <c r="V5054" s="1">
        <v>0.0</v>
      </c>
      <c r="W5054" s="1" t="s">
        <v>26</v>
      </c>
    </row>
    <row r="5055" ht="15.75" customHeight="1">
      <c r="A5055" s="1" t="s">
        <v>5092</v>
      </c>
      <c r="B5055" s="1" t="s">
        <v>24</v>
      </c>
      <c r="C5055" s="1">
        <v>0.0</v>
      </c>
      <c r="D5055" s="1" t="s">
        <v>25</v>
      </c>
      <c r="E5055" s="1" t="s">
        <v>25</v>
      </c>
      <c r="F5055" s="1">
        <v>16.0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1">
        <v>79.95</v>
      </c>
      <c r="T5055" s="1">
        <v>1267.95</v>
      </c>
      <c r="U5055" s="1">
        <v>0.0</v>
      </c>
      <c r="V5055" s="1">
        <v>0.0</v>
      </c>
      <c r="W5055" s="1" t="s">
        <v>26</v>
      </c>
    </row>
    <row r="5056" ht="15.75" customHeight="1">
      <c r="A5056" s="1" t="s">
        <v>5093</v>
      </c>
      <c r="B5056" s="1" t="s">
        <v>24</v>
      </c>
      <c r="C5056" s="1">
        <v>0.0</v>
      </c>
      <c r="D5056" s="1" t="s">
        <v>26</v>
      </c>
      <c r="E5056" s="1" t="s">
        <v>26</v>
      </c>
      <c r="F5056" s="1">
        <v>68.0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1">
        <v>54.45</v>
      </c>
      <c r="T5056" s="1">
        <v>3674.95</v>
      </c>
      <c r="U5056" s="1">
        <v>0.0</v>
      </c>
      <c r="V5056" s="1">
        <v>0.0</v>
      </c>
      <c r="W5056" s="1" t="s">
        <v>26</v>
      </c>
    </row>
    <row r="5057" ht="15.75" customHeight="1">
      <c r="A5057" s="1" t="s">
        <v>5094</v>
      </c>
      <c r="B5057" s="1" t="s">
        <v>24</v>
      </c>
      <c r="C5057" s="1">
        <v>1.0</v>
      </c>
      <c r="D5057" s="1" t="s">
        <v>25</v>
      </c>
      <c r="E5057" s="1" t="s">
        <v>26</v>
      </c>
      <c r="F5057" s="1">
        <v>53.0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1">
        <v>25.1</v>
      </c>
      <c r="T5057" s="1">
        <v>1275.6</v>
      </c>
      <c r="U5057" s="1">
        <v>0.0</v>
      </c>
      <c r="V5057" s="1">
        <v>0.0</v>
      </c>
      <c r="W5057" s="1" t="s">
        <v>26</v>
      </c>
    </row>
    <row r="5058" ht="15.75" customHeight="1">
      <c r="A5058" s="1" t="s">
        <v>5095</v>
      </c>
      <c r="B5058" s="1" t="s">
        <v>24</v>
      </c>
      <c r="C5058" s="1">
        <v>0.0</v>
      </c>
      <c r="D5058" s="1" t="s">
        <v>25</v>
      </c>
      <c r="E5058" s="1" t="s">
        <v>25</v>
      </c>
      <c r="F5058" s="1">
        <v>72.0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1">
        <v>84.7</v>
      </c>
      <c r="T5058" s="1">
        <v>5893.9</v>
      </c>
      <c r="U5058" s="1">
        <v>0.0</v>
      </c>
      <c r="V5058" s="1">
        <v>0.0</v>
      </c>
      <c r="W5058" s="1" t="s">
        <v>26</v>
      </c>
    </row>
    <row r="5059" ht="15.75" customHeight="1">
      <c r="A5059" s="1" t="s">
        <v>5096</v>
      </c>
      <c r="B5059" s="1" t="s">
        <v>32</v>
      </c>
      <c r="C5059" s="1">
        <v>0.0</v>
      </c>
      <c r="D5059" s="1" t="s">
        <v>26</v>
      </c>
      <c r="E5059" s="1" t="s">
        <v>26</v>
      </c>
      <c r="F5059" s="1">
        <v>9.0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1">
        <v>75.85</v>
      </c>
      <c r="T5059" s="1">
        <v>724.65</v>
      </c>
      <c r="U5059" s="1">
        <v>0.0</v>
      </c>
      <c r="V5059" s="1">
        <v>0.0</v>
      </c>
      <c r="W5059" s="1" t="s">
        <v>26</v>
      </c>
    </row>
    <row r="5060" ht="15.75" customHeight="1">
      <c r="A5060" s="1" t="s">
        <v>5097</v>
      </c>
      <c r="B5060" s="1" t="s">
        <v>24</v>
      </c>
      <c r="C5060" s="1">
        <v>0.0</v>
      </c>
      <c r="D5060" s="1" t="s">
        <v>26</v>
      </c>
      <c r="E5060" s="1" t="s">
        <v>26</v>
      </c>
      <c r="F5060" s="1">
        <v>30.0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1">
        <v>48.8</v>
      </c>
      <c r="T5060" s="1">
        <v>1536.75</v>
      </c>
      <c r="U5060" s="1">
        <v>0.0</v>
      </c>
      <c r="V5060" s="1">
        <v>0.0</v>
      </c>
      <c r="W5060" s="1" t="s">
        <v>26</v>
      </c>
    </row>
    <row r="5061" ht="15.75" customHeight="1">
      <c r="A5061" s="1" t="s">
        <v>5098</v>
      </c>
      <c r="B5061" s="1" t="s">
        <v>24</v>
      </c>
      <c r="C5061" s="1">
        <v>0.0</v>
      </c>
      <c r="D5061" s="1" t="s">
        <v>26</v>
      </c>
      <c r="E5061" s="1" t="s">
        <v>26</v>
      </c>
      <c r="F5061" s="1">
        <v>36.0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1">
        <v>99.15</v>
      </c>
      <c r="T5061" s="1">
        <v>3615.6</v>
      </c>
      <c r="U5061" s="1">
        <v>0.0</v>
      </c>
      <c r="V5061" s="1">
        <v>3.0</v>
      </c>
      <c r="W5061" s="1" t="s">
        <v>25</v>
      </c>
    </row>
    <row r="5062" ht="15.75" customHeight="1">
      <c r="A5062" s="1" t="s">
        <v>5099</v>
      </c>
      <c r="B5062" s="1" t="s">
        <v>24</v>
      </c>
      <c r="C5062" s="1">
        <v>0.0</v>
      </c>
      <c r="D5062" s="1" t="s">
        <v>26</v>
      </c>
      <c r="E5062" s="1" t="s">
        <v>26</v>
      </c>
      <c r="F5062" s="1">
        <v>18.0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1">
        <v>35.2</v>
      </c>
      <c r="T5062" s="1">
        <v>607.3</v>
      </c>
      <c r="U5062" s="1">
        <v>0.0</v>
      </c>
      <c r="V5062" s="1">
        <v>0.0</v>
      </c>
      <c r="W5062" s="1" t="s">
        <v>26</v>
      </c>
    </row>
    <row r="5063" ht="15.75" customHeight="1">
      <c r="A5063" s="1" t="s">
        <v>5100</v>
      </c>
      <c r="B5063" s="1" t="s">
        <v>24</v>
      </c>
      <c r="C5063" s="1">
        <v>1.0</v>
      </c>
      <c r="D5063" s="1" t="s">
        <v>25</v>
      </c>
      <c r="E5063" s="1" t="s">
        <v>25</v>
      </c>
      <c r="F5063" s="1">
        <v>55.0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1">
        <v>76.25</v>
      </c>
      <c r="T5063" s="1">
        <v>4154.55</v>
      </c>
      <c r="U5063" s="1">
        <v>0.0</v>
      </c>
      <c r="V5063" s="1">
        <v>0.0</v>
      </c>
      <c r="W5063" s="1" t="s">
        <v>26</v>
      </c>
    </row>
    <row r="5064" ht="15.75" customHeight="1">
      <c r="A5064" s="1" t="s">
        <v>5101</v>
      </c>
      <c r="B5064" s="1" t="s">
        <v>24</v>
      </c>
      <c r="C5064" s="1">
        <v>0.0</v>
      </c>
      <c r="D5064" s="1" t="s">
        <v>25</v>
      </c>
      <c r="E5064" s="1" t="s">
        <v>26</v>
      </c>
      <c r="F5064" s="1">
        <v>39.0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1">
        <v>55.9</v>
      </c>
      <c r="T5064" s="1">
        <v>2184.35</v>
      </c>
      <c r="U5064" s="1">
        <v>5.0</v>
      </c>
      <c r="V5064" s="1">
        <v>3.0</v>
      </c>
      <c r="W5064" s="1" t="s">
        <v>25</v>
      </c>
    </row>
    <row r="5065" ht="15.75" customHeight="1">
      <c r="A5065" s="1" t="s">
        <v>5102</v>
      </c>
      <c r="B5065" s="1" t="s">
        <v>32</v>
      </c>
      <c r="C5065" s="1">
        <v>0.0</v>
      </c>
      <c r="D5065" s="1" t="s">
        <v>26</v>
      </c>
      <c r="E5065" s="1" t="s">
        <v>26</v>
      </c>
      <c r="F5065" s="1">
        <v>21.0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1">
        <v>82.35</v>
      </c>
      <c r="T5065" s="1">
        <v>1852.85</v>
      </c>
      <c r="U5065" s="1">
        <v>0.0</v>
      </c>
      <c r="V5065" s="1">
        <v>0.0</v>
      </c>
      <c r="W5065" s="1" t="s">
        <v>25</v>
      </c>
    </row>
    <row r="5066" ht="15.75" customHeight="1">
      <c r="A5066" s="1" t="s">
        <v>5103</v>
      </c>
      <c r="B5066" s="1" t="s">
        <v>32</v>
      </c>
      <c r="C5066" s="1">
        <v>0.0</v>
      </c>
      <c r="D5066" s="1" t="s">
        <v>26</v>
      </c>
      <c r="E5066" s="1" t="s">
        <v>26</v>
      </c>
      <c r="F5066" s="1">
        <v>2.0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1">
        <v>40.4</v>
      </c>
      <c r="T5066" s="1">
        <v>77.15</v>
      </c>
      <c r="U5066" s="1">
        <v>0.0</v>
      </c>
      <c r="V5066" s="1">
        <v>0.0</v>
      </c>
      <c r="W5066" s="1" t="s">
        <v>25</v>
      </c>
    </row>
    <row r="5067" ht="15.75" customHeight="1">
      <c r="A5067" s="1" t="s">
        <v>5104</v>
      </c>
      <c r="B5067" s="1" t="s">
        <v>32</v>
      </c>
      <c r="C5067" s="1">
        <v>1.0</v>
      </c>
      <c r="D5067" s="1" t="s">
        <v>26</v>
      </c>
      <c r="E5067" s="1" t="s">
        <v>26</v>
      </c>
      <c r="F5067" s="1">
        <v>33.0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1">
        <v>24.9</v>
      </c>
      <c r="T5067" s="1">
        <v>847.8</v>
      </c>
      <c r="U5067" s="1">
        <v>1.0</v>
      </c>
      <c r="V5067" s="1">
        <v>0.0</v>
      </c>
      <c r="W5067" s="1" t="s">
        <v>26</v>
      </c>
    </row>
    <row r="5068" ht="15.75" customHeight="1">
      <c r="A5068" s="1" t="s">
        <v>5105</v>
      </c>
      <c r="B5068" s="1" t="s">
        <v>32</v>
      </c>
      <c r="C5068" s="1">
        <v>0.0</v>
      </c>
      <c r="D5068" s="1" t="s">
        <v>25</v>
      </c>
      <c r="E5068" s="1" t="s">
        <v>26</v>
      </c>
      <c r="F5068" s="1">
        <v>44.0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1">
        <v>54.3</v>
      </c>
      <c r="T5068" s="1">
        <v>2390.45</v>
      </c>
      <c r="U5068" s="1">
        <v>0.0</v>
      </c>
      <c r="V5068" s="1">
        <v>0.0</v>
      </c>
      <c r="W5068" s="1" t="s">
        <v>26</v>
      </c>
    </row>
    <row r="5069" ht="15.75" customHeight="1">
      <c r="A5069" s="1" t="s">
        <v>5106</v>
      </c>
      <c r="B5069" s="1" t="s">
        <v>24</v>
      </c>
      <c r="C5069" s="1">
        <v>0.0</v>
      </c>
      <c r="D5069" s="1" t="s">
        <v>25</v>
      </c>
      <c r="E5069" s="1" t="s">
        <v>25</v>
      </c>
      <c r="F5069" s="1">
        <v>30.0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1">
        <v>66.3</v>
      </c>
      <c r="T5069" s="1">
        <v>1923.5</v>
      </c>
      <c r="U5069" s="1">
        <v>0.0</v>
      </c>
      <c r="V5069" s="1">
        <v>0.0</v>
      </c>
      <c r="W5069" s="1" t="s">
        <v>26</v>
      </c>
    </row>
    <row r="5070" ht="15.75" customHeight="1">
      <c r="A5070" s="1" t="s">
        <v>5107</v>
      </c>
      <c r="B5070" s="1" t="s">
        <v>24</v>
      </c>
      <c r="C5070" s="1">
        <v>0.0</v>
      </c>
      <c r="D5070" s="1" t="s">
        <v>25</v>
      </c>
      <c r="E5070" s="1" t="s">
        <v>26</v>
      </c>
      <c r="F5070" s="1">
        <v>71.0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1">
        <v>20.9</v>
      </c>
      <c r="T5070" s="1">
        <v>1493.2</v>
      </c>
      <c r="U5070" s="1">
        <v>0.0</v>
      </c>
      <c r="V5070" s="1">
        <v>0.0</v>
      </c>
      <c r="W5070" s="1" t="s">
        <v>26</v>
      </c>
    </row>
    <row r="5071" ht="15.75" customHeight="1">
      <c r="A5071" s="1" t="s">
        <v>5108</v>
      </c>
      <c r="B5071" s="1" t="s">
        <v>24</v>
      </c>
      <c r="C5071" s="1">
        <v>0.0</v>
      </c>
      <c r="D5071" s="1" t="s">
        <v>26</v>
      </c>
      <c r="E5071" s="1" t="s">
        <v>26</v>
      </c>
      <c r="F5071" s="1">
        <v>4.0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1">
        <v>75.35</v>
      </c>
      <c r="T5071" s="1">
        <v>338.1</v>
      </c>
      <c r="U5071" s="1">
        <v>4.0</v>
      </c>
      <c r="V5071" s="1">
        <v>0.0</v>
      </c>
      <c r="W5071" s="1" t="s">
        <v>25</v>
      </c>
    </row>
    <row r="5072" ht="15.75" customHeight="1">
      <c r="A5072" s="1" t="s">
        <v>5109</v>
      </c>
      <c r="B5072" s="1" t="s">
        <v>32</v>
      </c>
      <c r="C5072" s="1">
        <v>0.0</v>
      </c>
      <c r="D5072" s="1" t="s">
        <v>26</v>
      </c>
      <c r="E5072" s="1" t="s">
        <v>25</v>
      </c>
      <c r="F5072" s="1">
        <v>35.0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1">
        <v>85.15</v>
      </c>
      <c r="T5072" s="1">
        <v>3030.6</v>
      </c>
      <c r="U5072" s="1">
        <v>0.0</v>
      </c>
      <c r="V5072" s="1">
        <v>2.0</v>
      </c>
      <c r="W5072" s="1" t="s">
        <v>25</v>
      </c>
    </row>
    <row r="5073" ht="15.75" customHeight="1">
      <c r="A5073" s="1" t="s">
        <v>5110</v>
      </c>
      <c r="B5073" s="1" t="s">
        <v>32</v>
      </c>
      <c r="C5073" s="1">
        <v>0.0</v>
      </c>
      <c r="D5073" s="1" t="s">
        <v>25</v>
      </c>
      <c r="E5073" s="1" t="s">
        <v>26</v>
      </c>
      <c r="F5073" s="1">
        <v>1.0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1">
        <v>75.35</v>
      </c>
      <c r="T5073" s="1">
        <v>75.35</v>
      </c>
      <c r="U5073" s="1">
        <v>0.0</v>
      </c>
      <c r="V5073" s="1">
        <v>0.0</v>
      </c>
      <c r="W5073" s="1" t="s">
        <v>26</v>
      </c>
    </row>
    <row r="5074" ht="15.75" customHeight="1">
      <c r="A5074" s="1" t="s">
        <v>5111</v>
      </c>
      <c r="B5074" s="1" t="s">
        <v>32</v>
      </c>
      <c r="C5074" s="1">
        <v>1.0</v>
      </c>
      <c r="D5074" s="1" t="s">
        <v>25</v>
      </c>
      <c r="E5074" s="1" t="s">
        <v>26</v>
      </c>
      <c r="F5074" s="1">
        <v>23.0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1">
        <v>104.45</v>
      </c>
      <c r="T5074" s="1">
        <v>2184.85</v>
      </c>
      <c r="U5074" s="1">
        <v>2.0</v>
      </c>
      <c r="V5074" s="1">
        <v>0.0</v>
      </c>
      <c r="W5074" s="1" t="s">
        <v>26</v>
      </c>
    </row>
    <row r="5075" ht="15.75" customHeight="1">
      <c r="A5075" s="1" t="s">
        <v>5112</v>
      </c>
      <c r="B5075" s="1" t="s">
        <v>24</v>
      </c>
      <c r="C5075" s="1">
        <v>0.0</v>
      </c>
      <c r="D5075" s="1" t="s">
        <v>26</v>
      </c>
      <c r="E5075" s="1" t="s">
        <v>25</v>
      </c>
      <c r="F5075" s="1">
        <v>22.0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1">
        <v>49.45</v>
      </c>
      <c r="T5075" s="1">
        <v>1031.4</v>
      </c>
      <c r="U5075" s="1">
        <v>0.0</v>
      </c>
      <c r="V5075" s="1">
        <v>0.0</v>
      </c>
      <c r="W5075" s="1" t="s">
        <v>26</v>
      </c>
    </row>
    <row r="5076" ht="15.75" customHeight="1">
      <c r="A5076" s="1" t="s">
        <v>5113</v>
      </c>
      <c r="B5076" s="1" t="s">
        <v>24</v>
      </c>
      <c r="C5076" s="1">
        <v>0.0</v>
      </c>
      <c r="D5076" s="1" t="s">
        <v>26</v>
      </c>
      <c r="E5076" s="1" t="s">
        <v>25</v>
      </c>
      <c r="F5076" s="1">
        <v>49.0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1">
        <v>19.45</v>
      </c>
      <c r="T5076" s="1">
        <v>921.3</v>
      </c>
      <c r="U5076" s="1">
        <v>0.0</v>
      </c>
      <c r="V5076" s="1">
        <v>0.0</v>
      </c>
      <c r="W5076" s="1" t="s">
        <v>26</v>
      </c>
    </row>
    <row r="5077" ht="15.75" customHeight="1">
      <c r="A5077" s="1" t="s">
        <v>5114</v>
      </c>
      <c r="B5077" s="1" t="s">
        <v>24</v>
      </c>
      <c r="C5077" s="1">
        <v>0.0</v>
      </c>
      <c r="D5077" s="1" t="s">
        <v>25</v>
      </c>
      <c r="E5077" s="1" t="s">
        <v>25</v>
      </c>
      <c r="F5077" s="1">
        <v>42.0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1">
        <v>92.15</v>
      </c>
      <c r="T5077" s="1">
        <v>3875.4</v>
      </c>
      <c r="U5077" s="1">
        <v>0.0</v>
      </c>
      <c r="V5077" s="1">
        <v>0.0</v>
      </c>
      <c r="W5077" s="1" t="s">
        <v>26</v>
      </c>
    </row>
    <row r="5078" ht="15.75" customHeight="1">
      <c r="A5078" s="1" t="s">
        <v>5115</v>
      </c>
      <c r="B5078" s="1" t="s">
        <v>24</v>
      </c>
      <c r="C5078" s="1">
        <v>0.0</v>
      </c>
      <c r="D5078" s="1" t="s">
        <v>25</v>
      </c>
      <c r="E5078" s="1" t="s">
        <v>25</v>
      </c>
      <c r="F5078" s="1">
        <v>33.0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1">
        <v>93.8</v>
      </c>
      <c r="T5078" s="1">
        <v>3124.5</v>
      </c>
      <c r="U5078" s="1">
        <v>0.0</v>
      </c>
      <c r="V5078" s="1">
        <v>3.0</v>
      </c>
      <c r="W5078" s="1" t="s">
        <v>25</v>
      </c>
    </row>
    <row r="5079" ht="15.75" customHeight="1">
      <c r="A5079" s="1" t="s">
        <v>5116</v>
      </c>
      <c r="B5079" s="1" t="s">
        <v>24</v>
      </c>
      <c r="C5079" s="1">
        <v>0.0</v>
      </c>
      <c r="D5079" s="1" t="s">
        <v>25</v>
      </c>
      <c r="E5079" s="1" t="s">
        <v>25</v>
      </c>
      <c r="F5079" s="1">
        <v>7.0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1">
        <v>19.85</v>
      </c>
      <c r="T5079" s="1">
        <v>144.15</v>
      </c>
      <c r="U5079" s="1">
        <v>3.0</v>
      </c>
      <c r="V5079" s="1">
        <v>0.0</v>
      </c>
      <c r="W5079" s="1" t="s">
        <v>26</v>
      </c>
    </row>
    <row r="5080" ht="15.75" customHeight="1">
      <c r="A5080" s="1" t="s">
        <v>5117</v>
      </c>
      <c r="B5080" s="1" t="s">
        <v>24</v>
      </c>
      <c r="C5080" s="1">
        <v>0.0</v>
      </c>
      <c r="D5080" s="1" t="s">
        <v>25</v>
      </c>
      <c r="E5080" s="1" t="s">
        <v>25</v>
      </c>
      <c r="F5080" s="1">
        <v>67.0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1">
        <v>100.25</v>
      </c>
      <c r="T5080" s="1">
        <v>6689.0</v>
      </c>
      <c r="U5080" s="1">
        <v>5.0</v>
      </c>
      <c r="V5080" s="1">
        <v>0.0</v>
      </c>
      <c r="W5080" s="1" t="s">
        <v>26</v>
      </c>
    </row>
    <row r="5081" ht="15.75" customHeight="1">
      <c r="A5081" s="1" t="s">
        <v>5118</v>
      </c>
      <c r="B5081" s="1" t="s">
        <v>32</v>
      </c>
      <c r="C5081" s="1">
        <v>0.0</v>
      </c>
      <c r="D5081" s="1" t="s">
        <v>26</v>
      </c>
      <c r="E5081" s="1" t="s">
        <v>26</v>
      </c>
      <c r="F5081" s="1">
        <v>15.0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1">
        <v>95.7</v>
      </c>
      <c r="T5081" s="1">
        <v>1451.1</v>
      </c>
      <c r="U5081" s="1">
        <v>4.0</v>
      </c>
      <c r="V5081" s="1">
        <v>0.0</v>
      </c>
      <c r="W5081" s="1" t="s">
        <v>26</v>
      </c>
    </row>
    <row r="5082" ht="15.75" customHeight="1">
      <c r="A5082" s="1" t="s">
        <v>5119</v>
      </c>
      <c r="B5082" s="1" t="s">
        <v>32</v>
      </c>
      <c r="C5082" s="1">
        <v>0.0</v>
      </c>
      <c r="D5082" s="1" t="s">
        <v>25</v>
      </c>
      <c r="E5082" s="1" t="s">
        <v>26</v>
      </c>
      <c r="F5082" s="1">
        <v>67.0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1">
        <v>93.15</v>
      </c>
      <c r="T5082" s="1">
        <v>6368.2</v>
      </c>
      <c r="U5082" s="1">
        <v>0.0</v>
      </c>
      <c r="V5082" s="1">
        <v>0.0</v>
      </c>
      <c r="W5082" s="1" t="s">
        <v>26</v>
      </c>
    </row>
    <row r="5083" ht="15.75" customHeight="1">
      <c r="A5083" s="1" t="s">
        <v>5120</v>
      </c>
      <c r="B5083" s="1" t="s">
        <v>32</v>
      </c>
      <c r="C5083" s="1">
        <v>0.0</v>
      </c>
      <c r="D5083" s="1" t="s">
        <v>25</v>
      </c>
      <c r="E5083" s="1" t="s">
        <v>25</v>
      </c>
      <c r="F5083" s="1">
        <v>53.0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1">
        <v>69.7</v>
      </c>
      <c r="T5083" s="1">
        <v>3729.6</v>
      </c>
      <c r="U5083" s="1">
        <v>0.0</v>
      </c>
      <c r="V5083" s="1">
        <v>0.0</v>
      </c>
      <c r="W5083" s="1" t="s">
        <v>26</v>
      </c>
    </row>
    <row r="5084" ht="15.75" customHeight="1">
      <c r="A5084" s="1" t="s">
        <v>5121</v>
      </c>
      <c r="B5084" s="1" t="s">
        <v>32</v>
      </c>
      <c r="C5084" s="1">
        <v>0.0</v>
      </c>
      <c r="D5084" s="1" t="s">
        <v>25</v>
      </c>
      <c r="E5084" s="1" t="s">
        <v>25</v>
      </c>
      <c r="F5084" s="1">
        <v>21.0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1">
        <v>19.8</v>
      </c>
      <c r="T5084" s="1">
        <v>350.1</v>
      </c>
      <c r="U5084" s="1">
        <v>0.0</v>
      </c>
      <c r="V5084" s="1">
        <v>0.0</v>
      </c>
      <c r="W5084" s="1" t="s">
        <v>26</v>
      </c>
    </row>
    <row r="5085" ht="15.75" customHeight="1">
      <c r="A5085" s="1" t="s">
        <v>5122</v>
      </c>
      <c r="B5085" s="1" t="s">
        <v>24</v>
      </c>
      <c r="C5085" s="1">
        <v>0.0</v>
      </c>
      <c r="D5085" s="1" t="s">
        <v>25</v>
      </c>
      <c r="E5085" s="1" t="s">
        <v>25</v>
      </c>
      <c r="F5085" s="1">
        <v>40.0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1">
        <v>71.35</v>
      </c>
      <c r="T5085" s="1">
        <v>2847.2</v>
      </c>
      <c r="U5085" s="1">
        <v>2.0</v>
      </c>
      <c r="V5085" s="1">
        <v>0.0</v>
      </c>
      <c r="W5085" s="1" t="s">
        <v>26</v>
      </c>
    </row>
    <row r="5086" ht="15.75" customHeight="1">
      <c r="A5086" s="1" t="s">
        <v>5123</v>
      </c>
      <c r="B5086" s="1" t="s">
        <v>24</v>
      </c>
      <c r="C5086" s="1">
        <v>0.0</v>
      </c>
      <c r="D5086" s="1" t="s">
        <v>25</v>
      </c>
      <c r="E5086" s="1" t="s">
        <v>25</v>
      </c>
      <c r="F5086" s="1">
        <v>22.0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1">
        <v>20.75</v>
      </c>
      <c r="T5086" s="1">
        <v>452.35</v>
      </c>
      <c r="U5086" s="1">
        <v>0.0</v>
      </c>
      <c r="V5086" s="1">
        <v>0.0</v>
      </c>
      <c r="W5086" s="1" t="s">
        <v>26</v>
      </c>
    </row>
    <row r="5087" ht="15.75" customHeight="1">
      <c r="A5087" s="1" t="s">
        <v>5124</v>
      </c>
      <c r="B5087" s="1" t="s">
        <v>32</v>
      </c>
      <c r="C5087" s="1">
        <v>0.0</v>
      </c>
      <c r="D5087" s="1" t="s">
        <v>26</v>
      </c>
      <c r="E5087" s="1" t="s">
        <v>26</v>
      </c>
      <c r="F5087" s="1">
        <v>39.0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1">
        <v>40.6</v>
      </c>
      <c r="T5087" s="1">
        <v>1494.5</v>
      </c>
      <c r="U5087" s="1">
        <v>0.0</v>
      </c>
      <c r="V5087" s="1">
        <v>0.0</v>
      </c>
      <c r="W5087" s="1" t="s">
        <v>26</v>
      </c>
    </row>
    <row r="5088" ht="15.75" customHeight="1">
      <c r="A5088" s="1" t="s">
        <v>5125</v>
      </c>
      <c r="B5088" s="1" t="s">
        <v>32</v>
      </c>
      <c r="C5088" s="1">
        <v>0.0</v>
      </c>
      <c r="D5088" s="1" t="s">
        <v>26</v>
      </c>
      <c r="E5088" s="1" t="s">
        <v>26</v>
      </c>
      <c r="F5088" s="1">
        <v>45.0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1">
        <v>20.4</v>
      </c>
      <c r="T5088" s="1">
        <v>930.45</v>
      </c>
      <c r="U5088" s="1">
        <v>0.0</v>
      </c>
      <c r="V5088" s="1">
        <v>0.0</v>
      </c>
      <c r="W5088" s="1" t="s">
        <v>25</v>
      </c>
    </row>
    <row r="5089" ht="15.75" customHeight="1">
      <c r="A5089" s="1" t="s">
        <v>5126</v>
      </c>
      <c r="B5089" s="1" t="s">
        <v>24</v>
      </c>
      <c r="C5089" s="1">
        <v>0.0</v>
      </c>
      <c r="D5089" s="1" t="s">
        <v>25</v>
      </c>
      <c r="E5089" s="1" t="s">
        <v>26</v>
      </c>
      <c r="F5089" s="1">
        <v>2.0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1">
        <v>20.35</v>
      </c>
      <c r="T5089" s="1">
        <v>41.85</v>
      </c>
      <c r="U5089" s="1">
        <v>0.0</v>
      </c>
      <c r="V5089" s="1">
        <v>0.0</v>
      </c>
      <c r="W5089" s="1" t="s">
        <v>26</v>
      </c>
    </row>
    <row r="5090" ht="15.75" customHeight="1">
      <c r="A5090" s="1" t="s">
        <v>5127</v>
      </c>
      <c r="B5090" s="1" t="s">
        <v>24</v>
      </c>
      <c r="C5090" s="1">
        <v>0.0</v>
      </c>
      <c r="D5090" s="1" t="s">
        <v>25</v>
      </c>
      <c r="E5090" s="1" t="s">
        <v>25</v>
      </c>
      <c r="F5090" s="1">
        <v>57.0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1">
        <v>19.75</v>
      </c>
      <c r="T5090" s="1">
        <v>1272.05</v>
      </c>
      <c r="U5090" s="1">
        <v>0.0</v>
      </c>
      <c r="V5090" s="1">
        <v>0.0</v>
      </c>
      <c r="W5090" s="1" t="s">
        <v>26</v>
      </c>
    </row>
    <row r="5091" ht="15.75" customHeight="1">
      <c r="A5091" s="1" t="s">
        <v>5128</v>
      </c>
      <c r="B5091" s="1" t="s">
        <v>32</v>
      </c>
      <c r="C5091" s="1">
        <v>0.0</v>
      </c>
      <c r="D5091" s="1" t="s">
        <v>25</v>
      </c>
      <c r="E5091" s="1" t="s">
        <v>25</v>
      </c>
      <c r="F5091" s="1">
        <v>8.0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1">
        <v>54.4</v>
      </c>
      <c r="T5091" s="1">
        <v>475.1</v>
      </c>
      <c r="U5091" s="1">
        <v>0.0</v>
      </c>
      <c r="V5091" s="1">
        <v>0.0</v>
      </c>
      <c r="W5091" s="1" t="s">
        <v>26</v>
      </c>
    </row>
    <row r="5092" ht="15.75" customHeight="1">
      <c r="A5092" s="1" t="s">
        <v>5129</v>
      </c>
      <c r="B5092" s="1" t="s">
        <v>32</v>
      </c>
      <c r="C5092" s="1">
        <v>1.0</v>
      </c>
      <c r="D5092" s="1" t="s">
        <v>25</v>
      </c>
      <c r="E5092" s="1" t="s">
        <v>26</v>
      </c>
      <c r="F5092" s="1">
        <v>7.0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1">
        <v>94.7</v>
      </c>
      <c r="T5092" s="1">
        <v>673.1</v>
      </c>
      <c r="U5092" s="1">
        <v>0.0</v>
      </c>
      <c r="V5092" s="1">
        <v>0.0</v>
      </c>
      <c r="W5092" s="1" t="s">
        <v>25</v>
      </c>
    </row>
    <row r="5093" ht="15.75" customHeight="1">
      <c r="A5093" s="1" t="s">
        <v>5130</v>
      </c>
      <c r="B5093" s="1" t="s">
        <v>32</v>
      </c>
      <c r="C5093" s="1">
        <v>0.0</v>
      </c>
      <c r="D5093" s="1" t="s">
        <v>26</v>
      </c>
      <c r="E5093" s="1" t="s">
        <v>26</v>
      </c>
      <c r="F5093" s="1">
        <v>6.0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1">
        <v>30.5</v>
      </c>
      <c r="T5093" s="1">
        <v>208.7</v>
      </c>
      <c r="U5093" s="1">
        <v>0.0</v>
      </c>
      <c r="V5093" s="1">
        <v>0.0</v>
      </c>
      <c r="W5093" s="1" t="s">
        <v>25</v>
      </c>
    </row>
    <row r="5094" ht="15.75" customHeight="1">
      <c r="A5094" s="1" t="s">
        <v>5131</v>
      </c>
      <c r="B5094" s="1" t="s">
        <v>24</v>
      </c>
      <c r="C5094" s="1">
        <v>0.0</v>
      </c>
      <c r="D5094" s="1" t="s">
        <v>25</v>
      </c>
      <c r="E5094" s="1" t="s">
        <v>25</v>
      </c>
      <c r="F5094" s="1">
        <v>7.0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1">
        <v>20.45</v>
      </c>
      <c r="T5094" s="1">
        <v>150.75</v>
      </c>
      <c r="U5094" s="1">
        <v>0.0</v>
      </c>
      <c r="V5094" s="1">
        <v>0.0</v>
      </c>
      <c r="W5094" s="1" t="s">
        <v>26</v>
      </c>
    </row>
    <row r="5095" ht="15.75" customHeight="1">
      <c r="A5095" s="1" t="s">
        <v>5132</v>
      </c>
      <c r="B5095" s="1" t="s">
        <v>32</v>
      </c>
      <c r="C5095" s="1">
        <v>0.0</v>
      </c>
      <c r="D5095" s="1" t="s">
        <v>26</v>
      </c>
      <c r="E5095" s="1" t="s">
        <v>26</v>
      </c>
      <c r="F5095" s="1">
        <v>49.0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1">
        <v>66.15</v>
      </c>
      <c r="T5095" s="1">
        <v>3199.0</v>
      </c>
      <c r="U5095" s="1">
        <v>0.0</v>
      </c>
      <c r="V5095" s="1">
        <v>0.0</v>
      </c>
      <c r="W5095" s="1" t="s">
        <v>26</v>
      </c>
    </row>
    <row r="5096" ht="15.75" customHeight="1">
      <c r="A5096" s="1" t="s">
        <v>5133</v>
      </c>
      <c r="B5096" s="1" t="s">
        <v>24</v>
      </c>
      <c r="C5096" s="1">
        <v>0.0</v>
      </c>
      <c r="D5096" s="1" t="s">
        <v>26</v>
      </c>
      <c r="E5096" s="1" t="s">
        <v>26</v>
      </c>
      <c r="F5096" s="1">
        <v>65.0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1">
        <v>89.85</v>
      </c>
      <c r="T5096" s="1">
        <v>5844.65</v>
      </c>
      <c r="U5096" s="1">
        <v>0.0</v>
      </c>
      <c r="V5096" s="1">
        <v>0.0</v>
      </c>
      <c r="W5096" s="1" t="s">
        <v>26</v>
      </c>
    </row>
    <row r="5097" ht="15.75" customHeight="1">
      <c r="A5097" s="1" t="s">
        <v>5134</v>
      </c>
      <c r="B5097" s="1" t="s">
        <v>24</v>
      </c>
      <c r="C5097" s="1">
        <v>0.0</v>
      </c>
      <c r="D5097" s="1" t="s">
        <v>26</v>
      </c>
      <c r="E5097" s="1" t="s">
        <v>26</v>
      </c>
      <c r="F5097" s="1">
        <v>55.0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1">
        <v>45.05</v>
      </c>
      <c r="T5097" s="1">
        <v>2462.6</v>
      </c>
      <c r="U5097" s="1">
        <v>0.0</v>
      </c>
      <c r="V5097" s="1">
        <v>0.0</v>
      </c>
      <c r="W5097" s="1" t="s">
        <v>26</v>
      </c>
    </row>
    <row r="5098" ht="15.75" customHeight="1">
      <c r="A5098" s="1" t="s">
        <v>5135</v>
      </c>
      <c r="B5098" s="1" t="s">
        <v>32</v>
      </c>
      <c r="C5098" s="1">
        <v>0.0</v>
      </c>
      <c r="D5098" s="1" t="s">
        <v>25</v>
      </c>
      <c r="E5098" s="1" t="s">
        <v>25</v>
      </c>
      <c r="F5098" s="1">
        <v>71.0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1">
        <v>86.85</v>
      </c>
      <c r="T5098" s="1">
        <v>6263.8</v>
      </c>
      <c r="U5098" s="1">
        <v>0.0</v>
      </c>
      <c r="V5098" s="1">
        <v>0.0</v>
      </c>
      <c r="W5098" s="1" t="s">
        <v>26</v>
      </c>
    </row>
    <row r="5099" ht="15.75" customHeight="1">
      <c r="A5099" s="1" t="s">
        <v>5136</v>
      </c>
      <c r="B5099" s="1" t="s">
        <v>32</v>
      </c>
      <c r="C5099" s="1">
        <v>0.0</v>
      </c>
      <c r="D5099" s="1" t="s">
        <v>26</v>
      </c>
      <c r="E5099" s="1" t="s">
        <v>26</v>
      </c>
      <c r="F5099" s="1">
        <v>35.0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1">
        <v>96.75</v>
      </c>
      <c r="T5099" s="1">
        <v>3403.4</v>
      </c>
      <c r="U5099" s="1">
        <v>5.0</v>
      </c>
      <c r="V5099" s="1">
        <v>0.0</v>
      </c>
      <c r="W5099" s="1" t="s">
        <v>26</v>
      </c>
    </row>
    <row r="5100" ht="15.75" customHeight="1">
      <c r="A5100" s="1" t="s">
        <v>5137</v>
      </c>
      <c r="B5100" s="1" t="s">
        <v>32</v>
      </c>
      <c r="C5100" s="1">
        <v>1.0</v>
      </c>
      <c r="D5100" s="1" t="s">
        <v>26</v>
      </c>
      <c r="E5100" s="1" t="s">
        <v>26</v>
      </c>
      <c r="F5100" s="1">
        <v>3.0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1">
        <v>77.0</v>
      </c>
      <c r="T5100" s="1">
        <v>237.75</v>
      </c>
      <c r="U5100" s="1">
        <v>0.0</v>
      </c>
      <c r="V5100" s="1">
        <v>0.0</v>
      </c>
      <c r="W5100" s="1" t="s">
        <v>25</v>
      </c>
    </row>
    <row r="5101" ht="15.75" customHeight="1">
      <c r="A5101" s="1" t="s">
        <v>5138</v>
      </c>
      <c r="B5101" s="1" t="s">
        <v>24</v>
      </c>
      <c r="C5101" s="1">
        <v>0.0</v>
      </c>
      <c r="D5101" s="1" t="s">
        <v>26</v>
      </c>
      <c r="E5101" s="1" t="s">
        <v>25</v>
      </c>
      <c r="F5101" s="1">
        <v>11.0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1">
        <v>20.1</v>
      </c>
      <c r="T5101" s="1">
        <v>221.35</v>
      </c>
      <c r="U5101" s="1">
        <v>0.0</v>
      </c>
      <c r="V5101" s="1">
        <v>0.0</v>
      </c>
      <c r="W5101" s="1" t="s">
        <v>25</v>
      </c>
    </row>
    <row r="5102" ht="15.75" customHeight="1">
      <c r="A5102" s="1" t="s">
        <v>5139</v>
      </c>
      <c r="B5102" s="1" t="s">
        <v>24</v>
      </c>
      <c r="C5102" s="1">
        <v>0.0</v>
      </c>
      <c r="D5102" s="1" t="s">
        <v>26</v>
      </c>
      <c r="E5102" s="1" t="s">
        <v>26</v>
      </c>
      <c r="F5102" s="1">
        <v>1.0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1">
        <v>75.3</v>
      </c>
      <c r="T5102" s="1">
        <v>75.3</v>
      </c>
      <c r="U5102" s="1">
        <v>1.0</v>
      </c>
      <c r="V5102" s="1">
        <v>0.0</v>
      </c>
      <c r="W5102" s="1" t="s">
        <v>25</v>
      </c>
    </row>
    <row r="5103" ht="15.75" customHeight="1">
      <c r="A5103" s="1" t="s">
        <v>5140</v>
      </c>
      <c r="B5103" s="1" t="s">
        <v>32</v>
      </c>
      <c r="C5103" s="1">
        <v>0.0</v>
      </c>
      <c r="D5103" s="1" t="s">
        <v>26</v>
      </c>
      <c r="E5103" s="1" t="s">
        <v>26</v>
      </c>
      <c r="F5103" s="1">
        <v>17.0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1">
        <v>106.65</v>
      </c>
      <c r="T5103" s="1">
        <v>1672.1</v>
      </c>
      <c r="U5103" s="1">
        <v>0.0</v>
      </c>
      <c r="V5103" s="1">
        <v>0.0</v>
      </c>
      <c r="W5103" s="1" t="s">
        <v>26</v>
      </c>
    </row>
    <row r="5104" ht="15.75" customHeight="1">
      <c r="A5104" s="1" t="s">
        <v>5141</v>
      </c>
      <c r="B5104" s="1" t="s">
        <v>24</v>
      </c>
      <c r="C5104" s="1">
        <v>0.0</v>
      </c>
      <c r="D5104" s="1" t="s">
        <v>25</v>
      </c>
      <c r="E5104" s="1" t="s">
        <v>26</v>
      </c>
      <c r="F5104" s="1">
        <v>72.0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1">
        <v>110.15</v>
      </c>
      <c r="T5104" s="1">
        <v>7881.2</v>
      </c>
      <c r="U5104" s="1">
        <v>0.0</v>
      </c>
      <c r="V5104" s="1">
        <v>0.0</v>
      </c>
      <c r="W5104" s="1" t="s">
        <v>26</v>
      </c>
    </row>
    <row r="5105" ht="15.75" customHeight="1">
      <c r="A5105" s="1" t="s">
        <v>5142</v>
      </c>
      <c r="B5105" s="1" t="s">
        <v>24</v>
      </c>
      <c r="C5105" s="1">
        <v>0.0</v>
      </c>
      <c r="D5105" s="1" t="s">
        <v>25</v>
      </c>
      <c r="E5105" s="1" t="s">
        <v>25</v>
      </c>
      <c r="F5105" s="1">
        <v>28.0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1">
        <v>82.85</v>
      </c>
      <c r="T5105" s="1">
        <v>2320.8</v>
      </c>
      <c r="U5105" s="1">
        <v>0.0</v>
      </c>
      <c r="V5105" s="1">
        <v>0.0</v>
      </c>
      <c r="W5105" s="1" t="s">
        <v>26</v>
      </c>
    </row>
    <row r="5106" ht="15.75" customHeight="1">
      <c r="A5106" s="1" t="s">
        <v>5143</v>
      </c>
      <c r="B5106" s="1" t="s">
        <v>24</v>
      </c>
      <c r="C5106" s="1">
        <v>0.0</v>
      </c>
      <c r="D5106" s="1" t="s">
        <v>25</v>
      </c>
      <c r="E5106" s="1" t="s">
        <v>26</v>
      </c>
      <c r="F5106" s="1">
        <v>18.0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1">
        <v>20.1</v>
      </c>
      <c r="T5106" s="1">
        <v>370.5</v>
      </c>
      <c r="U5106" s="1">
        <v>0.0</v>
      </c>
      <c r="V5106" s="1">
        <v>0.0</v>
      </c>
      <c r="W5106" s="1" t="s">
        <v>26</v>
      </c>
    </row>
    <row r="5107" ht="15.75" customHeight="1">
      <c r="A5107" s="1" t="s">
        <v>5144</v>
      </c>
      <c r="B5107" s="1" t="s">
        <v>24</v>
      </c>
      <c r="C5107" s="1">
        <v>1.0</v>
      </c>
      <c r="D5107" s="1" t="s">
        <v>25</v>
      </c>
      <c r="E5107" s="1" t="s">
        <v>26</v>
      </c>
      <c r="F5107" s="1">
        <v>40.0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1">
        <v>99.2</v>
      </c>
      <c r="T5107" s="1">
        <v>4062.2</v>
      </c>
      <c r="U5107" s="1">
        <v>0.0</v>
      </c>
      <c r="V5107" s="1">
        <v>4.0</v>
      </c>
      <c r="W5107" s="1" t="s">
        <v>25</v>
      </c>
    </row>
    <row r="5108" ht="15.75" customHeight="1">
      <c r="A5108" s="1" t="s">
        <v>5145</v>
      </c>
      <c r="B5108" s="1" t="s">
        <v>24</v>
      </c>
      <c r="C5108" s="1">
        <v>0.0</v>
      </c>
      <c r="D5108" s="1" t="s">
        <v>26</v>
      </c>
      <c r="E5108" s="1" t="s">
        <v>26</v>
      </c>
      <c r="F5108" s="1">
        <v>52.0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1">
        <v>59.45</v>
      </c>
      <c r="T5108" s="1">
        <v>3043.7</v>
      </c>
      <c r="U5108" s="1">
        <v>0.0</v>
      </c>
      <c r="V5108" s="1">
        <v>0.0</v>
      </c>
      <c r="W5108" s="1" t="s">
        <v>26</v>
      </c>
    </row>
    <row r="5109" ht="15.75" customHeight="1">
      <c r="A5109" s="1" t="s">
        <v>5146</v>
      </c>
      <c r="B5109" s="1" t="s">
        <v>24</v>
      </c>
      <c r="C5109" s="1">
        <v>0.0</v>
      </c>
      <c r="D5109" s="1" t="s">
        <v>25</v>
      </c>
      <c r="E5109" s="1" t="s">
        <v>26</v>
      </c>
      <c r="F5109" s="1">
        <v>47.0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1">
        <v>58.6</v>
      </c>
      <c r="T5109" s="1">
        <v>2723.4</v>
      </c>
      <c r="U5109" s="1">
        <v>0.0</v>
      </c>
      <c r="V5109" s="1">
        <v>0.0</v>
      </c>
      <c r="W5109" s="1" t="s">
        <v>26</v>
      </c>
    </row>
    <row r="5110" ht="15.75" customHeight="1">
      <c r="A5110" s="1" t="s">
        <v>5147</v>
      </c>
      <c r="B5110" s="1" t="s">
        <v>24</v>
      </c>
      <c r="C5110" s="1">
        <v>0.0</v>
      </c>
      <c r="D5110" s="1" t="s">
        <v>26</v>
      </c>
      <c r="E5110" s="1" t="s">
        <v>26</v>
      </c>
      <c r="F5110" s="1">
        <v>23.0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1">
        <v>49.7</v>
      </c>
      <c r="T5110" s="1">
        <v>1081.25</v>
      </c>
      <c r="U5110" s="1">
        <v>0.0</v>
      </c>
      <c r="V5110" s="1">
        <v>0.0</v>
      </c>
      <c r="W5110" s="1" t="s">
        <v>26</v>
      </c>
    </row>
    <row r="5111" ht="15.75" customHeight="1">
      <c r="A5111" s="1" t="s">
        <v>5148</v>
      </c>
      <c r="B5111" s="1" t="s">
        <v>32</v>
      </c>
      <c r="C5111" s="1">
        <v>0.0</v>
      </c>
      <c r="D5111" s="1" t="s">
        <v>25</v>
      </c>
      <c r="E5111" s="1" t="s">
        <v>25</v>
      </c>
      <c r="F5111" s="1">
        <v>66.0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1">
        <v>65.85</v>
      </c>
      <c r="T5111" s="1">
        <v>4097.05</v>
      </c>
      <c r="U5111" s="1">
        <v>0.0</v>
      </c>
      <c r="V5111" s="1">
        <v>0.0</v>
      </c>
      <c r="W5111" s="1" t="s">
        <v>26</v>
      </c>
    </row>
    <row r="5112" ht="15.75" customHeight="1">
      <c r="A5112" s="1" t="s">
        <v>5149</v>
      </c>
      <c r="B5112" s="1" t="s">
        <v>24</v>
      </c>
      <c r="C5112" s="1">
        <v>0.0</v>
      </c>
      <c r="D5112" s="1" t="s">
        <v>26</v>
      </c>
      <c r="E5112" s="1" t="s">
        <v>26</v>
      </c>
      <c r="F5112" s="1">
        <v>8.0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1">
        <v>73.5</v>
      </c>
      <c r="T5112" s="1">
        <v>632.2</v>
      </c>
      <c r="U5112" s="1">
        <v>3.0</v>
      </c>
      <c r="V5112" s="1">
        <v>0.0</v>
      </c>
      <c r="W5112" s="1" t="s">
        <v>26</v>
      </c>
    </row>
    <row r="5113" ht="15.75" customHeight="1">
      <c r="A5113" s="1" t="s">
        <v>5150</v>
      </c>
      <c r="B5113" s="1" t="s">
        <v>32</v>
      </c>
      <c r="C5113" s="1">
        <v>1.0</v>
      </c>
      <c r="D5113" s="1" t="s">
        <v>26</v>
      </c>
      <c r="E5113" s="1" t="s">
        <v>26</v>
      </c>
      <c r="F5113" s="1">
        <v>47.0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1">
        <v>85.5</v>
      </c>
      <c r="T5113" s="1">
        <v>4042.3</v>
      </c>
      <c r="U5113" s="1">
        <v>0.0</v>
      </c>
      <c r="V5113" s="1">
        <v>3.0</v>
      </c>
      <c r="W5113" s="1" t="s">
        <v>25</v>
      </c>
    </row>
    <row r="5114" ht="15.75" customHeight="1">
      <c r="A5114" s="1" t="s">
        <v>5151</v>
      </c>
      <c r="B5114" s="1" t="s">
        <v>24</v>
      </c>
      <c r="C5114" s="1">
        <v>0.0</v>
      </c>
      <c r="D5114" s="1" t="s">
        <v>26</v>
      </c>
      <c r="E5114" s="1" t="s">
        <v>26</v>
      </c>
      <c r="F5114" s="1">
        <v>7.0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1">
        <v>20.05</v>
      </c>
      <c r="T5114" s="1">
        <v>164.85</v>
      </c>
      <c r="U5114" s="1">
        <v>3.0</v>
      </c>
      <c r="V5114" s="1">
        <v>0.0</v>
      </c>
      <c r="W5114" s="1" t="s">
        <v>25</v>
      </c>
    </row>
    <row r="5115" ht="15.75" customHeight="1">
      <c r="A5115" s="1" t="s">
        <v>5152</v>
      </c>
      <c r="B5115" s="1" t="s">
        <v>24</v>
      </c>
      <c r="C5115" s="1">
        <v>0.0</v>
      </c>
      <c r="D5115" s="1" t="s">
        <v>25</v>
      </c>
      <c r="E5115" s="1" t="s">
        <v>25</v>
      </c>
      <c r="F5115" s="1">
        <v>71.0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1">
        <v>113.65</v>
      </c>
      <c r="T5115" s="1">
        <v>8166.8</v>
      </c>
      <c r="U5115" s="1">
        <v>0.0</v>
      </c>
      <c r="V5115" s="1">
        <v>0.0</v>
      </c>
      <c r="W5115" s="1" t="s">
        <v>26</v>
      </c>
    </row>
    <row r="5116" ht="15.75" customHeight="1">
      <c r="A5116" s="1" t="s">
        <v>5153</v>
      </c>
      <c r="B5116" s="1" t="s">
        <v>24</v>
      </c>
      <c r="C5116" s="1">
        <v>1.0</v>
      </c>
      <c r="D5116" s="1" t="s">
        <v>26</v>
      </c>
      <c r="E5116" s="1" t="s">
        <v>26</v>
      </c>
      <c r="F5116" s="1">
        <v>50.0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1">
        <v>83.4</v>
      </c>
      <c r="T5116" s="1">
        <v>4113.7</v>
      </c>
      <c r="U5116" s="1">
        <v>0.0</v>
      </c>
      <c r="V5116" s="1">
        <v>0.0</v>
      </c>
      <c r="W5116" s="1" t="s">
        <v>26</v>
      </c>
    </row>
    <row r="5117" ht="15.75" customHeight="1">
      <c r="A5117" s="1" t="s">
        <v>5154</v>
      </c>
      <c r="B5117" s="1" t="s">
        <v>32</v>
      </c>
      <c r="C5117" s="1">
        <v>0.0</v>
      </c>
      <c r="D5117" s="1" t="s">
        <v>25</v>
      </c>
      <c r="E5117" s="1" t="s">
        <v>26</v>
      </c>
      <c r="F5117" s="1">
        <v>46.0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1">
        <v>65.65</v>
      </c>
      <c r="T5117" s="1">
        <v>3047.15</v>
      </c>
      <c r="U5117" s="1">
        <v>4.0</v>
      </c>
      <c r="V5117" s="1">
        <v>1.0</v>
      </c>
      <c r="W5117" s="1" t="s">
        <v>26</v>
      </c>
    </row>
    <row r="5118" ht="15.75" customHeight="1">
      <c r="A5118" s="1" t="s">
        <v>5155</v>
      </c>
      <c r="B5118" s="1" t="s">
        <v>32</v>
      </c>
      <c r="C5118" s="1">
        <v>0.0</v>
      </c>
      <c r="D5118" s="1" t="s">
        <v>26</v>
      </c>
      <c r="E5118" s="1" t="s">
        <v>26</v>
      </c>
      <c r="F5118" s="1">
        <v>1.0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1">
        <v>70.4</v>
      </c>
      <c r="T5118" s="1">
        <v>70.4</v>
      </c>
      <c r="U5118" s="1">
        <v>0.0</v>
      </c>
      <c r="V5118" s="1">
        <v>0.0</v>
      </c>
      <c r="W5118" s="1" t="s">
        <v>25</v>
      </c>
    </row>
    <row r="5119" ht="15.75" customHeight="1">
      <c r="A5119" s="1" t="s">
        <v>5156</v>
      </c>
      <c r="B5119" s="1" t="s">
        <v>24</v>
      </c>
      <c r="C5119" s="1">
        <v>0.0</v>
      </c>
      <c r="D5119" s="1" t="s">
        <v>26</v>
      </c>
      <c r="E5119" s="1" t="s">
        <v>26</v>
      </c>
      <c r="F5119" s="1">
        <v>66.0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1">
        <v>61.35</v>
      </c>
      <c r="T5119" s="1">
        <v>4193.4</v>
      </c>
      <c r="U5119" s="1">
        <v>0.0</v>
      </c>
      <c r="V5119" s="1">
        <v>3.0</v>
      </c>
      <c r="W5119" s="1" t="s">
        <v>26</v>
      </c>
    </row>
    <row r="5120" ht="15.75" customHeight="1">
      <c r="A5120" s="1" t="s">
        <v>5157</v>
      </c>
      <c r="B5120" s="1" t="s">
        <v>24</v>
      </c>
      <c r="C5120" s="1">
        <v>0.0</v>
      </c>
      <c r="D5120" s="1" t="s">
        <v>25</v>
      </c>
      <c r="E5120" s="1" t="s">
        <v>26</v>
      </c>
      <c r="F5120" s="1">
        <v>42.0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1">
        <v>85.9</v>
      </c>
      <c r="T5120" s="1">
        <v>3729.75</v>
      </c>
      <c r="U5120" s="1">
        <v>0.0</v>
      </c>
      <c r="V5120" s="1">
        <v>0.0</v>
      </c>
      <c r="W5120" s="1" t="s">
        <v>26</v>
      </c>
    </row>
    <row r="5121" ht="15.75" customHeight="1">
      <c r="A5121" s="1" t="s">
        <v>5158</v>
      </c>
      <c r="B5121" s="1" t="s">
        <v>24</v>
      </c>
      <c r="C5121" s="1">
        <v>0.0</v>
      </c>
      <c r="D5121" s="1" t="s">
        <v>26</v>
      </c>
      <c r="E5121" s="1" t="s">
        <v>26</v>
      </c>
      <c r="F5121" s="1">
        <v>5.0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1">
        <v>75.65</v>
      </c>
      <c r="T5121" s="1">
        <v>399.45</v>
      </c>
      <c r="U5121" s="1">
        <v>0.0</v>
      </c>
      <c r="V5121" s="1">
        <v>0.0</v>
      </c>
      <c r="W5121" s="1" t="s">
        <v>26</v>
      </c>
    </row>
    <row r="5122" ht="15.75" customHeight="1">
      <c r="A5122" s="1" t="s">
        <v>5159</v>
      </c>
      <c r="B5122" s="1" t="s">
        <v>32</v>
      </c>
      <c r="C5122" s="1">
        <v>0.0</v>
      </c>
      <c r="D5122" s="1" t="s">
        <v>25</v>
      </c>
      <c r="E5122" s="1" t="s">
        <v>25</v>
      </c>
      <c r="F5122" s="1">
        <v>7.0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1">
        <v>49.75</v>
      </c>
      <c r="T5122" s="1">
        <v>331.3</v>
      </c>
      <c r="U5122" s="1">
        <v>0.0</v>
      </c>
      <c r="V5122" s="1">
        <v>0.0</v>
      </c>
      <c r="W5122" s="1" t="s">
        <v>25</v>
      </c>
    </row>
    <row r="5123" ht="15.75" customHeight="1">
      <c r="A5123" s="1" t="s">
        <v>5160</v>
      </c>
      <c r="B5123" s="1" t="s">
        <v>32</v>
      </c>
      <c r="C5123" s="1">
        <v>0.0</v>
      </c>
      <c r="D5123" s="1" t="s">
        <v>26</v>
      </c>
      <c r="E5123" s="1" t="s">
        <v>26</v>
      </c>
      <c r="F5123" s="1">
        <v>29.0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1">
        <v>70.9</v>
      </c>
      <c r="T5123" s="1">
        <v>1964.6</v>
      </c>
      <c r="U5123" s="1">
        <v>0.0</v>
      </c>
      <c r="V5123" s="1">
        <v>0.0</v>
      </c>
      <c r="W5123" s="1" t="s">
        <v>26</v>
      </c>
    </row>
    <row r="5124" ht="15.75" customHeight="1">
      <c r="A5124" s="1" t="s">
        <v>5161</v>
      </c>
      <c r="B5124" s="1" t="s">
        <v>24</v>
      </c>
      <c r="C5124" s="1">
        <v>0.0</v>
      </c>
      <c r="D5124" s="1" t="s">
        <v>25</v>
      </c>
      <c r="E5124" s="1" t="s">
        <v>25</v>
      </c>
      <c r="F5124" s="1">
        <v>27.0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1">
        <v>49.85</v>
      </c>
      <c r="T5124" s="1">
        <v>1336.15</v>
      </c>
      <c r="U5124" s="1">
        <v>0.0</v>
      </c>
      <c r="V5124" s="1">
        <v>0.0</v>
      </c>
      <c r="W5124" s="1" t="s">
        <v>26</v>
      </c>
    </row>
    <row r="5125" ht="15.75" customHeight="1">
      <c r="A5125" s="1" t="s">
        <v>5162</v>
      </c>
      <c r="B5125" s="1" t="s">
        <v>24</v>
      </c>
      <c r="C5125" s="1">
        <v>1.0</v>
      </c>
      <c r="D5125" s="1" t="s">
        <v>26</v>
      </c>
      <c r="E5125" s="1" t="s">
        <v>26</v>
      </c>
      <c r="F5125" s="1">
        <v>15.0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1">
        <v>75.3</v>
      </c>
      <c r="T5125" s="1">
        <v>1147.45</v>
      </c>
      <c r="U5125" s="1">
        <v>0.0</v>
      </c>
      <c r="V5125" s="1">
        <v>0.0</v>
      </c>
      <c r="W5125" s="1" t="s">
        <v>25</v>
      </c>
    </row>
    <row r="5126" ht="15.75" customHeight="1">
      <c r="A5126" s="1" t="s">
        <v>5163</v>
      </c>
      <c r="B5126" s="1" t="s">
        <v>24</v>
      </c>
      <c r="C5126" s="1">
        <v>0.0</v>
      </c>
      <c r="D5126" s="1" t="s">
        <v>25</v>
      </c>
      <c r="E5126" s="1" t="s">
        <v>25</v>
      </c>
      <c r="F5126" s="1">
        <v>25.0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1">
        <v>20.1</v>
      </c>
      <c r="T5126" s="1">
        <v>486.05</v>
      </c>
      <c r="U5126" s="1">
        <v>0.0</v>
      </c>
      <c r="V5126" s="1">
        <v>0.0</v>
      </c>
      <c r="W5126" s="1" t="s">
        <v>26</v>
      </c>
    </row>
    <row r="5127" ht="15.75" customHeight="1">
      <c r="A5127" s="1" t="s">
        <v>5164</v>
      </c>
      <c r="B5127" s="1" t="s">
        <v>24</v>
      </c>
      <c r="C5127" s="1">
        <v>0.0</v>
      </c>
      <c r="D5127" s="1" t="s">
        <v>25</v>
      </c>
      <c r="E5127" s="1" t="s">
        <v>26</v>
      </c>
      <c r="F5127" s="1">
        <v>11.0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1">
        <v>94.0</v>
      </c>
      <c r="T5127" s="1">
        <v>1078.9</v>
      </c>
      <c r="U5127" s="1">
        <v>0.0</v>
      </c>
      <c r="V5127" s="1">
        <v>1.0</v>
      </c>
      <c r="W5127" s="1" t="s">
        <v>25</v>
      </c>
    </row>
    <row r="5128" ht="15.75" customHeight="1">
      <c r="A5128" s="1" t="s">
        <v>5165</v>
      </c>
      <c r="B5128" s="1" t="s">
        <v>32</v>
      </c>
      <c r="C5128" s="1">
        <v>0.0</v>
      </c>
      <c r="D5128" s="1" t="s">
        <v>25</v>
      </c>
      <c r="E5128" s="1" t="s">
        <v>26</v>
      </c>
      <c r="F5128" s="1">
        <v>57.0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1">
        <v>103.05</v>
      </c>
      <c r="T5128" s="1">
        <v>5925.75</v>
      </c>
      <c r="U5128" s="1">
        <v>0.0</v>
      </c>
      <c r="V5128" s="1">
        <v>0.0</v>
      </c>
      <c r="W5128" s="1" t="s">
        <v>26</v>
      </c>
    </row>
    <row r="5129" ht="15.75" customHeight="1">
      <c r="A5129" s="1" t="s">
        <v>5166</v>
      </c>
      <c r="B5129" s="1" t="s">
        <v>32</v>
      </c>
      <c r="C5129" s="1">
        <v>0.0</v>
      </c>
      <c r="D5129" s="1" t="s">
        <v>26</v>
      </c>
      <c r="E5129" s="1" t="s">
        <v>26</v>
      </c>
      <c r="F5129" s="1">
        <v>67.0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1">
        <v>118.35</v>
      </c>
      <c r="T5129" s="1">
        <v>7804.15</v>
      </c>
      <c r="U5129" s="1">
        <v>3.0</v>
      </c>
      <c r="V5129" s="1">
        <v>7.0</v>
      </c>
      <c r="W5129" s="1" t="s">
        <v>25</v>
      </c>
    </row>
    <row r="5130" ht="15.75" customHeight="1">
      <c r="A5130" s="1" t="s">
        <v>5167</v>
      </c>
      <c r="B5130" s="1" t="s">
        <v>24</v>
      </c>
      <c r="C5130" s="1">
        <v>1.0</v>
      </c>
      <c r="D5130" s="1" t="s">
        <v>25</v>
      </c>
      <c r="E5130" s="1" t="s">
        <v>26</v>
      </c>
      <c r="F5130" s="1">
        <v>47.0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1">
        <v>99.7</v>
      </c>
      <c r="T5130" s="1">
        <v>4747.2</v>
      </c>
      <c r="U5130" s="1">
        <v>4.0</v>
      </c>
      <c r="V5130" s="1">
        <v>0.0</v>
      </c>
      <c r="W5130" s="1" t="s">
        <v>26</v>
      </c>
    </row>
    <row r="5131" ht="15.75" customHeight="1">
      <c r="A5131" s="1" t="s">
        <v>5168</v>
      </c>
      <c r="B5131" s="1" t="s">
        <v>24</v>
      </c>
      <c r="C5131" s="1">
        <v>0.0</v>
      </c>
      <c r="D5131" s="1" t="s">
        <v>26</v>
      </c>
      <c r="E5131" s="1" t="s">
        <v>26</v>
      </c>
      <c r="F5131" s="1">
        <v>13.0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1">
        <v>81.9</v>
      </c>
      <c r="T5131" s="1">
        <v>1028.9</v>
      </c>
      <c r="U5131" s="1">
        <v>0.0</v>
      </c>
      <c r="V5131" s="1">
        <v>0.0</v>
      </c>
      <c r="W5131" s="1" t="s">
        <v>26</v>
      </c>
    </row>
    <row r="5132" ht="15.75" customHeight="1">
      <c r="A5132" s="1" t="s">
        <v>5169</v>
      </c>
      <c r="B5132" s="1" t="s">
        <v>32</v>
      </c>
      <c r="C5132" s="1">
        <v>0.0</v>
      </c>
      <c r="D5132" s="1" t="s">
        <v>26</v>
      </c>
      <c r="E5132" s="1" t="s">
        <v>26</v>
      </c>
      <c r="F5132" s="1">
        <v>8.0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1">
        <v>30.45</v>
      </c>
      <c r="T5132" s="1">
        <v>226.45</v>
      </c>
      <c r="U5132" s="1">
        <v>0.0</v>
      </c>
      <c r="V5132" s="1">
        <v>0.0</v>
      </c>
      <c r="W5132" s="1" t="s">
        <v>25</v>
      </c>
    </row>
    <row r="5133" ht="15.75" customHeight="1">
      <c r="A5133" s="1" t="s">
        <v>5170</v>
      </c>
      <c r="B5133" s="1" t="s">
        <v>24</v>
      </c>
      <c r="C5133" s="1">
        <v>0.0</v>
      </c>
      <c r="D5133" s="1" t="s">
        <v>25</v>
      </c>
      <c r="E5133" s="1" t="s">
        <v>26</v>
      </c>
      <c r="F5133" s="1">
        <v>44.0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1">
        <v>96.1</v>
      </c>
      <c r="T5133" s="1">
        <v>4364.1</v>
      </c>
      <c r="U5133" s="1">
        <v>0.0</v>
      </c>
      <c r="V5133" s="1">
        <v>2.0</v>
      </c>
      <c r="W5133" s="1" t="s">
        <v>25</v>
      </c>
    </row>
    <row r="5134" ht="15.75" customHeight="1">
      <c r="A5134" s="1" t="s">
        <v>5171</v>
      </c>
      <c r="B5134" s="1" t="s">
        <v>32</v>
      </c>
      <c r="C5134" s="1">
        <v>0.0</v>
      </c>
      <c r="D5134" s="1" t="s">
        <v>25</v>
      </c>
      <c r="E5134" s="1" t="s">
        <v>25</v>
      </c>
      <c r="F5134" s="1">
        <v>71.0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1">
        <v>66.2</v>
      </c>
      <c r="T5134" s="1">
        <v>4692.55</v>
      </c>
      <c r="U5134" s="1">
        <v>0.0</v>
      </c>
      <c r="V5134" s="1">
        <v>2.0</v>
      </c>
      <c r="W5134" s="1" t="s">
        <v>26</v>
      </c>
    </row>
    <row r="5135" ht="15.75" customHeight="1">
      <c r="A5135" s="1" t="s">
        <v>5172</v>
      </c>
      <c r="B5135" s="1" t="s">
        <v>32</v>
      </c>
      <c r="C5135" s="1">
        <v>1.0</v>
      </c>
      <c r="D5135" s="1" t="s">
        <v>25</v>
      </c>
      <c r="E5135" s="1" t="s">
        <v>26</v>
      </c>
      <c r="F5135" s="1">
        <v>24.0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1">
        <v>104.25</v>
      </c>
      <c r="T5135" s="1">
        <v>2433.9</v>
      </c>
      <c r="U5135" s="1">
        <v>0.0</v>
      </c>
      <c r="V5135" s="1">
        <v>2.0</v>
      </c>
      <c r="W5135" s="1" t="s">
        <v>25</v>
      </c>
    </row>
    <row r="5136" ht="15.75" customHeight="1">
      <c r="A5136" s="1" t="s">
        <v>5173</v>
      </c>
      <c r="B5136" s="1" t="s">
        <v>32</v>
      </c>
      <c r="C5136" s="1">
        <v>1.0</v>
      </c>
      <c r="D5136" s="1" t="s">
        <v>26</v>
      </c>
      <c r="E5136" s="1" t="s">
        <v>26</v>
      </c>
      <c r="F5136" s="1">
        <v>15.0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1">
        <v>80.2</v>
      </c>
      <c r="T5136" s="1">
        <v>1217.25</v>
      </c>
      <c r="U5136" s="1">
        <v>0.0</v>
      </c>
      <c r="V5136" s="1">
        <v>0.0</v>
      </c>
      <c r="W5136" s="1" t="s">
        <v>25</v>
      </c>
    </row>
    <row r="5137" ht="15.75" customHeight="1">
      <c r="A5137" s="1" t="s">
        <v>5174</v>
      </c>
      <c r="B5137" s="1" t="s">
        <v>24</v>
      </c>
      <c r="C5137" s="1">
        <v>0.0</v>
      </c>
      <c r="D5137" s="1" t="s">
        <v>26</v>
      </c>
      <c r="E5137" s="1" t="s">
        <v>26</v>
      </c>
      <c r="F5137" s="1">
        <v>1.0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1">
        <v>19.75</v>
      </c>
      <c r="T5137" s="1">
        <v>19.75</v>
      </c>
      <c r="U5137" s="1">
        <v>2.0</v>
      </c>
      <c r="V5137" s="1">
        <v>0.0</v>
      </c>
      <c r="W5137" s="1" t="s">
        <v>26</v>
      </c>
    </row>
    <row r="5138" ht="15.75" customHeight="1">
      <c r="A5138" s="1" t="s">
        <v>5175</v>
      </c>
      <c r="B5138" s="1" t="s">
        <v>32</v>
      </c>
      <c r="C5138" s="1">
        <v>1.0</v>
      </c>
      <c r="D5138" s="1" t="s">
        <v>26</v>
      </c>
      <c r="E5138" s="1" t="s">
        <v>26</v>
      </c>
      <c r="F5138" s="1">
        <v>2.0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1">
        <v>72.6</v>
      </c>
      <c r="T5138" s="1">
        <v>154.3</v>
      </c>
      <c r="U5138" s="1">
        <v>5.0</v>
      </c>
      <c r="V5138" s="1">
        <v>0.0</v>
      </c>
      <c r="W5138" s="1" t="s">
        <v>26</v>
      </c>
    </row>
    <row r="5139" ht="15.75" customHeight="1">
      <c r="A5139" s="1" t="s">
        <v>5176</v>
      </c>
      <c r="B5139" s="1" t="s">
        <v>32</v>
      </c>
      <c r="C5139" s="1">
        <v>1.0</v>
      </c>
      <c r="D5139" s="1" t="s">
        <v>26</v>
      </c>
      <c r="E5139" s="1" t="s">
        <v>26</v>
      </c>
      <c r="F5139" s="1">
        <v>55.0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1">
        <v>116.5</v>
      </c>
      <c r="T5139" s="1">
        <v>6382.55</v>
      </c>
      <c r="U5139" s="1">
        <v>0.0</v>
      </c>
      <c r="V5139" s="1">
        <v>3.0</v>
      </c>
      <c r="W5139" s="1" t="s">
        <v>26</v>
      </c>
    </row>
    <row r="5140" ht="15.75" customHeight="1">
      <c r="A5140" s="1" t="s">
        <v>5177</v>
      </c>
      <c r="B5140" s="1" t="s">
        <v>32</v>
      </c>
      <c r="C5140" s="1">
        <v>1.0</v>
      </c>
      <c r="D5140" s="1" t="s">
        <v>26</v>
      </c>
      <c r="E5140" s="1" t="s">
        <v>26</v>
      </c>
      <c r="F5140" s="1">
        <v>71.0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1">
        <v>106.8</v>
      </c>
      <c r="T5140" s="1">
        <v>7623.2</v>
      </c>
      <c r="U5140" s="1">
        <v>0.0</v>
      </c>
      <c r="V5140" s="1">
        <v>0.0</v>
      </c>
      <c r="W5140" s="1" t="s">
        <v>26</v>
      </c>
    </row>
    <row r="5141" ht="15.75" customHeight="1">
      <c r="A5141" s="1" t="s">
        <v>5178</v>
      </c>
      <c r="B5141" s="1" t="s">
        <v>32</v>
      </c>
      <c r="C5141" s="1">
        <v>0.0</v>
      </c>
      <c r="D5141" s="1" t="s">
        <v>25</v>
      </c>
      <c r="E5141" s="1" t="s">
        <v>25</v>
      </c>
      <c r="F5141" s="1">
        <v>50.0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1">
        <v>24.95</v>
      </c>
      <c r="T5141" s="1">
        <v>1261.45</v>
      </c>
      <c r="U5141" s="1">
        <v>2.0</v>
      </c>
      <c r="V5141" s="1">
        <v>0.0</v>
      </c>
      <c r="W5141" s="1" t="s">
        <v>26</v>
      </c>
    </row>
    <row r="5142" ht="15.75" customHeight="1">
      <c r="A5142" s="1" t="s">
        <v>5179</v>
      </c>
      <c r="B5142" s="1" t="s">
        <v>32</v>
      </c>
      <c r="C5142" s="1">
        <v>0.0</v>
      </c>
      <c r="D5142" s="1" t="s">
        <v>26</v>
      </c>
      <c r="E5142" s="1" t="s">
        <v>26</v>
      </c>
      <c r="F5142" s="1">
        <v>1.0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1">
        <v>89.25</v>
      </c>
      <c r="T5142" s="1">
        <v>89.25</v>
      </c>
      <c r="U5142" s="1">
        <v>0.0</v>
      </c>
      <c r="V5142" s="1">
        <v>0.0</v>
      </c>
      <c r="W5142" s="1" t="s">
        <v>26</v>
      </c>
    </row>
    <row r="5143" ht="15.75" customHeight="1">
      <c r="A5143" s="1" t="s">
        <v>5180</v>
      </c>
      <c r="B5143" s="1" t="s">
        <v>32</v>
      </c>
      <c r="C5143" s="1">
        <v>0.0</v>
      </c>
      <c r="D5143" s="1" t="s">
        <v>26</v>
      </c>
      <c r="E5143" s="1" t="s">
        <v>26</v>
      </c>
      <c r="F5143" s="1">
        <v>5.0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1">
        <v>19.25</v>
      </c>
      <c r="T5143" s="1">
        <v>86.05</v>
      </c>
      <c r="U5143" s="1">
        <v>0.0</v>
      </c>
      <c r="V5143" s="1">
        <v>0.0</v>
      </c>
      <c r="W5143" s="1" t="s">
        <v>26</v>
      </c>
    </row>
    <row r="5144" ht="15.75" customHeight="1">
      <c r="A5144" s="1" t="s">
        <v>5181</v>
      </c>
      <c r="B5144" s="1" t="s">
        <v>24</v>
      </c>
      <c r="C5144" s="1">
        <v>0.0</v>
      </c>
      <c r="D5144" s="1" t="s">
        <v>26</v>
      </c>
      <c r="E5144" s="1" t="s">
        <v>26</v>
      </c>
      <c r="F5144" s="1">
        <v>66.0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1">
        <v>104.55</v>
      </c>
      <c r="T5144" s="1">
        <v>6779.05</v>
      </c>
      <c r="U5144" s="1">
        <v>0.0</v>
      </c>
      <c r="V5144" s="1">
        <v>0.0</v>
      </c>
      <c r="W5144" s="1" t="s">
        <v>26</v>
      </c>
    </row>
    <row r="5145" ht="15.75" customHeight="1">
      <c r="A5145" s="1" t="s">
        <v>5182</v>
      </c>
      <c r="B5145" s="1" t="s">
        <v>24</v>
      </c>
      <c r="C5145" s="1">
        <v>0.0</v>
      </c>
      <c r="D5145" s="1" t="s">
        <v>25</v>
      </c>
      <c r="E5145" s="1" t="s">
        <v>25</v>
      </c>
      <c r="F5145" s="1">
        <v>49.0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1">
        <v>87.2</v>
      </c>
      <c r="T5145" s="1">
        <v>4345.0</v>
      </c>
      <c r="U5145" s="1">
        <v>0.0</v>
      </c>
      <c r="V5145" s="1">
        <v>0.0</v>
      </c>
      <c r="W5145" s="1" t="s">
        <v>26</v>
      </c>
    </row>
    <row r="5146" ht="15.75" customHeight="1">
      <c r="A5146" s="1" t="s">
        <v>5183</v>
      </c>
      <c r="B5146" s="1" t="s">
        <v>24</v>
      </c>
      <c r="C5146" s="1">
        <v>1.0</v>
      </c>
      <c r="D5146" s="1" t="s">
        <v>25</v>
      </c>
      <c r="E5146" s="1" t="s">
        <v>26</v>
      </c>
      <c r="F5146" s="1">
        <v>3.0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1">
        <v>30.75</v>
      </c>
      <c r="T5146" s="1">
        <v>82.85</v>
      </c>
      <c r="U5146" s="1">
        <v>0.0</v>
      </c>
      <c r="V5146" s="1">
        <v>0.0</v>
      </c>
      <c r="W5146" s="1" t="s">
        <v>26</v>
      </c>
    </row>
    <row r="5147" ht="15.75" customHeight="1">
      <c r="A5147" s="1" t="s">
        <v>5184</v>
      </c>
      <c r="B5147" s="1" t="s">
        <v>32</v>
      </c>
      <c r="C5147" s="1">
        <v>0.0</v>
      </c>
      <c r="D5147" s="1" t="s">
        <v>25</v>
      </c>
      <c r="E5147" s="1" t="s">
        <v>25</v>
      </c>
      <c r="F5147" s="1">
        <v>66.0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1">
        <v>25.7</v>
      </c>
      <c r="T5147" s="1">
        <v>1714.55</v>
      </c>
      <c r="U5147" s="1">
        <v>0.0</v>
      </c>
      <c r="V5147" s="1">
        <v>0.0</v>
      </c>
      <c r="W5147" s="1" t="s">
        <v>26</v>
      </c>
    </row>
    <row r="5148" ht="15.75" customHeight="1">
      <c r="A5148" s="1" t="s">
        <v>5185</v>
      </c>
      <c r="B5148" s="1" t="s">
        <v>32</v>
      </c>
      <c r="C5148" s="1">
        <v>0.0</v>
      </c>
      <c r="D5148" s="1" t="s">
        <v>26</v>
      </c>
      <c r="E5148" s="1" t="s">
        <v>25</v>
      </c>
      <c r="F5148" s="1">
        <v>11.0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1">
        <v>86.2</v>
      </c>
      <c r="T5148" s="1">
        <v>893.2</v>
      </c>
      <c r="U5148" s="1">
        <v>0.0</v>
      </c>
      <c r="V5148" s="1">
        <v>0.0</v>
      </c>
      <c r="W5148" s="1" t="s">
        <v>26</v>
      </c>
    </row>
    <row r="5149" ht="15.75" customHeight="1">
      <c r="A5149" s="1" t="s">
        <v>5186</v>
      </c>
      <c r="B5149" s="1" t="s">
        <v>32</v>
      </c>
      <c r="C5149" s="1">
        <v>0.0</v>
      </c>
      <c r="D5149" s="1" t="s">
        <v>26</v>
      </c>
      <c r="E5149" s="1" t="s">
        <v>26</v>
      </c>
      <c r="F5149" s="1">
        <v>28.0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1">
        <v>30.1</v>
      </c>
      <c r="T5149" s="1">
        <v>810.85</v>
      </c>
      <c r="U5149" s="1">
        <v>0.0</v>
      </c>
      <c r="V5149" s="1">
        <v>0.0</v>
      </c>
      <c r="W5149" s="1" t="s">
        <v>26</v>
      </c>
    </row>
    <row r="5150" ht="15.75" customHeight="1">
      <c r="A5150" s="1" t="s">
        <v>5187</v>
      </c>
      <c r="B5150" s="1" t="s">
        <v>32</v>
      </c>
      <c r="C5150" s="1">
        <v>0.0</v>
      </c>
      <c r="D5150" s="1" t="s">
        <v>25</v>
      </c>
      <c r="E5150" s="1" t="s">
        <v>26</v>
      </c>
      <c r="F5150" s="1">
        <v>65.0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1">
        <v>99.35</v>
      </c>
      <c r="T5150" s="1">
        <v>6347.55</v>
      </c>
      <c r="U5150" s="1">
        <v>0.0</v>
      </c>
      <c r="V5150" s="1">
        <v>0.0</v>
      </c>
      <c r="W5150" s="1" t="s">
        <v>26</v>
      </c>
    </row>
    <row r="5151" ht="15.75" customHeight="1">
      <c r="A5151" s="1" t="s">
        <v>5188</v>
      </c>
      <c r="B5151" s="1" t="s">
        <v>24</v>
      </c>
      <c r="C5151" s="1">
        <v>0.0</v>
      </c>
      <c r="D5151" s="1" t="s">
        <v>26</v>
      </c>
      <c r="E5151" s="1" t="s">
        <v>26</v>
      </c>
      <c r="F5151" s="1">
        <v>62.0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1">
        <v>19.2</v>
      </c>
      <c r="T5151" s="1">
        <v>1123.65</v>
      </c>
      <c r="U5151" s="1">
        <v>2.0</v>
      </c>
      <c r="V5151" s="1">
        <v>5.0</v>
      </c>
      <c r="W5151" s="1" t="s">
        <v>26</v>
      </c>
    </row>
    <row r="5152" ht="15.75" customHeight="1">
      <c r="A5152" s="1" t="s">
        <v>5189</v>
      </c>
      <c r="B5152" s="1" t="s">
        <v>24</v>
      </c>
      <c r="C5152" s="1">
        <v>0.0</v>
      </c>
      <c r="D5152" s="1" t="s">
        <v>25</v>
      </c>
      <c r="E5152" s="1" t="s">
        <v>26</v>
      </c>
      <c r="F5152" s="1">
        <v>2.0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1">
        <v>20.1</v>
      </c>
      <c r="T5152" s="1">
        <v>43.15</v>
      </c>
      <c r="U5152" s="1">
        <v>0.0</v>
      </c>
      <c r="V5152" s="1">
        <v>0.0</v>
      </c>
      <c r="W5152" s="1" t="s">
        <v>26</v>
      </c>
    </row>
    <row r="5153" ht="15.75" customHeight="1">
      <c r="A5153" s="1" t="s">
        <v>5190</v>
      </c>
      <c r="B5153" s="1" t="s">
        <v>24</v>
      </c>
      <c r="C5153" s="1">
        <v>0.0</v>
      </c>
      <c r="D5153" s="1" t="s">
        <v>26</v>
      </c>
      <c r="E5153" s="1" t="s">
        <v>26</v>
      </c>
      <c r="F5153" s="1">
        <v>2.0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1">
        <v>20.35</v>
      </c>
      <c r="T5153" s="1">
        <v>35.1</v>
      </c>
      <c r="U5153" s="1">
        <v>3.0</v>
      </c>
      <c r="V5153" s="1">
        <v>0.0</v>
      </c>
      <c r="W5153" s="1" t="s">
        <v>26</v>
      </c>
    </row>
    <row r="5154" ht="15.75" customHeight="1">
      <c r="A5154" s="1" t="s">
        <v>5191</v>
      </c>
      <c r="B5154" s="1" t="s">
        <v>24</v>
      </c>
      <c r="C5154" s="1">
        <v>0.0</v>
      </c>
      <c r="D5154" s="1" t="s">
        <v>25</v>
      </c>
      <c r="E5154" s="1" t="s">
        <v>25</v>
      </c>
      <c r="F5154" s="1">
        <v>55.0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1">
        <v>25.65</v>
      </c>
      <c r="T5154" s="1">
        <v>1388.0</v>
      </c>
      <c r="U5154" s="1">
        <v>0.0</v>
      </c>
      <c r="V5154" s="1">
        <v>0.0</v>
      </c>
      <c r="W5154" s="1" t="s">
        <v>26</v>
      </c>
    </row>
    <row r="5155" ht="15.75" customHeight="1">
      <c r="A5155" s="1" t="s">
        <v>5192</v>
      </c>
      <c r="B5155" s="1" t="s">
        <v>32</v>
      </c>
      <c r="C5155" s="1">
        <v>1.0</v>
      </c>
      <c r="D5155" s="1" t="s">
        <v>25</v>
      </c>
      <c r="E5155" s="1" t="s">
        <v>26</v>
      </c>
      <c r="F5155" s="1">
        <v>41.0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1">
        <v>94.55</v>
      </c>
      <c r="T5155" s="1">
        <v>3851.45</v>
      </c>
      <c r="U5155" s="1">
        <v>0.0</v>
      </c>
      <c r="V5155" s="1">
        <v>3.0</v>
      </c>
      <c r="W5155" s="1" t="s">
        <v>26</v>
      </c>
    </row>
    <row r="5156" ht="15.75" customHeight="1">
      <c r="A5156" s="1" t="s">
        <v>5193</v>
      </c>
      <c r="B5156" s="1" t="s">
        <v>24</v>
      </c>
      <c r="C5156" s="1">
        <v>0.0</v>
      </c>
      <c r="D5156" s="1" t="s">
        <v>25</v>
      </c>
      <c r="E5156" s="1" t="s">
        <v>25</v>
      </c>
      <c r="F5156" s="1">
        <v>17.0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1">
        <v>104.2</v>
      </c>
      <c r="T5156" s="1">
        <v>1743.5</v>
      </c>
      <c r="U5156" s="1">
        <v>0.0</v>
      </c>
      <c r="V5156" s="1">
        <v>1.0</v>
      </c>
      <c r="W5156" s="1" t="s">
        <v>25</v>
      </c>
    </row>
    <row r="5157" ht="15.75" customHeight="1">
      <c r="A5157" s="1" t="s">
        <v>5194</v>
      </c>
      <c r="B5157" s="1" t="s">
        <v>24</v>
      </c>
      <c r="C5157" s="1">
        <v>0.0</v>
      </c>
      <c r="D5157" s="1" t="s">
        <v>26</v>
      </c>
      <c r="E5157" s="1" t="s">
        <v>26</v>
      </c>
      <c r="F5157" s="1">
        <v>30.0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1">
        <v>94.4</v>
      </c>
      <c r="T5157" s="1">
        <v>2638.1</v>
      </c>
      <c r="U5157" s="1">
        <v>0.0</v>
      </c>
      <c r="V5157" s="1">
        <v>0.0</v>
      </c>
      <c r="W5157" s="1" t="s">
        <v>26</v>
      </c>
    </row>
    <row r="5158" ht="15.75" customHeight="1">
      <c r="A5158" s="1" t="s">
        <v>5195</v>
      </c>
      <c r="B5158" s="1" t="s">
        <v>32</v>
      </c>
      <c r="C5158" s="1">
        <v>0.0</v>
      </c>
      <c r="D5158" s="1" t="s">
        <v>26</v>
      </c>
      <c r="E5158" s="1" t="s">
        <v>26</v>
      </c>
      <c r="F5158" s="1">
        <v>17.0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1">
        <v>56.1</v>
      </c>
      <c r="T5158" s="1">
        <v>946.95</v>
      </c>
      <c r="U5158" s="1">
        <v>0.0</v>
      </c>
      <c r="V5158" s="1">
        <v>0.0</v>
      </c>
      <c r="W5158" s="1" t="s">
        <v>26</v>
      </c>
    </row>
    <row r="5159" ht="15.75" customHeight="1">
      <c r="A5159" s="1" t="s">
        <v>5196</v>
      </c>
      <c r="B5159" s="1" t="s">
        <v>24</v>
      </c>
      <c r="C5159" s="1">
        <v>0.0</v>
      </c>
      <c r="D5159" s="1" t="s">
        <v>25</v>
      </c>
      <c r="E5159" s="1" t="s">
        <v>25</v>
      </c>
      <c r="F5159" s="1">
        <v>16.0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1">
        <v>68.25</v>
      </c>
      <c r="T5159" s="1">
        <v>1114.85</v>
      </c>
      <c r="U5159" s="1">
        <v>0.0</v>
      </c>
      <c r="V5159" s="1">
        <v>0.0</v>
      </c>
      <c r="W5159" s="1" t="s">
        <v>26</v>
      </c>
    </row>
    <row r="5160" ht="15.75" customHeight="1">
      <c r="A5160" s="1" t="s">
        <v>5197</v>
      </c>
      <c r="B5160" s="1" t="s">
        <v>32</v>
      </c>
      <c r="C5160" s="1">
        <v>0.0</v>
      </c>
      <c r="D5160" s="1" t="s">
        <v>26</v>
      </c>
      <c r="E5160" s="1" t="s">
        <v>26</v>
      </c>
      <c r="F5160" s="1">
        <v>72.0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1">
        <v>24.75</v>
      </c>
      <c r="T5160" s="1">
        <v>1777.6</v>
      </c>
      <c r="U5160" s="1">
        <v>5.0</v>
      </c>
      <c r="V5160" s="1">
        <v>0.0</v>
      </c>
      <c r="W5160" s="1" t="s">
        <v>26</v>
      </c>
    </row>
    <row r="5161" ht="15.75" customHeight="1">
      <c r="A5161" s="1" t="s">
        <v>5198</v>
      </c>
      <c r="B5161" s="1" t="s">
        <v>32</v>
      </c>
      <c r="C5161" s="1">
        <v>0.0</v>
      </c>
      <c r="D5161" s="1" t="s">
        <v>26</v>
      </c>
      <c r="E5161" s="1" t="s">
        <v>26</v>
      </c>
      <c r="F5161" s="1">
        <v>9.0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1">
        <v>76.25</v>
      </c>
      <c r="T5161" s="1">
        <v>684.85</v>
      </c>
      <c r="U5161" s="1">
        <v>2.0</v>
      </c>
      <c r="V5161" s="1">
        <v>0.0</v>
      </c>
      <c r="W5161" s="1" t="s">
        <v>26</v>
      </c>
    </row>
    <row r="5162" ht="15.75" customHeight="1">
      <c r="A5162" s="1" t="s">
        <v>5199</v>
      </c>
      <c r="B5162" s="1" t="s">
        <v>24</v>
      </c>
      <c r="C5162" s="1">
        <v>0.0</v>
      </c>
      <c r="D5162" s="1" t="s">
        <v>26</v>
      </c>
      <c r="E5162" s="1" t="s">
        <v>26</v>
      </c>
      <c r="F5162" s="1">
        <v>1.0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1">
        <v>74.35</v>
      </c>
      <c r="T5162" s="1">
        <v>74.35</v>
      </c>
      <c r="U5162" s="1">
        <v>0.0</v>
      </c>
      <c r="V5162" s="1">
        <v>0.0</v>
      </c>
      <c r="W5162" s="1" t="s">
        <v>26</v>
      </c>
    </row>
    <row r="5163" ht="15.75" customHeight="1">
      <c r="A5163" s="1" t="s">
        <v>5200</v>
      </c>
      <c r="B5163" s="1" t="s">
        <v>32</v>
      </c>
      <c r="C5163" s="1">
        <v>0.0</v>
      </c>
      <c r="D5163" s="1" t="s">
        <v>26</v>
      </c>
      <c r="E5163" s="1" t="s">
        <v>25</v>
      </c>
      <c r="F5163" s="1">
        <v>23.0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1">
        <v>54.15</v>
      </c>
      <c r="T5163" s="1">
        <v>1312.45</v>
      </c>
      <c r="U5163" s="1">
        <v>0.0</v>
      </c>
      <c r="V5163" s="1">
        <v>0.0</v>
      </c>
      <c r="W5163" s="1" t="s">
        <v>26</v>
      </c>
    </row>
    <row r="5164" ht="15.75" customHeight="1">
      <c r="A5164" s="1" t="s">
        <v>5201</v>
      </c>
      <c r="B5164" s="1" t="s">
        <v>32</v>
      </c>
      <c r="C5164" s="1">
        <v>0.0</v>
      </c>
      <c r="D5164" s="1" t="s">
        <v>26</v>
      </c>
      <c r="E5164" s="1" t="s">
        <v>25</v>
      </c>
      <c r="F5164" s="1">
        <v>8.0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1">
        <v>19.45</v>
      </c>
      <c r="T5164" s="1">
        <v>159.2</v>
      </c>
      <c r="U5164" s="1">
        <v>0.0</v>
      </c>
      <c r="V5164" s="1">
        <v>0.0</v>
      </c>
      <c r="W5164" s="1" t="s">
        <v>26</v>
      </c>
    </row>
    <row r="5165" ht="15.75" customHeight="1">
      <c r="A5165" s="1" t="s">
        <v>5202</v>
      </c>
      <c r="B5165" s="1" t="s">
        <v>32</v>
      </c>
      <c r="C5165" s="1">
        <v>0.0</v>
      </c>
      <c r="D5165" s="1" t="s">
        <v>25</v>
      </c>
      <c r="E5165" s="1" t="s">
        <v>25</v>
      </c>
      <c r="F5165" s="1">
        <v>19.0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1">
        <v>34.95</v>
      </c>
      <c r="T5165" s="1">
        <v>610.2</v>
      </c>
      <c r="U5165" s="1">
        <v>0.0</v>
      </c>
      <c r="V5165" s="1">
        <v>0.0</v>
      </c>
      <c r="W5165" s="1" t="s">
        <v>26</v>
      </c>
    </row>
    <row r="5166" ht="15.75" customHeight="1">
      <c r="A5166" s="1" t="s">
        <v>5203</v>
      </c>
      <c r="B5166" s="1" t="s">
        <v>24</v>
      </c>
      <c r="C5166" s="1">
        <v>0.0</v>
      </c>
      <c r="D5166" s="1" t="s">
        <v>26</v>
      </c>
      <c r="E5166" s="1" t="s">
        <v>26</v>
      </c>
      <c r="F5166" s="1">
        <v>7.0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1">
        <v>53.65</v>
      </c>
      <c r="T5166" s="1">
        <v>404.35</v>
      </c>
      <c r="U5166" s="1">
        <v>0.0</v>
      </c>
      <c r="V5166" s="1">
        <v>0.0</v>
      </c>
      <c r="W5166" s="1" t="s">
        <v>26</v>
      </c>
    </row>
    <row r="5167" ht="15.75" customHeight="1">
      <c r="A5167" s="1" t="s">
        <v>5204</v>
      </c>
      <c r="B5167" s="1" t="s">
        <v>32</v>
      </c>
      <c r="C5167" s="1">
        <v>1.0</v>
      </c>
      <c r="D5167" s="1" t="s">
        <v>26</v>
      </c>
      <c r="E5167" s="1" t="s">
        <v>26</v>
      </c>
      <c r="F5167" s="1">
        <v>1.0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1">
        <v>69.65</v>
      </c>
      <c r="T5167" s="1">
        <v>69.65</v>
      </c>
      <c r="U5167" s="1">
        <v>0.0</v>
      </c>
      <c r="V5167" s="1">
        <v>0.0</v>
      </c>
      <c r="W5167" s="1" t="s">
        <v>25</v>
      </c>
    </row>
    <row r="5168" ht="15.75" customHeight="1">
      <c r="A5168" s="1" t="s">
        <v>5205</v>
      </c>
      <c r="B5168" s="1" t="s">
        <v>32</v>
      </c>
      <c r="C5168" s="1">
        <v>0.0</v>
      </c>
      <c r="D5168" s="1" t="s">
        <v>26</v>
      </c>
      <c r="E5168" s="1" t="s">
        <v>26</v>
      </c>
      <c r="F5168" s="1">
        <v>61.0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1">
        <v>104.0</v>
      </c>
      <c r="T5168" s="1">
        <v>6363.45</v>
      </c>
      <c r="U5168" s="1">
        <v>0.0</v>
      </c>
      <c r="V5168" s="1">
        <v>0.0</v>
      </c>
      <c r="W5168" s="1" t="s">
        <v>26</v>
      </c>
    </row>
    <row r="5169" ht="15.75" customHeight="1">
      <c r="A5169" s="1" t="s">
        <v>5206</v>
      </c>
      <c r="B5169" s="1" t="s">
        <v>24</v>
      </c>
      <c r="C5169" s="1">
        <v>0.0</v>
      </c>
      <c r="D5169" s="1" t="s">
        <v>25</v>
      </c>
      <c r="E5169" s="1" t="s">
        <v>26</v>
      </c>
      <c r="F5169" s="1">
        <v>57.0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1">
        <v>70.35</v>
      </c>
      <c r="T5169" s="1">
        <v>4124.65</v>
      </c>
      <c r="U5169" s="1">
        <v>0.0</v>
      </c>
      <c r="V5169" s="1">
        <v>0.0</v>
      </c>
      <c r="W5169" s="1" t="s">
        <v>26</v>
      </c>
    </row>
    <row r="5170" ht="15.75" customHeight="1">
      <c r="A5170" s="1" t="s">
        <v>5207</v>
      </c>
      <c r="B5170" s="1" t="s">
        <v>32</v>
      </c>
      <c r="C5170" s="1">
        <v>0.0</v>
      </c>
      <c r="D5170" s="1" t="s">
        <v>26</v>
      </c>
      <c r="E5170" s="1" t="s">
        <v>26</v>
      </c>
      <c r="F5170" s="1">
        <v>9.0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1">
        <v>80.8</v>
      </c>
      <c r="T5170" s="1">
        <v>713.1</v>
      </c>
      <c r="U5170" s="1">
        <v>0.0</v>
      </c>
      <c r="V5170" s="1">
        <v>0.0</v>
      </c>
      <c r="W5170" s="1" t="s">
        <v>25</v>
      </c>
    </row>
    <row r="5171" ht="15.75" customHeight="1">
      <c r="A5171" s="1" t="s">
        <v>5208</v>
      </c>
      <c r="B5171" s="1" t="s">
        <v>32</v>
      </c>
      <c r="C5171" s="1">
        <v>0.0</v>
      </c>
      <c r="D5171" s="1" t="s">
        <v>26</v>
      </c>
      <c r="E5171" s="1" t="s">
        <v>25</v>
      </c>
      <c r="F5171" s="1">
        <v>15.0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1">
        <v>64.85</v>
      </c>
      <c r="T5171" s="1">
        <v>950.75</v>
      </c>
      <c r="U5171" s="1">
        <v>0.0</v>
      </c>
      <c r="V5171" s="1">
        <v>0.0</v>
      </c>
      <c r="W5171" s="1" t="s">
        <v>26</v>
      </c>
    </row>
    <row r="5172" ht="15.75" customHeight="1">
      <c r="A5172" s="1" t="s">
        <v>5209</v>
      </c>
      <c r="B5172" s="1" t="s">
        <v>24</v>
      </c>
      <c r="C5172" s="1">
        <v>0.0</v>
      </c>
      <c r="D5172" s="1" t="s">
        <v>26</v>
      </c>
      <c r="E5172" s="1" t="s">
        <v>26</v>
      </c>
      <c r="F5172" s="1">
        <v>1.0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1">
        <v>19.65</v>
      </c>
      <c r="T5172" s="1">
        <v>19.65</v>
      </c>
      <c r="U5172" s="1">
        <v>0.0</v>
      </c>
      <c r="V5172" s="1">
        <v>0.0</v>
      </c>
      <c r="W5172" s="1" t="s">
        <v>26</v>
      </c>
    </row>
    <row r="5173" ht="15.75" customHeight="1">
      <c r="A5173" s="1" t="s">
        <v>5210</v>
      </c>
      <c r="B5173" s="1" t="s">
        <v>24</v>
      </c>
      <c r="C5173" s="1">
        <v>0.0</v>
      </c>
      <c r="D5173" s="1" t="s">
        <v>25</v>
      </c>
      <c r="E5173" s="1" t="s">
        <v>26</v>
      </c>
      <c r="F5173" s="1">
        <v>12.0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1">
        <v>45.9</v>
      </c>
      <c r="T5173" s="1">
        <v>505.95</v>
      </c>
      <c r="U5173" s="1">
        <v>0.0</v>
      </c>
      <c r="V5173" s="1">
        <v>0.0</v>
      </c>
      <c r="W5173" s="1" t="s">
        <v>26</v>
      </c>
    </row>
    <row r="5174" ht="15.75" customHeight="1">
      <c r="A5174" s="1" t="s">
        <v>5211</v>
      </c>
      <c r="B5174" s="1" t="s">
        <v>32</v>
      </c>
      <c r="C5174" s="1">
        <v>0.0</v>
      </c>
      <c r="D5174" s="1" t="s">
        <v>26</v>
      </c>
      <c r="E5174" s="1" t="s">
        <v>26</v>
      </c>
      <c r="F5174" s="1">
        <v>54.0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1">
        <v>20.0</v>
      </c>
      <c r="T5174" s="1">
        <v>1149.65</v>
      </c>
      <c r="U5174" s="1">
        <v>0.0</v>
      </c>
      <c r="V5174" s="1">
        <v>0.0</v>
      </c>
      <c r="W5174" s="1" t="s">
        <v>26</v>
      </c>
    </row>
    <row r="5175" ht="15.75" customHeight="1">
      <c r="A5175" s="1" t="s">
        <v>5212</v>
      </c>
      <c r="B5175" s="1" t="s">
        <v>32</v>
      </c>
      <c r="C5175" s="1">
        <v>0.0</v>
      </c>
      <c r="D5175" s="1" t="s">
        <v>25</v>
      </c>
      <c r="E5175" s="1" t="s">
        <v>25</v>
      </c>
      <c r="F5175" s="1">
        <v>4.0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1">
        <v>44.8</v>
      </c>
      <c r="T5175" s="1">
        <v>169.65</v>
      </c>
      <c r="U5175" s="1">
        <v>0.0</v>
      </c>
      <c r="V5175" s="1">
        <v>0.0</v>
      </c>
      <c r="W5175" s="1" t="s">
        <v>26</v>
      </c>
    </row>
    <row r="5176" ht="15.75" customHeight="1">
      <c r="A5176" s="1" t="s">
        <v>5213</v>
      </c>
      <c r="B5176" s="1" t="s">
        <v>24</v>
      </c>
      <c r="C5176" s="1">
        <v>0.0</v>
      </c>
      <c r="D5176" s="1" t="s">
        <v>26</v>
      </c>
      <c r="E5176" s="1" t="s">
        <v>26</v>
      </c>
      <c r="F5176" s="1">
        <v>7.0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1">
        <v>80.3</v>
      </c>
      <c r="T5176" s="1">
        <v>526.7</v>
      </c>
      <c r="U5176" s="1">
        <v>3.0</v>
      </c>
      <c r="V5176" s="1">
        <v>0.0</v>
      </c>
      <c r="W5176" s="1" t="s">
        <v>25</v>
      </c>
    </row>
    <row r="5177" ht="15.75" customHeight="1">
      <c r="A5177" s="1" t="s">
        <v>5214</v>
      </c>
      <c r="B5177" s="1" t="s">
        <v>24</v>
      </c>
      <c r="C5177" s="1">
        <v>0.0</v>
      </c>
      <c r="D5177" s="1" t="s">
        <v>25</v>
      </c>
      <c r="E5177" s="1" t="s">
        <v>26</v>
      </c>
      <c r="F5177" s="1">
        <v>20.0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1">
        <v>20.35</v>
      </c>
      <c r="T5177" s="1">
        <v>393.15</v>
      </c>
      <c r="U5177" s="1">
        <v>5.0</v>
      </c>
      <c r="V5177" s="1">
        <v>0.0</v>
      </c>
      <c r="W5177" s="1" t="s">
        <v>26</v>
      </c>
    </row>
    <row r="5178" ht="15.75" customHeight="1">
      <c r="A5178" s="1" t="s">
        <v>5215</v>
      </c>
      <c r="B5178" s="1" t="s">
        <v>24</v>
      </c>
      <c r="C5178" s="1">
        <v>0.0</v>
      </c>
      <c r="D5178" s="1" t="s">
        <v>26</v>
      </c>
      <c r="E5178" s="1" t="s">
        <v>25</v>
      </c>
      <c r="F5178" s="1">
        <v>26.0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1">
        <v>45.8</v>
      </c>
      <c r="T5178" s="1">
        <v>1147.0</v>
      </c>
      <c r="U5178" s="1">
        <v>0.0</v>
      </c>
      <c r="V5178" s="1">
        <v>0.0</v>
      </c>
      <c r="W5178" s="1" t="s">
        <v>26</v>
      </c>
    </row>
    <row r="5179" ht="15.75" customHeight="1">
      <c r="A5179" s="1" t="s">
        <v>5216</v>
      </c>
      <c r="B5179" s="1" t="s">
        <v>32</v>
      </c>
      <c r="C5179" s="1">
        <v>1.0</v>
      </c>
      <c r="D5179" s="1" t="s">
        <v>25</v>
      </c>
      <c r="E5179" s="1" t="s">
        <v>26</v>
      </c>
      <c r="F5179" s="1">
        <v>36.0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1">
        <v>84.1</v>
      </c>
      <c r="T5179" s="1">
        <v>3021.6</v>
      </c>
      <c r="U5179" s="1">
        <v>0.0</v>
      </c>
      <c r="V5179" s="1">
        <v>0.0</v>
      </c>
      <c r="W5179" s="1" t="s">
        <v>25</v>
      </c>
    </row>
    <row r="5180" ht="15.75" customHeight="1">
      <c r="A5180" s="1" t="s">
        <v>5217</v>
      </c>
      <c r="B5180" s="1" t="s">
        <v>24</v>
      </c>
      <c r="C5180" s="1">
        <v>0.0</v>
      </c>
      <c r="D5180" s="1" t="s">
        <v>25</v>
      </c>
      <c r="E5180" s="1" t="s">
        <v>26</v>
      </c>
      <c r="F5180" s="1">
        <v>53.0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1">
        <v>108.95</v>
      </c>
      <c r="T5180" s="1">
        <v>5718.2</v>
      </c>
      <c r="U5180" s="1">
        <v>0.0</v>
      </c>
      <c r="V5180" s="1">
        <v>3.0</v>
      </c>
      <c r="W5180" s="1" t="s">
        <v>26</v>
      </c>
    </row>
    <row r="5181" ht="15.75" customHeight="1">
      <c r="A5181" s="1" t="s">
        <v>5218</v>
      </c>
      <c r="B5181" s="1" t="s">
        <v>32</v>
      </c>
      <c r="C5181" s="1">
        <v>0.0</v>
      </c>
      <c r="D5181" s="1" t="s">
        <v>26</v>
      </c>
      <c r="E5181" s="1" t="s">
        <v>26</v>
      </c>
      <c r="F5181" s="1">
        <v>3.0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1">
        <v>69.35</v>
      </c>
      <c r="T5181" s="1">
        <v>191.35</v>
      </c>
      <c r="U5181" s="1">
        <v>0.0</v>
      </c>
      <c r="V5181" s="1">
        <v>0.0</v>
      </c>
      <c r="W5181" s="1" t="s">
        <v>25</v>
      </c>
    </row>
    <row r="5182" ht="15.75" customHeight="1">
      <c r="A5182" s="1" t="s">
        <v>5219</v>
      </c>
      <c r="B5182" s="1" t="s">
        <v>24</v>
      </c>
      <c r="C5182" s="1">
        <v>0.0</v>
      </c>
      <c r="D5182" s="1" t="s">
        <v>26</v>
      </c>
      <c r="E5182" s="1" t="s">
        <v>26</v>
      </c>
      <c r="F5182" s="1">
        <v>68.0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1">
        <v>64.35</v>
      </c>
      <c r="T5182" s="1">
        <v>4539.6</v>
      </c>
      <c r="U5182" s="1">
        <v>3.0</v>
      </c>
      <c r="V5182" s="1">
        <v>0.0</v>
      </c>
      <c r="W5182" s="1" t="s">
        <v>26</v>
      </c>
    </row>
    <row r="5183" ht="15.75" customHeight="1">
      <c r="A5183" s="1" t="s">
        <v>5220</v>
      </c>
      <c r="B5183" s="1" t="s">
        <v>32</v>
      </c>
      <c r="C5183" s="1">
        <v>0.0</v>
      </c>
      <c r="D5183" s="1" t="s">
        <v>25</v>
      </c>
      <c r="E5183" s="1" t="s">
        <v>25</v>
      </c>
      <c r="F5183" s="1">
        <v>72.0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1">
        <v>90.8</v>
      </c>
      <c r="T5183" s="1">
        <v>6397.6</v>
      </c>
      <c r="U5183" s="1">
        <v>0.0</v>
      </c>
      <c r="V5183" s="1">
        <v>0.0</v>
      </c>
      <c r="W5183" s="1" t="s">
        <v>26</v>
      </c>
    </row>
    <row r="5184" ht="15.75" customHeight="1">
      <c r="A5184" s="1" t="s">
        <v>5221</v>
      </c>
      <c r="B5184" s="1" t="s">
        <v>32</v>
      </c>
      <c r="C5184" s="1">
        <v>0.0</v>
      </c>
      <c r="D5184" s="1" t="s">
        <v>26</v>
      </c>
      <c r="E5184" s="1" t="s">
        <v>26</v>
      </c>
      <c r="F5184" s="1">
        <v>12.0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1">
        <v>24.95</v>
      </c>
      <c r="T5184" s="1">
        <v>280.4</v>
      </c>
      <c r="U5184" s="1">
        <v>5.0</v>
      </c>
      <c r="V5184" s="1">
        <v>0.0</v>
      </c>
      <c r="W5184" s="1" t="s">
        <v>26</v>
      </c>
    </row>
    <row r="5185" ht="15.75" customHeight="1">
      <c r="A5185" s="1" t="s">
        <v>5222</v>
      </c>
      <c r="B5185" s="1" t="s">
        <v>24</v>
      </c>
      <c r="C5185" s="1">
        <v>1.0</v>
      </c>
      <c r="D5185" s="1" t="s">
        <v>25</v>
      </c>
      <c r="E5185" s="1" t="s">
        <v>25</v>
      </c>
      <c r="F5185" s="1">
        <v>34.0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1">
        <v>79.6</v>
      </c>
      <c r="T5185" s="1">
        <v>2718.3</v>
      </c>
      <c r="U5185" s="1">
        <v>0.0</v>
      </c>
      <c r="V5185" s="1">
        <v>0.0</v>
      </c>
      <c r="W5185" s="1" t="s">
        <v>25</v>
      </c>
    </row>
    <row r="5186" ht="15.75" customHeight="1">
      <c r="A5186" s="1" t="s">
        <v>5223</v>
      </c>
      <c r="B5186" s="1" t="s">
        <v>24</v>
      </c>
      <c r="C5186" s="1">
        <v>0.0</v>
      </c>
      <c r="D5186" s="1" t="s">
        <v>25</v>
      </c>
      <c r="E5186" s="1" t="s">
        <v>26</v>
      </c>
      <c r="F5186" s="1">
        <v>68.0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1">
        <v>84.7</v>
      </c>
      <c r="T5186" s="1">
        <v>5711.05</v>
      </c>
      <c r="U5186" s="1">
        <v>0.0</v>
      </c>
      <c r="V5186" s="1">
        <v>0.0</v>
      </c>
      <c r="W5186" s="1" t="s">
        <v>26</v>
      </c>
    </row>
    <row r="5187" ht="15.75" customHeight="1">
      <c r="A5187" s="1" t="s">
        <v>5224</v>
      </c>
      <c r="B5187" s="1" t="s">
        <v>24</v>
      </c>
      <c r="C5187" s="1">
        <v>0.0</v>
      </c>
      <c r="D5187" s="1" t="s">
        <v>26</v>
      </c>
      <c r="E5187" s="1" t="s">
        <v>25</v>
      </c>
      <c r="F5187" s="1">
        <v>50.0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1">
        <v>70.8</v>
      </c>
      <c r="T5187" s="1">
        <v>3478.15</v>
      </c>
      <c r="U5187" s="1">
        <v>0.0</v>
      </c>
      <c r="V5187" s="1">
        <v>0.0</v>
      </c>
      <c r="W5187" s="1" t="s">
        <v>26</v>
      </c>
    </row>
    <row r="5188" ht="15.75" customHeight="1">
      <c r="A5188" s="1" t="s">
        <v>5225</v>
      </c>
      <c r="B5188" s="1" t="s">
        <v>24</v>
      </c>
      <c r="C5188" s="1">
        <v>1.0</v>
      </c>
      <c r="D5188" s="1" t="s">
        <v>26</v>
      </c>
      <c r="E5188" s="1" t="s">
        <v>26</v>
      </c>
      <c r="F5188" s="1">
        <v>1.0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1">
        <v>36.45</v>
      </c>
      <c r="T5188" s="1">
        <v>36.45</v>
      </c>
      <c r="U5188" s="1">
        <v>0.0</v>
      </c>
      <c r="V5188" s="1">
        <v>0.0</v>
      </c>
      <c r="W5188" s="1" t="s">
        <v>25</v>
      </c>
    </row>
    <row r="5189" ht="15.75" customHeight="1">
      <c r="A5189" s="1" t="s">
        <v>5226</v>
      </c>
      <c r="B5189" s="1" t="s">
        <v>24</v>
      </c>
      <c r="C5189" s="1">
        <v>1.0</v>
      </c>
      <c r="D5189" s="1" t="s">
        <v>26</v>
      </c>
      <c r="E5189" s="1" t="s">
        <v>26</v>
      </c>
      <c r="F5189" s="1">
        <v>41.0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1">
        <v>104.4</v>
      </c>
      <c r="T5189" s="1">
        <v>4133.95</v>
      </c>
      <c r="U5189" s="1">
        <v>1.0</v>
      </c>
      <c r="V5189" s="1">
        <v>0.0</v>
      </c>
      <c r="W5189" s="1" t="s">
        <v>26</v>
      </c>
    </row>
    <row r="5190" ht="15.75" customHeight="1">
      <c r="A5190" s="1" t="s">
        <v>5227</v>
      </c>
      <c r="B5190" s="1" t="s">
        <v>32</v>
      </c>
      <c r="C5190" s="1">
        <v>1.0</v>
      </c>
      <c r="D5190" s="1" t="s">
        <v>25</v>
      </c>
      <c r="E5190" s="1" t="s">
        <v>26</v>
      </c>
      <c r="F5190" s="1">
        <v>30.0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1">
        <v>101.5</v>
      </c>
      <c r="T5190" s="1">
        <v>2917.65</v>
      </c>
      <c r="U5190" s="1">
        <v>0.0</v>
      </c>
      <c r="V5190" s="1">
        <v>0.0</v>
      </c>
      <c r="W5190" s="1" t="s">
        <v>26</v>
      </c>
    </row>
    <row r="5191" ht="15.75" customHeight="1">
      <c r="A5191" s="1" t="s">
        <v>5228</v>
      </c>
      <c r="B5191" s="1" t="s">
        <v>32</v>
      </c>
      <c r="C5191" s="1">
        <v>0.0</v>
      </c>
      <c r="D5191" s="1" t="s">
        <v>26</v>
      </c>
      <c r="E5191" s="1" t="s">
        <v>26</v>
      </c>
      <c r="F5191" s="1">
        <v>1.0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1">
        <v>54.3</v>
      </c>
      <c r="T5191" s="1">
        <v>54.3</v>
      </c>
      <c r="U5191" s="1">
        <v>0.0</v>
      </c>
      <c r="V5191" s="1">
        <v>0.0</v>
      </c>
      <c r="W5191" s="1" t="s">
        <v>26</v>
      </c>
    </row>
    <row r="5192" ht="15.75" customHeight="1">
      <c r="A5192" s="1" t="s">
        <v>5229</v>
      </c>
      <c r="B5192" s="1" t="s">
        <v>32</v>
      </c>
      <c r="C5192" s="1">
        <v>1.0</v>
      </c>
      <c r="D5192" s="1" t="s">
        <v>25</v>
      </c>
      <c r="E5192" s="1" t="s">
        <v>25</v>
      </c>
      <c r="F5192" s="1">
        <v>29.0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1">
        <v>103.95</v>
      </c>
      <c r="T5192" s="1">
        <v>2964.8</v>
      </c>
      <c r="U5192" s="1">
        <v>2.0</v>
      </c>
      <c r="V5192" s="1">
        <v>0.0</v>
      </c>
      <c r="W5192" s="1" t="s">
        <v>26</v>
      </c>
    </row>
    <row r="5193" ht="15.75" customHeight="1">
      <c r="A5193" s="1" t="s">
        <v>5230</v>
      </c>
      <c r="B5193" s="1" t="s">
        <v>24</v>
      </c>
      <c r="C5193" s="1">
        <v>0.0</v>
      </c>
      <c r="D5193" s="1" t="s">
        <v>25</v>
      </c>
      <c r="E5193" s="1" t="s">
        <v>25</v>
      </c>
      <c r="F5193" s="1">
        <v>23.0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1">
        <v>91.1</v>
      </c>
      <c r="T5193" s="1">
        <v>2198.3</v>
      </c>
      <c r="U5193" s="1">
        <v>0.0</v>
      </c>
      <c r="V5193" s="1">
        <v>0.0</v>
      </c>
      <c r="W5193" s="1" t="s">
        <v>26</v>
      </c>
    </row>
    <row r="5194" ht="15.75" customHeight="1">
      <c r="A5194" s="1" t="s">
        <v>5231</v>
      </c>
      <c r="B5194" s="1" t="s">
        <v>32</v>
      </c>
      <c r="C5194" s="1">
        <v>0.0</v>
      </c>
      <c r="D5194" s="1" t="s">
        <v>26</v>
      </c>
      <c r="E5194" s="1" t="s">
        <v>25</v>
      </c>
      <c r="F5194" s="1">
        <v>60.0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1">
        <v>19.95</v>
      </c>
      <c r="T5194" s="1">
        <v>1189.9</v>
      </c>
      <c r="U5194" s="1">
        <v>0.0</v>
      </c>
      <c r="V5194" s="1">
        <v>0.0</v>
      </c>
      <c r="W5194" s="1" t="s">
        <v>26</v>
      </c>
    </row>
    <row r="5195" ht="15.75" customHeight="1">
      <c r="A5195" s="1" t="s">
        <v>5232</v>
      </c>
      <c r="B5195" s="1" t="s">
        <v>24</v>
      </c>
      <c r="C5195" s="1">
        <v>0.0</v>
      </c>
      <c r="D5195" s="1" t="s">
        <v>25</v>
      </c>
      <c r="E5195" s="1" t="s">
        <v>26</v>
      </c>
      <c r="F5195" s="1">
        <v>72.0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1">
        <v>26.45</v>
      </c>
      <c r="T5195" s="1">
        <v>1914.5</v>
      </c>
      <c r="U5195" s="1">
        <v>0.0</v>
      </c>
      <c r="V5195" s="1">
        <v>0.0</v>
      </c>
      <c r="W5195" s="1" t="s">
        <v>26</v>
      </c>
    </row>
    <row r="5196" ht="15.75" customHeight="1">
      <c r="A5196" s="1" t="s">
        <v>5233</v>
      </c>
      <c r="B5196" s="1" t="s">
        <v>32</v>
      </c>
      <c r="C5196" s="1">
        <v>0.0</v>
      </c>
      <c r="D5196" s="1" t="s">
        <v>26</v>
      </c>
      <c r="E5196" s="1" t="s">
        <v>25</v>
      </c>
      <c r="F5196" s="1">
        <v>22.0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1">
        <v>89.4</v>
      </c>
      <c r="T5196" s="1">
        <v>2001.5</v>
      </c>
      <c r="U5196" s="1">
        <v>0.0</v>
      </c>
      <c r="V5196" s="1">
        <v>3.0</v>
      </c>
      <c r="W5196" s="1" t="s">
        <v>25</v>
      </c>
    </row>
    <row r="5197" ht="15.75" customHeight="1">
      <c r="A5197" s="1" t="s">
        <v>5234</v>
      </c>
      <c r="B5197" s="1" t="s">
        <v>32</v>
      </c>
      <c r="C5197" s="1">
        <v>0.0</v>
      </c>
      <c r="D5197" s="1" t="s">
        <v>26</v>
      </c>
      <c r="E5197" s="1" t="s">
        <v>26</v>
      </c>
      <c r="F5197" s="1">
        <v>72.0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1">
        <v>75.1</v>
      </c>
      <c r="T5197" s="1">
        <v>5336.35</v>
      </c>
      <c r="U5197" s="1">
        <v>0.0</v>
      </c>
      <c r="V5197" s="1">
        <v>0.0</v>
      </c>
      <c r="W5197" s="1" t="s">
        <v>26</v>
      </c>
    </row>
    <row r="5198" ht="15.75" customHeight="1">
      <c r="A5198" s="1" t="s">
        <v>5235</v>
      </c>
      <c r="B5198" s="1" t="s">
        <v>24</v>
      </c>
      <c r="C5198" s="1">
        <v>1.0</v>
      </c>
      <c r="D5198" s="1" t="s">
        <v>26</v>
      </c>
      <c r="E5198" s="1" t="s">
        <v>26</v>
      </c>
      <c r="F5198" s="1">
        <v>66.0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1">
        <v>108.1</v>
      </c>
      <c r="T5198" s="1">
        <v>7238.6</v>
      </c>
      <c r="U5198" s="1">
        <v>0.0</v>
      </c>
      <c r="V5198" s="1">
        <v>0.0</v>
      </c>
      <c r="W5198" s="1" t="s">
        <v>26</v>
      </c>
    </row>
    <row r="5199" ht="15.75" customHeight="1">
      <c r="A5199" s="1" t="s">
        <v>5236</v>
      </c>
      <c r="B5199" s="1" t="s">
        <v>24</v>
      </c>
      <c r="C5199" s="1">
        <v>0.0</v>
      </c>
      <c r="D5199" s="1" t="s">
        <v>25</v>
      </c>
      <c r="E5199" s="1" t="s">
        <v>26</v>
      </c>
      <c r="F5199" s="1">
        <v>72.0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1">
        <v>110.15</v>
      </c>
      <c r="T5199" s="1">
        <v>7998.8</v>
      </c>
      <c r="U5199" s="1">
        <v>0.0</v>
      </c>
      <c r="V5199" s="1">
        <v>0.0</v>
      </c>
      <c r="W5199" s="1" t="s">
        <v>26</v>
      </c>
    </row>
    <row r="5200" ht="15.75" customHeight="1">
      <c r="A5200" s="1" t="s">
        <v>5237</v>
      </c>
      <c r="B5200" s="1" t="s">
        <v>24</v>
      </c>
      <c r="C5200" s="1">
        <v>1.0</v>
      </c>
      <c r="D5200" s="1" t="s">
        <v>25</v>
      </c>
      <c r="E5200" s="1" t="s">
        <v>26</v>
      </c>
      <c r="F5200" s="1">
        <v>47.0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1">
        <v>80.35</v>
      </c>
      <c r="T5200" s="1">
        <v>3825.85</v>
      </c>
      <c r="U5200" s="1">
        <v>3.0</v>
      </c>
      <c r="V5200" s="1">
        <v>4.0</v>
      </c>
      <c r="W5200" s="1" t="s">
        <v>25</v>
      </c>
    </row>
    <row r="5201" ht="15.75" customHeight="1">
      <c r="A5201" s="1" t="s">
        <v>5238</v>
      </c>
      <c r="B5201" s="1" t="s">
        <v>24</v>
      </c>
      <c r="C5201" s="1">
        <v>0.0</v>
      </c>
      <c r="D5201" s="1" t="s">
        <v>26</v>
      </c>
      <c r="E5201" s="1" t="s">
        <v>26</v>
      </c>
      <c r="F5201" s="1">
        <v>51.0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1">
        <v>111.5</v>
      </c>
      <c r="T5201" s="1">
        <v>5703.25</v>
      </c>
      <c r="U5201" s="1">
        <v>0.0</v>
      </c>
      <c r="V5201" s="1">
        <v>0.0</v>
      </c>
      <c r="W5201" s="1" t="s">
        <v>26</v>
      </c>
    </row>
    <row r="5202" ht="15.75" customHeight="1">
      <c r="A5202" s="1" t="s">
        <v>5239</v>
      </c>
      <c r="B5202" s="1" t="s">
        <v>24</v>
      </c>
      <c r="C5202" s="1">
        <v>0.0</v>
      </c>
      <c r="D5202" s="1" t="s">
        <v>25</v>
      </c>
      <c r="E5202" s="1" t="s">
        <v>25</v>
      </c>
      <c r="F5202" s="1">
        <v>70.0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1">
        <v>106.5</v>
      </c>
      <c r="T5202" s="1">
        <v>7397.0</v>
      </c>
      <c r="U5202" s="1">
        <v>5.0</v>
      </c>
      <c r="V5202" s="1">
        <v>4.0</v>
      </c>
      <c r="W5202" s="1" t="s">
        <v>26</v>
      </c>
    </row>
    <row r="5203" ht="15.75" customHeight="1">
      <c r="A5203" s="1" t="s">
        <v>5240</v>
      </c>
      <c r="B5203" s="1" t="s">
        <v>32</v>
      </c>
      <c r="C5203" s="1">
        <v>0.0</v>
      </c>
      <c r="D5203" s="1" t="s">
        <v>26</v>
      </c>
      <c r="E5203" s="1" t="s">
        <v>26</v>
      </c>
      <c r="F5203" s="1">
        <v>9.0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1">
        <v>19.9</v>
      </c>
      <c r="T5203" s="1">
        <v>164.6</v>
      </c>
      <c r="U5203" s="1">
        <v>0.0</v>
      </c>
      <c r="V5203" s="1">
        <v>0.0</v>
      </c>
      <c r="W5203" s="1" t="s">
        <v>26</v>
      </c>
    </row>
    <row r="5204" ht="15.75" customHeight="1">
      <c r="A5204" s="1" t="s">
        <v>5241</v>
      </c>
      <c r="B5204" s="1" t="s">
        <v>32</v>
      </c>
      <c r="C5204" s="1">
        <v>0.0</v>
      </c>
      <c r="D5204" s="1" t="s">
        <v>25</v>
      </c>
      <c r="E5204" s="1" t="s">
        <v>25</v>
      </c>
      <c r="F5204" s="1">
        <v>59.0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1">
        <v>111.1</v>
      </c>
      <c r="T5204" s="1">
        <v>6555.2</v>
      </c>
      <c r="U5204" s="1">
        <v>0.0</v>
      </c>
      <c r="V5204" s="1">
        <v>4.0</v>
      </c>
      <c r="W5204" s="1" t="s">
        <v>26</v>
      </c>
    </row>
    <row r="5205" ht="15.75" customHeight="1">
      <c r="A5205" s="1" t="s">
        <v>5242</v>
      </c>
      <c r="B5205" s="1" t="s">
        <v>32</v>
      </c>
      <c r="C5205" s="1">
        <v>0.0</v>
      </c>
      <c r="D5205" s="1" t="s">
        <v>26</v>
      </c>
      <c r="E5205" s="1" t="s">
        <v>25</v>
      </c>
      <c r="F5205" s="1">
        <v>3.0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1">
        <v>70.7</v>
      </c>
      <c r="T5205" s="1">
        <v>225.65</v>
      </c>
      <c r="U5205" s="1">
        <v>0.0</v>
      </c>
      <c r="V5205" s="1">
        <v>0.0</v>
      </c>
      <c r="W5205" s="1" t="s">
        <v>26</v>
      </c>
    </row>
    <row r="5206" ht="15.75" customHeight="1">
      <c r="A5206" s="1" t="s">
        <v>5243</v>
      </c>
      <c r="B5206" s="1" t="s">
        <v>32</v>
      </c>
      <c r="C5206" s="1">
        <v>1.0</v>
      </c>
      <c r="D5206" s="1" t="s">
        <v>25</v>
      </c>
      <c r="E5206" s="1" t="s">
        <v>26</v>
      </c>
      <c r="F5206" s="1">
        <v>38.0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1">
        <v>24.85</v>
      </c>
      <c r="T5206" s="1">
        <v>955.75</v>
      </c>
      <c r="U5206" s="1">
        <v>0.0</v>
      </c>
      <c r="V5206" s="1">
        <v>0.0</v>
      </c>
      <c r="W5206" s="1" t="s">
        <v>26</v>
      </c>
    </row>
    <row r="5207" ht="15.75" customHeight="1">
      <c r="A5207" s="1" t="s">
        <v>5244</v>
      </c>
      <c r="B5207" s="1" t="s">
        <v>24</v>
      </c>
      <c r="C5207" s="1">
        <v>0.0</v>
      </c>
      <c r="D5207" s="1" t="s">
        <v>26</v>
      </c>
      <c r="E5207" s="1" t="s">
        <v>26</v>
      </c>
      <c r="F5207" s="1">
        <v>37.0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1">
        <v>91.2</v>
      </c>
      <c r="T5207" s="1">
        <v>3382.3</v>
      </c>
      <c r="U5207" s="1">
        <v>0.0</v>
      </c>
      <c r="V5207" s="1">
        <v>0.0</v>
      </c>
      <c r="W5207" s="1" t="s">
        <v>26</v>
      </c>
    </row>
    <row r="5208" ht="15.75" customHeight="1">
      <c r="A5208" s="1" t="s">
        <v>5245</v>
      </c>
      <c r="B5208" s="1" t="s">
        <v>32</v>
      </c>
      <c r="C5208" s="1">
        <v>0.0</v>
      </c>
      <c r="D5208" s="1" t="s">
        <v>26</v>
      </c>
      <c r="E5208" s="1" t="s">
        <v>26</v>
      </c>
      <c r="F5208" s="1">
        <v>37.0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1">
        <v>65.6</v>
      </c>
      <c r="T5208" s="1">
        <v>2313.8</v>
      </c>
      <c r="U5208" s="1">
        <v>0.0</v>
      </c>
      <c r="V5208" s="1">
        <v>0.0</v>
      </c>
      <c r="W5208" s="1" t="s">
        <v>26</v>
      </c>
    </row>
    <row r="5209" ht="15.75" customHeight="1">
      <c r="A5209" s="1" t="s">
        <v>5246</v>
      </c>
      <c r="B5209" s="1" t="s">
        <v>24</v>
      </c>
      <c r="C5209" s="1">
        <v>1.0</v>
      </c>
      <c r="D5209" s="1" t="s">
        <v>25</v>
      </c>
      <c r="E5209" s="1" t="s">
        <v>26</v>
      </c>
      <c r="F5209" s="1">
        <v>24.0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1">
        <v>40.65</v>
      </c>
      <c r="T5209" s="1">
        <v>933.3</v>
      </c>
      <c r="U5209" s="1">
        <v>0.0</v>
      </c>
      <c r="V5209" s="1">
        <v>2.0</v>
      </c>
      <c r="W5209" s="1" t="s">
        <v>25</v>
      </c>
    </row>
    <row r="5210" ht="15.75" customHeight="1">
      <c r="A5210" s="1" t="s">
        <v>5247</v>
      </c>
      <c r="B5210" s="1" t="s">
        <v>24</v>
      </c>
      <c r="C5210" s="1">
        <v>0.0</v>
      </c>
      <c r="D5210" s="1" t="s">
        <v>25</v>
      </c>
      <c r="E5210" s="1" t="s">
        <v>25</v>
      </c>
      <c r="F5210" s="1">
        <v>14.0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1">
        <v>59.45</v>
      </c>
      <c r="T5210" s="1">
        <v>780.85</v>
      </c>
      <c r="U5210" s="1">
        <v>0.0</v>
      </c>
      <c r="V5210" s="1">
        <v>0.0</v>
      </c>
      <c r="W5210" s="1" t="s">
        <v>26</v>
      </c>
    </row>
    <row r="5211" ht="15.75" customHeight="1">
      <c r="A5211" s="1" t="s">
        <v>5248</v>
      </c>
      <c r="B5211" s="1" t="s">
        <v>32</v>
      </c>
      <c r="C5211" s="1">
        <v>0.0</v>
      </c>
      <c r="D5211" s="1" t="s">
        <v>25</v>
      </c>
      <c r="E5211" s="1" t="s">
        <v>26</v>
      </c>
      <c r="F5211" s="1">
        <v>72.0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1">
        <v>109.95</v>
      </c>
      <c r="T5211" s="1">
        <v>7852.4</v>
      </c>
      <c r="U5211" s="1">
        <v>0.0</v>
      </c>
      <c r="V5211" s="1">
        <v>0.0</v>
      </c>
      <c r="W5211" s="1" t="s">
        <v>26</v>
      </c>
    </row>
    <row r="5212" ht="15.75" customHeight="1">
      <c r="A5212" s="1" t="s">
        <v>5249</v>
      </c>
      <c r="B5212" s="1" t="s">
        <v>32</v>
      </c>
      <c r="C5212" s="1">
        <v>0.0</v>
      </c>
      <c r="D5212" s="1" t="s">
        <v>25</v>
      </c>
      <c r="E5212" s="1" t="s">
        <v>26</v>
      </c>
      <c r="F5212" s="1">
        <v>53.0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1">
        <v>60.45</v>
      </c>
      <c r="T5212" s="1">
        <v>3184.25</v>
      </c>
      <c r="U5212" s="1">
        <v>0.0</v>
      </c>
      <c r="V5212" s="1">
        <v>5.0</v>
      </c>
      <c r="W5212" s="1" t="s">
        <v>25</v>
      </c>
    </row>
    <row r="5213" ht="15.75" customHeight="1">
      <c r="A5213" s="1" t="s">
        <v>5250</v>
      </c>
      <c r="B5213" s="1" t="s">
        <v>24</v>
      </c>
      <c r="C5213" s="1">
        <v>0.0</v>
      </c>
      <c r="D5213" s="1" t="s">
        <v>25</v>
      </c>
      <c r="E5213" s="1" t="s">
        <v>26</v>
      </c>
      <c r="F5213" s="1">
        <v>8.0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1">
        <v>84.9</v>
      </c>
      <c r="T5213" s="1">
        <v>764.95</v>
      </c>
      <c r="U5213" s="1">
        <v>3.0</v>
      </c>
      <c r="V5213" s="1">
        <v>0.0</v>
      </c>
      <c r="W5213" s="1" t="s">
        <v>25</v>
      </c>
    </row>
    <row r="5214" ht="15.75" customHeight="1">
      <c r="A5214" s="1" t="s">
        <v>5251</v>
      </c>
      <c r="B5214" s="1" t="s">
        <v>32</v>
      </c>
      <c r="C5214" s="1">
        <v>0.0</v>
      </c>
      <c r="D5214" s="1" t="s">
        <v>25</v>
      </c>
      <c r="E5214" s="1" t="s">
        <v>25</v>
      </c>
      <c r="F5214" s="1">
        <v>72.0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1">
        <v>38.5</v>
      </c>
      <c r="T5214" s="1">
        <v>2763.0</v>
      </c>
      <c r="U5214" s="1">
        <v>0.0</v>
      </c>
      <c r="V5214" s="1">
        <v>0.0</v>
      </c>
      <c r="W5214" s="1" t="s">
        <v>26</v>
      </c>
    </row>
    <row r="5215" ht="15.75" customHeight="1">
      <c r="A5215" s="1" t="s">
        <v>5252</v>
      </c>
      <c r="B5215" s="1" t="s">
        <v>24</v>
      </c>
      <c r="C5215" s="1">
        <v>1.0</v>
      </c>
      <c r="D5215" s="1" t="s">
        <v>25</v>
      </c>
      <c r="E5215" s="1" t="s">
        <v>26</v>
      </c>
      <c r="F5215" s="1">
        <v>17.0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1">
        <v>92.55</v>
      </c>
      <c r="T5215" s="1">
        <v>1614.7</v>
      </c>
      <c r="U5215" s="1">
        <v>0.0</v>
      </c>
      <c r="V5215" s="1">
        <v>0.0</v>
      </c>
      <c r="W5215" s="1" t="s">
        <v>26</v>
      </c>
    </row>
    <row r="5216" ht="15.75" customHeight="1">
      <c r="A5216" s="1" t="s">
        <v>5253</v>
      </c>
      <c r="B5216" s="1" t="s">
        <v>24</v>
      </c>
      <c r="C5216" s="1">
        <v>0.0</v>
      </c>
      <c r="D5216" s="1" t="s">
        <v>25</v>
      </c>
      <c r="E5216" s="1" t="s">
        <v>25</v>
      </c>
      <c r="F5216" s="1">
        <v>2.0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1">
        <v>73.55</v>
      </c>
      <c r="T5216" s="1">
        <v>145.4</v>
      </c>
      <c r="U5216" s="1">
        <v>0.0</v>
      </c>
      <c r="V5216" s="1">
        <v>0.0</v>
      </c>
      <c r="W5216" s="1" t="s">
        <v>25</v>
      </c>
    </row>
    <row r="5217" ht="15.75" customHeight="1">
      <c r="A5217" s="1" t="s">
        <v>5254</v>
      </c>
      <c r="B5217" s="1" t="s">
        <v>24</v>
      </c>
      <c r="C5217" s="1">
        <v>0.0</v>
      </c>
      <c r="D5217" s="1" t="s">
        <v>25</v>
      </c>
      <c r="E5217" s="1" t="s">
        <v>26</v>
      </c>
      <c r="F5217" s="1">
        <v>8.0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1">
        <v>20.15</v>
      </c>
      <c r="T5217" s="1">
        <v>156.25</v>
      </c>
      <c r="U5217" s="1">
        <v>0.0</v>
      </c>
      <c r="V5217" s="1">
        <v>0.0</v>
      </c>
      <c r="W5217" s="1" t="s">
        <v>25</v>
      </c>
    </row>
    <row r="5218" ht="15.75" customHeight="1">
      <c r="A5218" s="1" t="s">
        <v>5255</v>
      </c>
      <c r="B5218" s="1" t="s">
        <v>24</v>
      </c>
      <c r="C5218" s="1">
        <v>0.0</v>
      </c>
      <c r="D5218" s="1" t="s">
        <v>25</v>
      </c>
      <c r="E5218" s="1" t="s">
        <v>26</v>
      </c>
      <c r="F5218" s="1">
        <v>48.0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1">
        <v>34.7</v>
      </c>
      <c r="T5218" s="1">
        <v>1604.5</v>
      </c>
      <c r="U5218" s="1">
        <v>0.0</v>
      </c>
      <c r="V5218" s="1">
        <v>3.0</v>
      </c>
      <c r="W5218" s="1" t="s">
        <v>25</v>
      </c>
    </row>
    <row r="5219" ht="15.75" customHeight="1">
      <c r="A5219" s="1" t="s">
        <v>5256</v>
      </c>
      <c r="B5219" s="1" t="s">
        <v>24</v>
      </c>
      <c r="C5219" s="1">
        <v>0.0</v>
      </c>
      <c r="D5219" s="1" t="s">
        <v>26</v>
      </c>
      <c r="E5219" s="1" t="s">
        <v>26</v>
      </c>
      <c r="F5219" s="1">
        <v>10.0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1">
        <v>24.5</v>
      </c>
      <c r="T5219" s="1">
        <v>270.15</v>
      </c>
      <c r="U5219" s="1">
        <v>2.0</v>
      </c>
      <c r="V5219" s="1">
        <v>0.0</v>
      </c>
      <c r="W5219" s="1" t="s">
        <v>26</v>
      </c>
    </row>
    <row r="5220" ht="15.75" customHeight="1">
      <c r="A5220" s="1" t="s">
        <v>5257</v>
      </c>
      <c r="B5220" s="1" t="s">
        <v>32</v>
      </c>
      <c r="C5220" s="1">
        <v>0.0</v>
      </c>
      <c r="D5220" s="1" t="s">
        <v>25</v>
      </c>
      <c r="E5220" s="1" t="s">
        <v>25</v>
      </c>
      <c r="F5220" s="1">
        <v>0.0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1">
        <v>19.7</v>
      </c>
      <c r="T5220" s="1" t="s">
        <v>527</v>
      </c>
      <c r="U5220" s="1">
        <v>0.0</v>
      </c>
      <c r="V5220" s="1">
        <v>0.0</v>
      </c>
      <c r="W5220" s="1" t="s">
        <v>26</v>
      </c>
    </row>
    <row r="5221" ht="15.75" customHeight="1">
      <c r="A5221" s="1" t="s">
        <v>5258</v>
      </c>
      <c r="B5221" s="1" t="s">
        <v>32</v>
      </c>
      <c r="C5221" s="1">
        <v>0.0</v>
      </c>
      <c r="D5221" s="1" t="s">
        <v>26</v>
      </c>
      <c r="E5221" s="1" t="s">
        <v>26</v>
      </c>
      <c r="F5221" s="1">
        <v>1.0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1">
        <v>20.6</v>
      </c>
      <c r="T5221" s="1">
        <v>20.6</v>
      </c>
      <c r="U5221" s="1">
        <v>0.0</v>
      </c>
      <c r="V5221" s="1">
        <v>0.0</v>
      </c>
      <c r="W5221" s="1" t="s">
        <v>26</v>
      </c>
    </row>
    <row r="5222" ht="15.75" customHeight="1">
      <c r="A5222" s="1" t="s">
        <v>5259</v>
      </c>
      <c r="B5222" s="1" t="s">
        <v>24</v>
      </c>
      <c r="C5222" s="1">
        <v>0.0</v>
      </c>
      <c r="D5222" s="1" t="s">
        <v>26</v>
      </c>
      <c r="E5222" s="1" t="s">
        <v>26</v>
      </c>
      <c r="F5222" s="1">
        <v>29.0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1">
        <v>58.0</v>
      </c>
      <c r="T5222" s="1">
        <v>1734.5</v>
      </c>
      <c r="U5222" s="1">
        <v>0.0</v>
      </c>
      <c r="V5222" s="1">
        <v>0.0</v>
      </c>
      <c r="W5222" s="1" t="s">
        <v>26</v>
      </c>
    </row>
    <row r="5223" ht="15.75" customHeight="1">
      <c r="A5223" s="1" t="s">
        <v>5260</v>
      </c>
      <c r="B5223" s="1" t="s">
        <v>24</v>
      </c>
      <c r="C5223" s="1">
        <v>1.0</v>
      </c>
      <c r="D5223" s="1" t="s">
        <v>25</v>
      </c>
      <c r="E5223" s="1" t="s">
        <v>25</v>
      </c>
      <c r="F5223" s="1">
        <v>65.0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1">
        <v>107.45</v>
      </c>
      <c r="T5223" s="1">
        <v>7047.5</v>
      </c>
      <c r="U5223" s="1">
        <v>0.0</v>
      </c>
      <c r="V5223" s="1">
        <v>0.0</v>
      </c>
      <c r="W5223" s="1" t="s">
        <v>26</v>
      </c>
    </row>
    <row r="5224" ht="15.75" customHeight="1">
      <c r="A5224" s="1" t="s">
        <v>5261</v>
      </c>
      <c r="B5224" s="1" t="s">
        <v>24</v>
      </c>
      <c r="C5224" s="1">
        <v>0.0</v>
      </c>
      <c r="D5224" s="1" t="s">
        <v>26</v>
      </c>
      <c r="E5224" s="1" t="s">
        <v>26</v>
      </c>
      <c r="F5224" s="1">
        <v>8.0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1">
        <v>65.5</v>
      </c>
      <c r="T5224" s="1">
        <v>573.15</v>
      </c>
      <c r="U5224" s="1">
        <v>0.0</v>
      </c>
      <c r="V5224" s="1">
        <v>0.0</v>
      </c>
      <c r="W5224" s="1" t="s">
        <v>26</v>
      </c>
    </row>
    <row r="5225" ht="15.75" customHeight="1">
      <c r="A5225" s="1" t="s">
        <v>5262</v>
      </c>
      <c r="B5225" s="1" t="s">
        <v>32</v>
      </c>
      <c r="C5225" s="1">
        <v>0.0</v>
      </c>
      <c r="D5225" s="1" t="s">
        <v>25</v>
      </c>
      <c r="E5225" s="1" t="s">
        <v>26</v>
      </c>
      <c r="F5225" s="1">
        <v>61.0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1">
        <v>25.45</v>
      </c>
      <c r="T5225" s="1">
        <v>1538.6</v>
      </c>
      <c r="U5225" s="1">
        <v>0.0</v>
      </c>
      <c r="V5225" s="1">
        <v>0.0</v>
      </c>
      <c r="W5225" s="1" t="s">
        <v>26</v>
      </c>
    </row>
    <row r="5226" ht="15.75" customHeight="1">
      <c r="A5226" s="1" t="s">
        <v>5263</v>
      </c>
      <c r="B5226" s="1" t="s">
        <v>24</v>
      </c>
      <c r="C5226" s="1">
        <v>1.0</v>
      </c>
      <c r="D5226" s="1" t="s">
        <v>26</v>
      </c>
      <c r="E5226" s="1" t="s">
        <v>26</v>
      </c>
      <c r="F5226" s="1">
        <v>45.0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1">
        <v>100.15</v>
      </c>
      <c r="T5226" s="1">
        <v>4459.8</v>
      </c>
      <c r="U5226" s="1">
        <v>0.0</v>
      </c>
      <c r="V5226" s="1">
        <v>0.0</v>
      </c>
      <c r="W5226" s="1" t="s">
        <v>26</v>
      </c>
    </row>
    <row r="5227" ht="15.75" customHeight="1">
      <c r="A5227" s="1" t="s">
        <v>5264</v>
      </c>
      <c r="B5227" s="1" t="s">
        <v>32</v>
      </c>
      <c r="C5227" s="1">
        <v>0.0</v>
      </c>
      <c r="D5227" s="1" t="s">
        <v>25</v>
      </c>
      <c r="E5227" s="1" t="s">
        <v>25</v>
      </c>
      <c r="F5227" s="1">
        <v>72.0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1">
        <v>104.45</v>
      </c>
      <c r="T5227" s="1">
        <v>7459.0</v>
      </c>
      <c r="U5227" s="1">
        <v>2.0</v>
      </c>
      <c r="V5227" s="1">
        <v>0.0</v>
      </c>
      <c r="W5227" s="1" t="s">
        <v>26</v>
      </c>
    </row>
    <row r="5228" ht="15.75" customHeight="1">
      <c r="A5228" s="1" t="s">
        <v>5265</v>
      </c>
      <c r="B5228" s="1" t="s">
        <v>32</v>
      </c>
      <c r="C5228" s="1">
        <v>0.0</v>
      </c>
      <c r="D5228" s="1" t="s">
        <v>25</v>
      </c>
      <c r="E5228" s="1" t="s">
        <v>25</v>
      </c>
      <c r="F5228" s="1">
        <v>12.0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1">
        <v>21.15</v>
      </c>
      <c r="T5228" s="1">
        <v>306.05</v>
      </c>
      <c r="U5228" s="1">
        <v>0.0</v>
      </c>
      <c r="V5228" s="1">
        <v>0.0</v>
      </c>
      <c r="W5228" s="1" t="s">
        <v>26</v>
      </c>
    </row>
    <row r="5229" ht="15.75" customHeight="1">
      <c r="A5229" s="1" t="s">
        <v>5266</v>
      </c>
      <c r="B5229" s="1" t="s">
        <v>32</v>
      </c>
      <c r="C5229" s="1">
        <v>0.0</v>
      </c>
      <c r="D5229" s="1" t="s">
        <v>26</v>
      </c>
      <c r="E5229" s="1" t="s">
        <v>26</v>
      </c>
      <c r="F5229" s="1">
        <v>7.0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1">
        <v>96.2</v>
      </c>
      <c r="T5229" s="1">
        <v>639.7</v>
      </c>
      <c r="U5229" s="1">
        <v>0.0</v>
      </c>
      <c r="V5229" s="1">
        <v>0.0</v>
      </c>
      <c r="W5229" s="1" t="s">
        <v>26</v>
      </c>
    </row>
    <row r="5230" ht="15.75" customHeight="1">
      <c r="A5230" s="1" t="s">
        <v>5267</v>
      </c>
      <c r="B5230" s="1" t="s">
        <v>32</v>
      </c>
      <c r="C5230" s="1">
        <v>0.0</v>
      </c>
      <c r="D5230" s="1" t="s">
        <v>26</v>
      </c>
      <c r="E5230" s="1" t="s">
        <v>26</v>
      </c>
      <c r="F5230" s="1">
        <v>9.0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1">
        <v>44.4</v>
      </c>
      <c r="T5230" s="1">
        <v>348.15</v>
      </c>
      <c r="U5230" s="1">
        <v>0.0</v>
      </c>
      <c r="V5230" s="1">
        <v>0.0</v>
      </c>
      <c r="W5230" s="1" t="s">
        <v>26</v>
      </c>
    </row>
    <row r="5231" ht="15.75" customHeight="1">
      <c r="A5231" s="1" t="s">
        <v>5268</v>
      </c>
      <c r="B5231" s="1" t="s">
        <v>24</v>
      </c>
      <c r="C5231" s="1">
        <v>1.0</v>
      </c>
      <c r="D5231" s="1" t="s">
        <v>25</v>
      </c>
      <c r="E5231" s="1" t="s">
        <v>26</v>
      </c>
      <c r="F5231" s="1">
        <v>43.0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1">
        <v>107.55</v>
      </c>
      <c r="T5231" s="1">
        <v>4533.9</v>
      </c>
      <c r="U5231" s="1">
        <v>0.0</v>
      </c>
      <c r="V5231" s="1">
        <v>4.0</v>
      </c>
      <c r="W5231" s="1" t="s">
        <v>25</v>
      </c>
    </row>
    <row r="5232" ht="15.75" customHeight="1">
      <c r="A5232" s="1" t="s">
        <v>5269</v>
      </c>
      <c r="B5232" s="1" t="s">
        <v>32</v>
      </c>
      <c r="C5232" s="1">
        <v>0.0</v>
      </c>
      <c r="D5232" s="1" t="s">
        <v>25</v>
      </c>
      <c r="E5232" s="1" t="s">
        <v>25</v>
      </c>
      <c r="F5232" s="1">
        <v>58.0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1">
        <v>94.35</v>
      </c>
      <c r="T5232" s="1">
        <v>5563.65</v>
      </c>
      <c r="U5232" s="1">
        <v>3.0</v>
      </c>
      <c r="V5232" s="1">
        <v>5.0</v>
      </c>
      <c r="W5232" s="1" t="s">
        <v>26</v>
      </c>
    </row>
    <row r="5233" ht="15.75" customHeight="1">
      <c r="A5233" s="1" t="s">
        <v>5270</v>
      </c>
      <c r="B5233" s="1" t="s">
        <v>32</v>
      </c>
      <c r="C5233" s="1">
        <v>1.0</v>
      </c>
      <c r="D5233" s="1" t="s">
        <v>25</v>
      </c>
      <c r="E5233" s="1" t="s">
        <v>26</v>
      </c>
      <c r="F5233" s="1">
        <v>16.0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1">
        <v>98.75</v>
      </c>
      <c r="T5233" s="1">
        <v>1587.55</v>
      </c>
      <c r="U5233" s="1">
        <v>0.0</v>
      </c>
      <c r="V5233" s="1">
        <v>1.0</v>
      </c>
      <c r="W5233" s="1" t="s">
        <v>25</v>
      </c>
    </row>
    <row r="5234" ht="15.75" customHeight="1">
      <c r="A5234" s="1" t="s">
        <v>5271</v>
      </c>
      <c r="B5234" s="1" t="s">
        <v>32</v>
      </c>
      <c r="C5234" s="1">
        <v>0.0</v>
      </c>
      <c r="D5234" s="1" t="s">
        <v>25</v>
      </c>
      <c r="E5234" s="1" t="s">
        <v>25</v>
      </c>
      <c r="F5234" s="1">
        <v>2.0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1">
        <v>20.3</v>
      </c>
      <c r="T5234" s="1">
        <v>40.25</v>
      </c>
      <c r="U5234" s="1">
        <v>0.0</v>
      </c>
      <c r="V5234" s="1">
        <v>0.0</v>
      </c>
      <c r="W5234" s="1" t="s">
        <v>26</v>
      </c>
    </row>
    <row r="5235" ht="15.75" customHeight="1">
      <c r="A5235" s="1" t="s">
        <v>5272</v>
      </c>
      <c r="B5235" s="1" t="s">
        <v>24</v>
      </c>
      <c r="C5235" s="1">
        <v>0.0</v>
      </c>
      <c r="D5235" s="1" t="s">
        <v>25</v>
      </c>
      <c r="E5235" s="1" t="s">
        <v>26</v>
      </c>
      <c r="F5235" s="1">
        <v>8.0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1">
        <v>101.15</v>
      </c>
      <c r="T5235" s="1">
        <v>842.9</v>
      </c>
      <c r="U5235" s="1">
        <v>2.0</v>
      </c>
      <c r="V5235" s="1">
        <v>0.0</v>
      </c>
      <c r="W5235" s="1" t="s">
        <v>25</v>
      </c>
    </row>
    <row r="5236" ht="15.75" customHeight="1">
      <c r="A5236" s="1" t="s">
        <v>5273</v>
      </c>
      <c r="B5236" s="1" t="s">
        <v>24</v>
      </c>
      <c r="C5236" s="1">
        <v>0.0</v>
      </c>
      <c r="D5236" s="1" t="s">
        <v>25</v>
      </c>
      <c r="E5236" s="1" t="s">
        <v>26</v>
      </c>
      <c r="F5236" s="1">
        <v>40.0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1">
        <v>105.75</v>
      </c>
      <c r="T5236" s="1">
        <v>4228.55</v>
      </c>
      <c r="U5236" s="1">
        <v>0.0</v>
      </c>
      <c r="V5236" s="1">
        <v>0.0</v>
      </c>
      <c r="W5236" s="1" t="s">
        <v>26</v>
      </c>
    </row>
    <row r="5237" ht="15.75" customHeight="1">
      <c r="A5237" s="1" t="s">
        <v>5274</v>
      </c>
      <c r="B5237" s="1" t="s">
        <v>32</v>
      </c>
      <c r="C5237" s="1">
        <v>0.0</v>
      </c>
      <c r="D5237" s="1" t="s">
        <v>26</v>
      </c>
      <c r="E5237" s="1" t="s">
        <v>26</v>
      </c>
      <c r="F5237" s="1">
        <v>9.0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1">
        <v>81.15</v>
      </c>
      <c r="T5237" s="1">
        <v>784.45</v>
      </c>
      <c r="U5237" s="1">
        <v>0.0</v>
      </c>
      <c r="V5237" s="1">
        <v>0.0</v>
      </c>
      <c r="W5237" s="1" t="s">
        <v>26</v>
      </c>
    </row>
    <row r="5238" ht="15.75" customHeight="1">
      <c r="A5238" s="1" t="s">
        <v>5275</v>
      </c>
      <c r="B5238" s="1" t="s">
        <v>32</v>
      </c>
      <c r="C5238" s="1">
        <v>0.0</v>
      </c>
      <c r="D5238" s="1" t="s">
        <v>26</v>
      </c>
      <c r="E5238" s="1" t="s">
        <v>26</v>
      </c>
      <c r="F5238" s="1">
        <v>41.0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1">
        <v>89.55</v>
      </c>
      <c r="T5238" s="1">
        <v>3729.75</v>
      </c>
      <c r="U5238" s="1">
        <v>0.0</v>
      </c>
      <c r="V5238" s="1">
        <v>0.0</v>
      </c>
      <c r="W5238" s="1" t="s">
        <v>26</v>
      </c>
    </row>
    <row r="5239" ht="15.75" customHeight="1">
      <c r="A5239" s="1" t="s">
        <v>5276</v>
      </c>
      <c r="B5239" s="1" t="s">
        <v>24</v>
      </c>
      <c r="C5239" s="1">
        <v>0.0</v>
      </c>
      <c r="D5239" s="1" t="s">
        <v>26</v>
      </c>
      <c r="E5239" s="1" t="s">
        <v>26</v>
      </c>
      <c r="F5239" s="1">
        <v>26.0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1">
        <v>54.75</v>
      </c>
      <c r="T5239" s="1">
        <v>1406.9</v>
      </c>
      <c r="U5239" s="1">
        <v>0.0</v>
      </c>
      <c r="V5239" s="1">
        <v>0.0</v>
      </c>
      <c r="W5239" s="1" t="s">
        <v>26</v>
      </c>
    </row>
    <row r="5240" ht="15.75" customHeight="1">
      <c r="A5240" s="1" t="s">
        <v>5277</v>
      </c>
      <c r="B5240" s="1" t="s">
        <v>24</v>
      </c>
      <c r="C5240" s="1">
        <v>0.0</v>
      </c>
      <c r="D5240" s="1" t="s">
        <v>25</v>
      </c>
      <c r="E5240" s="1" t="s">
        <v>26</v>
      </c>
      <c r="F5240" s="1">
        <v>33.0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1">
        <v>53.75</v>
      </c>
      <c r="T5240" s="1">
        <v>1857.3</v>
      </c>
      <c r="U5240" s="1">
        <v>0.0</v>
      </c>
      <c r="V5240" s="1">
        <v>0.0</v>
      </c>
      <c r="W5240" s="1" t="s">
        <v>26</v>
      </c>
    </row>
    <row r="5241" ht="15.75" customHeight="1">
      <c r="A5241" s="1" t="s">
        <v>5278</v>
      </c>
      <c r="B5241" s="1" t="s">
        <v>32</v>
      </c>
      <c r="C5241" s="1">
        <v>0.0</v>
      </c>
      <c r="D5241" s="1" t="s">
        <v>25</v>
      </c>
      <c r="E5241" s="1" t="s">
        <v>25</v>
      </c>
      <c r="F5241" s="1">
        <v>68.0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1">
        <v>105.75</v>
      </c>
      <c r="T5241" s="1">
        <v>7322.5</v>
      </c>
      <c r="U5241" s="1">
        <v>0.0</v>
      </c>
      <c r="V5241" s="1">
        <v>0.0</v>
      </c>
      <c r="W5241" s="1" t="s">
        <v>26</v>
      </c>
    </row>
    <row r="5242" ht="15.75" customHeight="1">
      <c r="A5242" s="1" t="s">
        <v>5279</v>
      </c>
      <c r="B5242" s="1" t="s">
        <v>24</v>
      </c>
      <c r="C5242" s="1">
        <v>1.0</v>
      </c>
      <c r="D5242" s="1" t="s">
        <v>25</v>
      </c>
      <c r="E5242" s="1" t="s">
        <v>26</v>
      </c>
      <c r="F5242" s="1">
        <v>65.0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1">
        <v>105.85</v>
      </c>
      <c r="T5242" s="1">
        <v>6725.5</v>
      </c>
      <c r="U5242" s="1">
        <v>5.0</v>
      </c>
      <c r="V5242" s="1">
        <v>0.0</v>
      </c>
      <c r="W5242" s="1" t="s">
        <v>26</v>
      </c>
    </row>
    <row r="5243" ht="15.75" customHeight="1">
      <c r="A5243" s="1" t="s">
        <v>5280</v>
      </c>
      <c r="B5243" s="1" t="s">
        <v>32</v>
      </c>
      <c r="C5243" s="1">
        <v>0.0</v>
      </c>
      <c r="D5243" s="1" t="s">
        <v>26</v>
      </c>
      <c r="E5243" s="1" t="s">
        <v>26</v>
      </c>
      <c r="F5243" s="1">
        <v>55.0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1">
        <v>64.2</v>
      </c>
      <c r="T5243" s="1">
        <v>3627.3</v>
      </c>
      <c r="U5243" s="1">
        <v>2.0</v>
      </c>
      <c r="V5243" s="1">
        <v>0.0</v>
      </c>
      <c r="W5243" s="1" t="s">
        <v>26</v>
      </c>
    </row>
    <row r="5244" ht="15.75" customHeight="1">
      <c r="A5244" s="1" t="s">
        <v>5281</v>
      </c>
      <c r="B5244" s="1" t="s">
        <v>32</v>
      </c>
      <c r="C5244" s="1">
        <v>0.0</v>
      </c>
      <c r="D5244" s="1" t="s">
        <v>26</v>
      </c>
      <c r="E5244" s="1" t="s">
        <v>26</v>
      </c>
      <c r="F5244" s="1">
        <v>20.0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1">
        <v>88.7</v>
      </c>
      <c r="T5244" s="1">
        <v>1761.45</v>
      </c>
      <c r="U5244" s="1">
        <v>0.0</v>
      </c>
      <c r="V5244" s="1">
        <v>2.0</v>
      </c>
      <c r="W5244" s="1" t="s">
        <v>25</v>
      </c>
    </row>
    <row r="5245" ht="15.75" customHeight="1">
      <c r="A5245" s="1" t="s">
        <v>5282</v>
      </c>
      <c r="B5245" s="1" t="s">
        <v>32</v>
      </c>
      <c r="C5245" s="1">
        <v>0.0</v>
      </c>
      <c r="D5245" s="1" t="s">
        <v>26</v>
      </c>
      <c r="E5245" s="1" t="s">
        <v>26</v>
      </c>
      <c r="F5245" s="1">
        <v>19.0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1">
        <v>87.7</v>
      </c>
      <c r="T5245" s="1">
        <v>1725.95</v>
      </c>
      <c r="U5245" s="1">
        <v>0.0</v>
      </c>
      <c r="V5245" s="1">
        <v>0.0</v>
      </c>
      <c r="W5245" s="1" t="s">
        <v>26</v>
      </c>
    </row>
    <row r="5246" ht="15.75" customHeight="1">
      <c r="A5246" s="1" t="s">
        <v>5283</v>
      </c>
      <c r="B5246" s="1" t="s">
        <v>24</v>
      </c>
      <c r="C5246" s="1">
        <v>0.0</v>
      </c>
      <c r="D5246" s="1" t="s">
        <v>26</v>
      </c>
      <c r="E5246" s="1" t="s">
        <v>26</v>
      </c>
      <c r="F5246" s="1">
        <v>45.0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1">
        <v>89.3</v>
      </c>
      <c r="T5246" s="1">
        <v>4192.15</v>
      </c>
      <c r="U5246" s="1">
        <v>0.0</v>
      </c>
      <c r="V5246" s="1">
        <v>0.0</v>
      </c>
      <c r="W5246" s="1" t="s">
        <v>26</v>
      </c>
    </row>
    <row r="5247" ht="15.75" customHeight="1">
      <c r="A5247" s="1" t="s">
        <v>5284</v>
      </c>
      <c r="B5247" s="1" t="s">
        <v>24</v>
      </c>
      <c r="C5247" s="1">
        <v>0.0</v>
      </c>
      <c r="D5247" s="1" t="s">
        <v>25</v>
      </c>
      <c r="E5247" s="1" t="s">
        <v>25</v>
      </c>
      <c r="F5247" s="1">
        <v>70.0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1">
        <v>20.15</v>
      </c>
      <c r="T5247" s="1">
        <v>1411.2</v>
      </c>
      <c r="U5247" s="1">
        <v>0.0</v>
      </c>
      <c r="V5247" s="1">
        <v>0.0</v>
      </c>
      <c r="W5247" s="1" t="s">
        <v>26</v>
      </c>
    </row>
    <row r="5248" ht="15.75" customHeight="1">
      <c r="A5248" s="1" t="s">
        <v>5285</v>
      </c>
      <c r="B5248" s="1" t="s">
        <v>24</v>
      </c>
      <c r="C5248" s="1">
        <v>0.0</v>
      </c>
      <c r="D5248" s="1" t="s">
        <v>26</v>
      </c>
      <c r="E5248" s="1" t="s">
        <v>26</v>
      </c>
      <c r="F5248" s="1">
        <v>2.0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1">
        <v>79.75</v>
      </c>
      <c r="T5248" s="1">
        <v>164.5</v>
      </c>
      <c r="U5248" s="1">
        <v>0.0</v>
      </c>
      <c r="V5248" s="1">
        <v>0.0</v>
      </c>
      <c r="W5248" s="1" t="s">
        <v>25</v>
      </c>
    </row>
    <row r="5249" ht="15.75" customHeight="1">
      <c r="A5249" s="1" t="s">
        <v>5286</v>
      </c>
      <c r="B5249" s="1" t="s">
        <v>24</v>
      </c>
      <c r="C5249" s="1">
        <v>0.0</v>
      </c>
      <c r="D5249" s="1" t="s">
        <v>26</v>
      </c>
      <c r="E5249" s="1" t="s">
        <v>26</v>
      </c>
      <c r="F5249" s="1">
        <v>27.0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1">
        <v>94.55</v>
      </c>
      <c r="T5249" s="1">
        <v>2724.6</v>
      </c>
      <c r="U5249" s="1">
        <v>0.0</v>
      </c>
      <c r="V5249" s="1">
        <v>2.0</v>
      </c>
      <c r="W5249" s="1" t="s">
        <v>25</v>
      </c>
    </row>
    <row r="5250" ht="15.75" customHeight="1">
      <c r="A5250" s="1" t="s">
        <v>5287</v>
      </c>
      <c r="B5250" s="1" t="s">
        <v>24</v>
      </c>
      <c r="C5250" s="1">
        <v>0.0</v>
      </c>
      <c r="D5250" s="1" t="s">
        <v>25</v>
      </c>
      <c r="E5250" s="1" t="s">
        <v>26</v>
      </c>
      <c r="F5250" s="1">
        <v>12.0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1">
        <v>20.05</v>
      </c>
      <c r="T5250" s="1">
        <v>264.55</v>
      </c>
      <c r="U5250" s="1">
        <v>0.0</v>
      </c>
      <c r="V5250" s="1">
        <v>0.0</v>
      </c>
      <c r="W5250" s="1" t="s">
        <v>26</v>
      </c>
    </row>
    <row r="5251" ht="15.75" customHeight="1">
      <c r="A5251" s="1" t="s">
        <v>5288</v>
      </c>
      <c r="B5251" s="1" t="s">
        <v>32</v>
      </c>
      <c r="C5251" s="1">
        <v>0.0</v>
      </c>
      <c r="D5251" s="1" t="s">
        <v>26</v>
      </c>
      <c r="E5251" s="1" t="s">
        <v>25</v>
      </c>
      <c r="F5251" s="1">
        <v>72.0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1">
        <v>67.2</v>
      </c>
      <c r="T5251" s="1">
        <v>4671.7</v>
      </c>
      <c r="U5251" s="1">
        <v>4.0</v>
      </c>
      <c r="V5251" s="1">
        <v>0.0</v>
      </c>
      <c r="W5251" s="1" t="s">
        <v>26</v>
      </c>
    </row>
    <row r="5252" ht="15.75" customHeight="1">
      <c r="A5252" s="1" t="s">
        <v>5289</v>
      </c>
      <c r="B5252" s="1" t="s">
        <v>32</v>
      </c>
      <c r="C5252" s="1">
        <v>0.0</v>
      </c>
      <c r="D5252" s="1" t="s">
        <v>26</v>
      </c>
      <c r="E5252" s="1" t="s">
        <v>26</v>
      </c>
      <c r="F5252" s="1">
        <v>12.0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1">
        <v>94.55</v>
      </c>
      <c r="T5252" s="1">
        <v>1173.55</v>
      </c>
      <c r="U5252" s="1">
        <v>0.0</v>
      </c>
      <c r="V5252" s="1">
        <v>0.0</v>
      </c>
      <c r="W5252" s="1" t="s">
        <v>26</v>
      </c>
    </row>
    <row r="5253" ht="15.75" customHeight="1">
      <c r="A5253" s="1" t="s">
        <v>5290</v>
      </c>
      <c r="B5253" s="1" t="s">
        <v>24</v>
      </c>
      <c r="C5253" s="1">
        <v>1.0</v>
      </c>
      <c r="D5253" s="1" t="s">
        <v>26</v>
      </c>
      <c r="E5253" s="1" t="s">
        <v>26</v>
      </c>
      <c r="F5253" s="1">
        <v>5.0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1">
        <v>69.05</v>
      </c>
      <c r="T5253" s="1">
        <v>318.5</v>
      </c>
      <c r="U5253" s="1">
        <v>3.0</v>
      </c>
      <c r="V5253" s="1">
        <v>0.0</v>
      </c>
      <c r="W5253" s="1" t="s">
        <v>25</v>
      </c>
    </row>
    <row r="5254" ht="15.75" customHeight="1">
      <c r="A5254" s="1" t="s">
        <v>5291</v>
      </c>
      <c r="B5254" s="1" t="s">
        <v>32</v>
      </c>
      <c r="C5254" s="1">
        <v>1.0</v>
      </c>
      <c r="D5254" s="1" t="s">
        <v>25</v>
      </c>
      <c r="E5254" s="1" t="s">
        <v>26</v>
      </c>
      <c r="F5254" s="1">
        <v>71.0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1">
        <v>107.5</v>
      </c>
      <c r="T5254" s="1">
        <v>7713.55</v>
      </c>
      <c r="U5254" s="1">
        <v>0.0</v>
      </c>
      <c r="V5254" s="1">
        <v>0.0</v>
      </c>
      <c r="W5254" s="1" t="s">
        <v>26</v>
      </c>
    </row>
    <row r="5255" ht="15.75" customHeight="1">
      <c r="A5255" s="1" t="s">
        <v>5292</v>
      </c>
      <c r="B5255" s="1" t="s">
        <v>32</v>
      </c>
      <c r="C5255" s="1">
        <v>1.0</v>
      </c>
      <c r="D5255" s="1" t="s">
        <v>26</v>
      </c>
      <c r="E5255" s="1" t="s">
        <v>26</v>
      </c>
      <c r="F5255" s="1">
        <v>35.0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1">
        <v>73.0</v>
      </c>
      <c r="T5255" s="1">
        <v>2471.25</v>
      </c>
      <c r="U5255" s="1">
        <v>5.0</v>
      </c>
      <c r="V5255" s="1">
        <v>0.0</v>
      </c>
      <c r="W5255" s="1" t="s">
        <v>26</v>
      </c>
    </row>
    <row r="5256" ht="15.75" customHeight="1">
      <c r="A5256" s="1" t="s">
        <v>5293</v>
      </c>
      <c r="B5256" s="1" t="s">
        <v>32</v>
      </c>
      <c r="C5256" s="1">
        <v>0.0</v>
      </c>
      <c r="D5256" s="1" t="s">
        <v>25</v>
      </c>
      <c r="E5256" s="1" t="s">
        <v>25</v>
      </c>
      <c r="F5256" s="1">
        <v>70.0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1">
        <v>114.75</v>
      </c>
      <c r="T5256" s="1">
        <v>7842.3</v>
      </c>
      <c r="U5256" s="1">
        <v>0.0</v>
      </c>
      <c r="V5256" s="1">
        <v>0.0</v>
      </c>
      <c r="W5256" s="1" t="s">
        <v>26</v>
      </c>
    </row>
    <row r="5257" ht="15.75" customHeight="1">
      <c r="A5257" s="1" t="s">
        <v>5294</v>
      </c>
      <c r="B5257" s="1" t="s">
        <v>24</v>
      </c>
      <c r="C5257" s="1">
        <v>0.0</v>
      </c>
      <c r="D5257" s="1" t="s">
        <v>26</v>
      </c>
      <c r="E5257" s="1" t="s">
        <v>26</v>
      </c>
      <c r="F5257" s="1">
        <v>31.0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1">
        <v>76.05</v>
      </c>
      <c r="T5257" s="1">
        <v>2227.8</v>
      </c>
      <c r="U5257" s="1">
        <v>0.0</v>
      </c>
      <c r="V5257" s="1">
        <v>0.0</v>
      </c>
      <c r="W5257" s="1" t="s">
        <v>26</v>
      </c>
    </row>
    <row r="5258" ht="15.75" customHeight="1">
      <c r="A5258" s="1" t="s">
        <v>5295</v>
      </c>
      <c r="B5258" s="1" t="s">
        <v>32</v>
      </c>
      <c r="C5258" s="1">
        <v>0.0</v>
      </c>
      <c r="D5258" s="1" t="s">
        <v>25</v>
      </c>
      <c r="E5258" s="1" t="s">
        <v>25</v>
      </c>
      <c r="F5258" s="1">
        <v>52.0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1">
        <v>96.25</v>
      </c>
      <c r="T5258" s="1">
        <v>4990.25</v>
      </c>
      <c r="U5258" s="1">
        <v>0.0</v>
      </c>
      <c r="V5258" s="1">
        <v>5.0</v>
      </c>
      <c r="W5258" s="1" t="s">
        <v>25</v>
      </c>
    </row>
    <row r="5259" ht="15.75" customHeight="1">
      <c r="A5259" s="1" t="s">
        <v>5296</v>
      </c>
      <c r="B5259" s="1" t="s">
        <v>32</v>
      </c>
      <c r="C5259" s="1">
        <v>1.0</v>
      </c>
      <c r="D5259" s="1" t="s">
        <v>26</v>
      </c>
      <c r="E5259" s="1" t="s">
        <v>26</v>
      </c>
      <c r="F5259" s="1">
        <v>37.0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1">
        <v>101.1</v>
      </c>
      <c r="T5259" s="1">
        <v>3744.05</v>
      </c>
      <c r="U5259" s="1">
        <v>0.0</v>
      </c>
      <c r="V5259" s="1">
        <v>2.0</v>
      </c>
      <c r="W5259" s="1" t="s">
        <v>25</v>
      </c>
    </row>
    <row r="5260" ht="15.75" customHeight="1">
      <c r="A5260" s="1" t="s">
        <v>5297</v>
      </c>
      <c r="B5260" s="1" t="s">
        <v>32</v>
      </c>
      <c r="C5260" s="1">
        <v>0.0</v>
      </c>
      <c r="D5260" s="1" t="s">
        <v>26</v>
      </c>
      <c r="E5260" s="1" t="s">
        <v>26</v>
      </c>
      <c r="F5260" s="1">
        <v>69.0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1">
        <v>104.7</v>
      </c>
      <c r="T5260" s="1">
        <v>7220.35</v>
      </c>
      <c r="U5260" s="1">
        <v>0.0</v>
      </c>
      <c r="V5260" s="1">
        <v>6.0</v>
      </c>
      <c r="W5260" s="1" t="s">
        <v>25</v>
      </c>
    </row>
    <row r="5261" ht="15.75" customHeight="1">
      <c r="A5261" s="1" t="s">
        <v>5298</v>
      </c>
      <c r="B5261" s="1" t="s">
        <v>32</v>
      </c>
      <c r="C5261" s="1">
        <v>1.0</v>
      </c>
      <c r="D5261" s="1" t="s">
        <v>25</v>
      </c>
      <c r="E5261" s="1" t="s">
        <v>26</v>
      </c>
      <c r="F5261" s="1">
        <v>30.0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1">
        <v>77.9</v>
      </c>
      <c r="T5261" s="1">
        <v>2351.45</v>
      </c>
      <c r="U5261" s="1">
        <v>0.0</v>
      </c>
      <c r="V5261" s="1">
        <v>0.0</v>
      </c>
      <c r="W5261" s="1" t="s">
        <v>26</v>
      </c>
    </row>
    <row r="5262" ht="15.75" customHeight="1">
      <c r="A5262" s="1" t="s">
        <v>5299</v>
      </c>
      <c r="B5262" s="1" t="s">
        <v>24</v>
      </c>
      <c r="C5262" s="1">
        <v>0.0</v>
      </c>
      <c r="D5262" s="1" t="s">
        <v>26</v>
      </c>
      <c r="E5262" s="1" t="s">
        <v>26</v>
      </c>
      <c r="F5262" s="1">
        <v>33.0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1">
        <v>90.65</v>
      </c>
      <c r="T5262" s="1">
        <v>2989.6</v>
      </c>
      <c r="U5262" s="1">
        <v>0.0</v>
      </c>
      <c r="V5262" s="1">
        <v>0.0</v>
      </c>
      <c r="W5262" s="1" t="s">
        <v>26</v>
      </c>
    </row>
    <row r="5263" ht="15.75" customHeight="1">
      <c r="A5263" s="1" t="s">
        <v>5300</v>
      </c>
      <c r="B5263" s="1" t="s">
        <v>32</v>
      </c>
      <c r="C5263" s="1">
        <v>1.0</v>
      </c>
      <c r="D5263" s="1" t="s">
        <v>25</v>
      </c>
      <c r="E5263" s="1" t="s">
        <v>26</v>
      </c>
      <c r="F5263" s="1">
        <v>54.0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1">
        <v>110.45</v>
      </c>
      <c r="T5263" s="1">
        <v>6077.75</v>
      </c>
      <c r="U5263" s="1">
        <v>1.0</v>
      </c>
      <c r="V5263" s="1">
        <v>0.0</v>
      </c>
      <c r="W5263" s="1" t="s">
        <v>26</v>
      </c>
    </row>
    <row r="5264" ht="15.75" customHeight="1">
      <c r="A5264" s="1" t="s">
        <v>5301</v>
      </c>
      <c r="B5264" s="1" t="s">
        <v>24</v>
      </c>
      <c r="C5264" s="1">
        <v>0.0</v>
      </c>
      <c r="D5264" s="1" t="s">
        <v>26</v>
      </c>
      <c r="E5264" s="1" t="s">
        <v>26</v>
      </c>
      <c r="F5264" s="1">
        <v>59.0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1">
        <v>68.7</v>
      </c>
      <c r="T5264" s="1">
        <v>4070.95</v>
      </c>
      <c r="U5264" s="1">
        <v>0.0</v>
      </c>
      <c r="V5264" s="1">
        <v>0.0</v>
      </c>
      <c r="W5264" s="1" t="s">
        <v>26</v>
      </c>
    </row>
    <row r="5265" ht="15.75" customHeight="1">
      <c r="A5265" s="1" t="s">
        <v>5302</v>
      </c>
      <c r="B5265" s="1" t="s">
        <v>32</v>
      </c>
      <c r="C5265" s="1">
        <v>1.0</v>
      </c>
      <c r="D5265" s="1" t="s">
        <v>26</v>
      </c>
      <c r="E5265" s="1" t="s">
        <v>26</v>
      </c>
      <c r="F5265" s="1">
        <v>55.0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1">
        <v>44.85</v>
      </c>
      <c r="T5265" s="1">
        <v>2479.05</v>
      </c>
      <c r="U5265" s="1">
        <v>0.0</v>
      </c>
      <c r="V5265" s="1">
        <v>0.0</v>
      </c>
      <c r="W5265" s="1" t="s">
        <v>26</v>
      </c>
    </row>
    <row r="5266" ht="15.75" customHeight="1">
      <c r="A5266" s="1" t="s">
        <v>5303</v>
      </c>
      <c r="B5266" s="1" t="s">
        <v>32</v>
      </c>
      <c r="C5266" s="1">
        <v>1.0</v>
      </c>
      <c r="D5266" s="1" t="s">
        <v>25</v>
      </c>
      <c r="E5266" s="1" t="s">
        <v>26</v>
      </c>
      <c r="F5266" s="1">
        <v>69.0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1">
        <v>29.8</v>
      </c>
      <c r="T5266" s="1">
        <v>2134.3</v>
      </c>
      <c r="U5266" s="1">
        <v>4.0</v>
      </c>
      <c r="V5266" s="1">
        <v>0.0</v>
      </c>
      <c r="W5266" s="1" t="s">
        <v>26</v>
      </c>
    </row>
    <row r="5267" ht="15.75" customHeight="1">
      <c r="A5267" s="1" t="s">
        <v>5304</v>
      </c>
      <c r="B5267" s="1" t="s">
        <v>24</v>
      </c>
      <c r="C5267" s="1">
        <v>0.0</v>
      </c>
      <c r="D5267" s="1" t="s">
        <v>26</v>
      </c>
      <c r="E5267" s="1" t="s">
        <v>26</v>
      </c>
      <c r="F5267" s="1">
        <v>66.0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1">
        <v>88.9</v>
      </c>
      <c r="T5267" s="1">
        <v>6000.1</v>
      </c>
      <c r="U5267" s="1">
        <v>0.0</v>
      </c>
      <c r="V5267" s="1">
        <v>0.0</v>
      </c>
      <c r="W5267" s="1" t="s">
        <v>26</v>
      </c>
    </row>
    <row r="5268" ht="15.75" customHeight="1">
      <c r="A5268" s="1" t="s">
        <v>5305</v>
      </c>
      <c r="B5268" s="1" t="s">
        <v>32</v>
      </c>
      <c r="C5268" s="1">
        <v>0.0</v>
      </c>
      <c r="D5268" s="1" t="s">
        <v>25</v>
      </c>
      <c r="E5268" s="1" t="s">
        <v>25</v>
      </c>
      <c r="F5268" s="1">
        <v>37.0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1">
        <v>58.75</v>
      </c>
      <c r="T5268" s="1">
        <v>2203.1</v>
      </c>
      <c r="U5268" s="1">
        <v>1.0</v>
      </c>
      <c r="V5268" s="1">
        <v>0.0</v>
      </c>
      <c r="W5268" s="1" t="s">
        <v>26</v>
      </c>
    </row>
    <row r="5269" ht="15.75" customHeight="1">
      <c r="A5269" s="1" t="s">
        <v>5306</v>
      </c>
      <c r="B5269" s="1" t="s">
        <v>32</v>
      </c>
      <c r="C5269" s="1">
        <v>1.0</v>
      </c>
      <c r="D5269" s="1" t="s">
        <v>25</v>
      </c>
      <c r="E5269" s="1" t="s">
        <v>26</v>
      </c>
      <c r="F5269" s="1">
        <v>9.0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1">
        <v>19.85</v>
      </c>
      <c r="T5269" s="1">
        <v>183.15</v>
      </c>
      <c r="U5269" s="1">
        <v>0.0</v>
      </c>
      <c r="V5269" s="1">
        <v>0.0</v>
      </c>
      <c r="W5269" s="1" t="s">
        <v>26</v>
      </c>
    </row>
    <row r="5270" ht="15.75" customHeight="1">
      <c r="A5270" s="1" t="s">
        <v>5307</v>
      </c>
      <c r="B5270" s="1" t="s">
        <v>32</v>
      </c>
      <c r="C5270" s="1">
        <v>0.0</v>
      </c>
      <c r="D5270" s="1" t="s">
        <v>25</v>
      </c>
      <c r="E5270" s="1" t="s">
        <v>25</v>
      </c>
      <c r="F5270" s="1">
        <v>69.0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1">
        <v>86.9</v>
      </c>
      <c r="T5270" s="1">
        <v>6194.1</v>
      </c>
      <c r="U5270" s="1">
        <v>1.0</v>
      </c>
      <c r="V5270" s="1">
        <v>0.0</v>
      </c>
      <c r="W5270" s="1" t="s">
        <v>26</v>
      </c>
    </row>
    <row r="5271" ht="15.75" customHeight="1">
      <c r="A5271" s="1" t="s">
        <v>5308</v>
      </c>
      <c r="B5271" s="1" t="s">
        <v>32</v>
      </c>
      <c r="C5271" s="1">
        <v>0.0</v>
      </c>
      <c r="D5271" s="1" t="s">
        <v>26</v>
      </c>
      <c r="E5271" s="1" t="s">
        <v>26</v>
      </c>
      <c r="F5271" s="1">
        <v>10.0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1">
        <v>59.65</v>
      </c>
      <c r="T5271" s="1">
        <v>638.95</v>
      </c>
      <c r="U5271" s="1">
        <v>0.0</v>
      </c>
      <c r="V5271" s="1">
        <v>0.0</v>
      </c>
      <c r="W5271" s="1" t="s">
        <v>26</v>
      </c>
    </row>
    <row r="5272" ht="15.75" customHeight="1">
      <c r="A5272" s="1" t="s">
        <v>5309</v>
      </c>
      <c r="B5272" s="1" t="s">
        <v>32</v>
      </c>
      <c r="C5272" s="1">
        <v>0.0</v>
      </c>
      <c r="D5272" s="1" t="s">
        <v>26</v>
      </c>
      <c r="E5272" s="1" t="s">
        <v>25</v>
      </c>
      <c r="F5272" s="1">
        <v>40.0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1">
        <v>55.25</v>
      </c>
      <c r="T5272" s="1">
        <v>2139.2</v>
      </c>
      <c r="U5272" s="1">
        <v>0.0</v>
      </c>
      <c r="V5272" s="1">
        <v>4.0</v>
      </c>
      <c r="W5272" s="1" t="s">
        <v>25</v>
      </c>
    </row>
    <row r="5273" ht="15.75" customHeight="1">
      <c r="A5273" s="1" t="s">
        <v>5310</v>
      </c>
      <c r="B5273" s="1" t="s">
        <v>32</v>
      </c>
      <c r="C5273" s="1">
        <v>0.0</v>
      </c>
      <c r="D5273" s="1" t="s">
        <v>26</v>
      </c>
      <c r="E5273" s="1" t="s">
        <v>25</v>
      </c>
      <c r="F5273" s="1">
        <v>13.0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1">
        <v>66.4</v>
      </c>
      <c r="T5273" s="1">
        <v>831.75</v>
      </c>
      <c r="U5273" s="1">
        <v>0.0</v>
      </c>
      <c r="V5273" s="1">
        <v>0.0</v>
      </c>
      <c r="W5273" s="1" t="s">
        <v>26</v>
      </c>
    </row>
    <row r="5274" ht="15.75" customHeight="1">
      <c r="A5274" s="1" t="s">
        <v>5311</v>
      </c>
      <c r="B5274" s="1" t="s">
        <v>24</v>
      </c>
      <c r="C5274" s="1">
        <v>0.0</v>
      </c>
      <c r="D5274" s="1" t="s">
        <v>26</v>
      </c>
      <c r="E5274" s="1" t="s">
        <v>26</v>
      </c>
      <c r="F5274" s="1">
        <v>6.0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1">
        <v>90.1</v>
      </c>
      <c r="T5274" s="1">
        <v>521.3</v>
      </c>
      <c r="U5274" s="1">
        <v>0.0</v>
      </c>
      <c r="V5274" s="1">
        <v>0.0</v>
      </c>
      <c r="W5274" s="1" t="s">
        <v>25</v>
      </c>
    </row>
    <row r="5275" ht="15.75" customHeight="1">
      <c r="A5275" s="1" t="s">
        <v>5312</v>
      </c>
      <c r="B5275" s="1" t="s">
        <v>24</v>
      </c>
      <c r="C5275" s="1">
        <v>0.0</v>
      </c>
      <c r="D5275" s="1" t="s">
        <v>25</v>
      </c>
      <c r="E5275" s="1" t="s">
        <v>25</v>
      </c>
      <c r="F5275" s="1">
        <v>69.0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1">
        <v>20.15</v>
      </c>
      <c r="T5275" s="1">
        <v>1337.5</v>
      </c>
      <c r="U5275" s="1">
        <v>0.0</v>
      </c>
      <c r="V5275" s="1">
        <v>0.0</v>
      </c>
      <c r="W5275" s="1" t="s">
        <v>26</v>
      </c>
    </row>
    <row r="5276" ht="15.75" customHeight="1">
      <c r="A5276" s="1" t="s">
        <v>5313</v>
      </c>
      <c r="B5276" s="1" t="s">
        <v>24</v>
      </c>
      <c r="C5276" s="1">
        <v>1.0</v>
      </c>
      <c r="D5276" s="1" t="s">
        <v>25</v>
      </c>
      <c r="E5276" s="1" t="s">
        <v>26</v>
      </c>
      <c r="F5276" s="1">
        <v>66.0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1">
        <v>108.1</v>
      </c>
      <c r="T5276" s="1">
        <v>7181.95</v>
      </c>
      <c r="U5276" s="1">
        <v>0.0</v>
      </c>
      <c r="V5276" s="1">
        <v>0.0</v>
      </c>
      <c r="W5276" s="1" t="s">
        <v>26</v>
      </c>
    </row>
    <row r="5277" ht="15.75" customHeight="1">
      <c r="A5277" s="1" t="s">
        <v>5314</v>
      </c>
      <c r="B5277" s="1" t="s">
        <v>32</v>
      </c>
      <c r="C5277" s="1">
        <v>0.0</v>
      </c>
      <c r="D5277" s="1" t="s">
        <v>26</v>
      </c>
      <c r="E5277" s="1" t="s">
        <v>26</v>
      </c>
      <c r="F5277" s="1">
        <v>11.0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1">
        <v>53.75</v>
      </c>
      <c r="T5277" s="1">
        <v>608.0</v>
      </c>
      <c r="U5277" s="1">
        <v>0.0</v>
      </c>
      <c r="V5277" s="1">
        <v>0.0</v>
      </c>
      <c r="W5277" s="1" t="s">
        <v>25</v>
      </c>
    </row>
    <row r="5278" ht="15.75" customHeight="1">
      <c r="A5278" s="1" t="s">
        <v>5315</v>
      </c>
      <c r="B5278" s="1" t="s">
        <v>32</v>
      </c>
      <c r="C5278" s="1">
        <v>0.0</v>
      </c>
      <c r="D5278" s="1" t="s">
        <v>25</v>
      </c>
      <c r="E5278" s="1" t="s">
        <v>25</v>
      </c>
      <c r="F5278" s="1">
        <v>46.0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1">
        <v>56.9</v>
      </c>
      <c r="T5278" s="1">
        <v>2560.1</v>
      </c>
      <c r="U5278" s="1">
        <v>0.0</v>
      </c>
      <c r="V5278" s="1">
        <v>0.0</v>
      </c>
      <c r="W5278" s="1" t="s">
        <v>26</v>
      </c>
    </row>
    <row r="5279" ht="15.75" customHeight="1">
      <c r="A5279" s="1" t="s">
        <v>5316</v>
      </c>
      <c r="B5279" s="1" t="s">
        <v>24</v>
      </c>
      <c r="C5279" s="1">
        <v>0.0</v>
      </c>
      <c r="D5279" s="1" t="s">
        <v>26</v>
      </c>
      <c r="E5279" s="1" t="s">
        <v>26</v>
      </c>
      <c r="F5279" s="1">
        <v>6.0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1">
        <v>89.3</v>
      </c>
      <c r="T5279" s="1">
        <v>577.6</v>
      </c>
      <c r="U5279" s="1">
        <v>0.0</v>
      </c>
      <c r="V5279" s="1">
        <v>1.0</v>
      </c>
      <c r="W5279" s="1" t="s">
        <v>25</v>
      </c>
    </row>
    <row r="5280" ht="15.75" customHeight="1">
      <c r="A5280" s="1" t="s">
        <v>5317</v>
      </c>
      <c r="B5280" s="1" t="s">
        <v>24</v>
      </c>
      <c r="C5280" s="1">
        <v>0.0</v>
      </c>
      <c r="D5280" s="1" t="s">
        <v>25</v>
      </c>
      <c r="E5280" s="1" t="s">
        <v>25</v>
      </c>
      <c r="F5280" s="1">
        <v>56.0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1">
        <v>109.6</v>
      </c>
      <c r="T5280" s="1">
        <v>5953.0</v>
      </c>
      <c r="U5280" s="1">
        <v>2.0</v>
      </c>
      <c r="V5280" s="1">
        <v>0.0</v>
      </c>
      <c r="W5280" s="1" t="s">
        <v>26</v>
      </c>
    </row>
    <row r="5281" ht="15.75" customHeight="1">
      <c r="A5281" s="1" t="s">
        <v>5318</v>
      </c>
      <c r="B5281" s="1" t="s">
        <v>32</v>
      </c>
      <c r="C5281" s="1">
        <v>0.0</v>
      </c>
      <c r="D5281" s="1" t="s">
        <v>25</v>
      </c>
      <c r="E5281" s="1" t="s">
        <v>25</v>
      </c>
      <c r="F5281" s="1">
        <v>70.0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1">
        <v>25.15</v>
      </c>
      <c r="T5281" s="1">
        <v>1790.15</v>
      </c>
      <c r="U5281" s="1">
        <v>0.0</v>
      </c>
      <c r="V5281" s="1">
        <v>0.0</v>
      </c>
      <c r="W5281" s="1" t="s">
        <v>26</v>
      </c>
    </row>
    <row r="5282" ht="15.75" customHeight="1">
      <c r="A5282" s="1" t="s">
        <v>5319</v>
      </c>
      <c r="B5282" s="1" t="s">
        <v>24</v>
      </c>
      <c r="C5282" s="1">
        <v>0.0</v>
      </c>
      <c r="D5282" s="1" t="s">
        <v>25</v>
      </c>
      <c r="E5282" s="1" t="s">
        <v>25</v>
      </c>
      <c r="F5282" s="1">
        <v>33.0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1">
        <v>79.15</v>
      </c>
      <c r="T5282" s="1">
        <v>2531.4</v>
      </c>
      <c r="U5282" s="1">
        <v>2.0</v>
      </c>
      <c r="V5282" s="1">
        <v>0.0</v>
      </c>
      <c r="W5282" s="1" t="s">
        <v>26</v>
      </c>
    </row>
    <row r="5283" ht="15.75" customHeight="1">
      <c r="A5283" s="1" t="s">
        <v>5320</v>
      </c>
      <c r="B5283" s="1" t="s">
        <v>24</v>
      </c>
      <c r="C5283" s="1">
        <v>0.0</v>
      </c>
      <c r="D5283" s="1" t="s">
        <v>25</v>
      </c>
      <c r="E5283" s="1" t="s">
        <v>25</v>
      </c>
      <c r="F5283" s="1">
        <v>72.0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1">
        <v>66.75</v>
      </c>
      <c r="T5283" s="1">
        <v>4760.3</v>
      </c>
      <c r="U5283" s="1">
        <v>0.0</v>
      </c>
      <c r="V5283" s="1">
        <v>0.0</v>
      </c>
      <c r="W5283" s="1" t="s">
        <v>26</v>
      </c>
    </row>
    <row r="5284" ht="15.75" customHeight="1">
      <c r="A5284" s="1" t="s">
        <v>5321</v>
      </c>
      <c r="B5284" s="1" t="s">
        <v>24</v>
      </c>
      <c r="C5284" s="1">
        <v>0.0</v>
      </c>
      <c r="D5284" s="1" t="s">
        <v>25</v>
      </c>
      <c r="E5284" s="1" t="s">
        <v>26</v>
      </c>
      <c r="F5284" s="1">
        <v>3.0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1">
        <v>95.2</v>
      </c>
      <c r="T5284" s="1">
        <v>292.85</v>
      </c>
      <c r="U5284" s="1">
        <v>3.0</v>
      </c>
      <c r="V5284" s="1">
        <v>1.0</v>
      </c>
      <c r="W5284" s="1" t="s">
        <v>25</v>
      </c>
    </row>
    <row r="5285" ht="15.75" customHeight="1">
      <c r="A5285" s="1" t="s">
        <v>5322</v>
      </c>
      <c r="B5285" s="1" t="s">
        <v>24</v>
      </c>
      <c r="C5285" s="1">
        <v>0.0</v>
      </c>
      <c r="D5285" s="1" t="s">
        <v>26</v>
      </c>
      <c r="E5285" s="1" t="s">
        <v>25</v>
      </c>
      <c r="F5285" s="1">
        <v>19.0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1">
        <v>48.8</v>
      </c>
      <c r="T5285" s="1">
        <v>953.65</v>
      </c>
      <c r="U5285" s="1">
        <v>0.0</v>
      </c>
      <c r="V5285" s="1">
        <v>1.0</v>
      </c>
      <c r="W5285" s="1" t="s">
        <v>26</v>
      </c>
    </row>
    <row r="5286" ht="15.75" customHeight="1">
      <c r="A5286" s="1" t="s">
        <v>5323</v>
      </c>
      <c r="B5286" s="1" t="s">
        <v>24</v>
      </c>
      <c r="C5286" s="1">
        <v>1.0</v>
      </c>
      <c r="D5286" s="1" t="s">
        <v>26</v>
      </c>
      <c r="E5286" s="1" t="s">
        <v>26</v>
      </c>
      <c r="F5286" s="1">
        <v>5.0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1">
        <v>45.7</v>
      </c>
      <c r="T5286" s="1">
        <v>198.0</v>
      </c>
      <c r="U5286" s="1">
        <v>0.0</v>
      </c>
      <c r="V5286" s="1">
        <v>0.0</v>
      </c>
      <c r="W5286" s="1" t="s">
        <v>25</v>
      </c>
    </row>
    <row r="5287" ht="15.75" customHeight="1">
      <c r="A5287" s="1" t="s">
        <v>5324</v>
      </c>
      <c r="B5287" s="1" t="s">
        <v>24</v>
      </c>
      <c r="C5287" s="1">
        <v>0.0</v>
      </c>
      <c r="D5287" s="1" t="s">
        <v>25</v>
      </c>
      <c r="E5287" s="1" t="s">
        <v>26</v>
      </c>
      <c r="F5287" s="1">
        <v>71.0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1">
        <v>80.7</v>
      </c>
      <c r="T5287" s="1">
        <v>5705.05</v>
      </c>
      <c r="U5287" s="1">
        <v>0.0</v>
      </c>
      <c r="V5287" s="1">
        <v>5.0</v>
      </c>
      <c r="W5287" s="1" t="s">
        <v>26</v>
      </c>
    </row>
    <row r="5288" ht="15.75" customHeight="1">
      <c r="A5288" s="1" t="s">
        <v>5325</v>
      </c>
      <c r="B5288" s="1" t="s">
        <v>32</v>
      </c>
      <c r="C5288" s="1">
        <v>0.0</v>
      </c>
      <c r="D5288" s="1" t="s">
        <v>25</v>
      </c>
      <c r="E5288" s="1" t="s">
        <v>26</v>
      </c>
      <c r="F5288" s="1">
        <v>8.0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1">
        <v>74.5</v>
      </c>
      <c r="T5288" s="1">
        <v>609.9</v>
      </c>
      <c r="U5288" s="1">
        <v>0.0</v>
      </c>
      <c r="V5288" s="1">
        <v>0.0</v>
      </c>
      <c r="W5288" s="1" t="s">
        <v>25</v>
      </c>
    </row>
    <row r="5289" ht="15.75" customHeight="1">
      <c r="A5289" s="1" t="s">
        <v>5326</v>
      </c>
      <c r="B5289" s="1" t="s">
        <v>32</v>
      </c>
      <c r="C5289" s="1">
        <v>0.0</v>
      </c>
      <c r="D5289" s="1" t="s">
        <v>26</v>
      </c>
      <c r="E5289" s="1" t="s">
        <v>26</v>
      </c>
      <c r="F5289" s="1">
        <v>1.0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1">
        <v>20.55</v>
      </c>
      <c r="T5289" s="1">
        <v>20.55</v>
      </c>
      <c r="U5289" s="1">
        <v>3.0</v>
      </c>
      <c r="V5289" s="1">
        <v>0.0</v>
      </c>
      <c r="W5289" s="1" t="s">
        <v>26</v>
      </c>
    </row>
    <row r="5290" ht="15.75" customHeight="1">
      <c r="A5290" s="1" t="s">
        <v>5327</v>
      </c>
      <c r="B5290" s="1" t="s">
        <v>24</v>
      </c>
      <c r="C5290" s="1">
        <v>0.0</v>
      </c>
      <c r="D5290" s="1" t="s">
        <v>26</v>
      </c>
      <c r="E5290" s="1" t="s">
        <v>26</v>
      </c>
      <c r="F5290" s="1">
        <v>1.0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1">
        <v>79.65</v>
      </c>
      <c r="T5290" s="1">
        <v>79.65</v>
      </c>
      <c r="U5290" s="1">
        <v>0.0</v>
      </c>
      <c r="V5290" s="1">
        <v>0.0</v>
      </c>
      <c r="W5290" s="1" t="s">
        <v>25</v>
      </c>
    </row>
    <row r="5291" ht="15.75" customHeight="1">
      <c r="A5291" s="1" t="s">
        <v>5328</v>
      </c>
      <c r="B5291" s="1" t="s">
        <v>24</v>
      </c>
      <c r="C5291" s="1">
        <v>0.0</v>
      </c>
      <c r="D5291" s="1" t="s">
        <v>26</v>
      </c>
      <c r="E5291" s="1" t="s">
        <v>26</v>
      </c>
      <c r="F5291" s="1">
        <v>61.0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1">
        <v>115.1</v>
      </c>
      <c r="T5291" s="1">
        <v>6993.65</v>
      </c>
      <c r="U5291" s="1">
        <v>3.0</v>
      </c>
      <c r="V5291" s="1">
        <v>0.0</v>
      </c>
      <c r="W5291" s="1" t="s">
        <v>26</v>
      </c>
    </row>
    <row r="5292" ht="15.75" customHeight="1">
      <c r="A5292" s="1" t="s">
        <v>5329</v>
      </c>
      <c r="B5292" s="1" t="s">
        <v>24</v>
      </c>
      <c r="C5292" s="1">
        <v>0.0</v>
      </c>
      <c r="D5292" s="1" t="s">
        <v>25</v>
      </c>
      <c r="E5292" s="1" t="s">
        <v>25</v>
      </c>
      <c r="F5292" s="1">
        <v>71.0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1">
        <v>59.7</v>
      </c>
      <c r="T5292" s="1">
        <v>4122.65</v>
      </c>
      <c r="U5292" s="1">
        <v>0.0</v>
      </c>
      <c r="V5292" s="1">
        <v>0.0</v>
      </c>
      <c r="W5292" s="1" t="s">
        <v>26</v>
      </c>
    </row>
    <row r="5293" ht="15.75" customHeight="1">
      <c r="A5293" s="1" t="s">
        <v>5330</v>
      </c>
      <c r="B5293" s="1" t="s">
        <v>24</v>
      </c>
      <c r="C5293" s="1">
        <v>0.0</v>
      </c>
      <c r="D5293" s="1" t="s">
        <v>25</v>
      </c>
      <c r="E5293" s="1" t="s">
        <v>26</v>
      </c>
      <c r="F5293" s="1">
        <v>68.0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1">
        <v>86.45</v>
      </c>
      <c r="T5293" s="1">
        <v>5762.95</v>
      </c>
      <c r="U5293" s="1">
        <v>0.0</v>
      </c>
      <c r="V5293" s="1">
        <v>0.0</v>
      </c>
      <c r="W5293" s="1" t="s">
        <v>26</v>
      </c>
    </row>
    <row r="5294" ht="15.75" customHeight="1">
      <c r="A5294" s="1" t="s">
        <v>5331</v>
      </c>
      <c r="B5294" s="1" t="s">
        <v>32</v>
      </c>
      <c r="C5294" s="1">
        <v>0.0</v>
      </c>
      <c r="D5294" s="1" t="s">
        <v>26</v>
      </c>
      <c r="E5294" s="1" t="s">
        <v>26</v>
      </c>
      <c r="F5294" s="1">
        <v>46.0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1">
        <v>33.7</v>
      </c>
      <c r="T5294" s="1">
        <v>1537.85</v>
      </c>
      <c r="U5294" s="1">
        <v>0.0</v>
      </c>
      <c r="V5294" s="1">
        <v>0.0</v>
      </c>
      <c r="W5294" s="1" t="s">
        <v>26</v>
      </c>
    </row>
    <row r="5295" ht="15.75" customHeight="1">
      <c r="A5295" s="1" t="s">
        <v>5332</v>
      </c>
      <c r="B5295" s="1" t="s">
        <v>32</v>
      </c>
      <c r="C5295" s="1">
        <v>0.0</v>
      </c>
      <c r="D5295" s="1" t="s">
        <v>26</v>
      </c>
      <c r="E5295" s="1" t="s">
        <v>26</v>
      </c>
      <c r="F5295" s="1">
        <v>33.0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1">
        <v>80.1</v>
      </c>
      <c r="T5295" s="1">
        <v>2603.3</v>
      </c>
      <c r="U5295" s="1">
        <v>0.0</v>
      </c>
      <c r="V5295" s="1">
        <v>0.0</v>
      </c>
      <c r="W5295" s="1" t="s">
        <v>26</v>
      </c>
    </row>
    <row r="5296" ht="15.75" customHeight="1">
      <c r="A5296" s="1" t="s">
        <v>5333</v>
      </c>
      <c r="B5296" s="1" t="s">
        <v>24</v>
      </c>
      <c r="C5296" s="1">
        <v>0.0</v>
      </c>
      <c r="D5296" s="1" t="s">
        <v>25</v>
      </c>
      <c r="E5296" s="1" t="s">
        <v>25</v>
      </c>
      <c r="F5296" s="1">
        <v>53.0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1">
        <v>104.05</v>
      </c>
      <c r="T5296" s="1">
        <v>5566.4</v>
      </c>
      <c r="U5296" s="1">
        <v>0.0</v>
      </c>
      <c r="V5296" s="1">
        <v>0.0</v>
      </c>
      <c r="W5296" s="1" t="s">
        <v>26</v>
      </c>
    </row>
    <row r="5297" ht="15.75" customHeight="1">
      <c r="A5297" s="1" t="s">
        <v>5334</v>
      </c>
      <c r="B5297" s="1" t="s">
        <v>24</v>
      </c>
      <c r="C5297" s="1">
        <v>1.0</v>
      </c>
      <c r="D5297" s="1" t="s">
        <v>25</v>
      </c>
      <c r="E5297" s="1" t="s">
        <v>26</v>
      </c>
      <c r="F5297" s="1">
        <v>50.0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1">
        <v>108.75</v>
      </c>
      <c r="T5297" s="1">
        <v>5431.9</v>
      </c>
      <c r="U5297" s="1">
        <v>0.0</v>
      </c>
      <c r="V5297" s="1">
        <v>0.0</v>
      </c>
      <c r="W5297" s="1" t="s">
        <v>26</v>
      </c>
    </row>
    <row r="5298" ht="15.75" customHeight="1">
      <c r="A5298" s="1" t="s">
        <v>5335</v>
      </c>
      <c r="B5298" s="1" t="s">
        <v>24</v>
      </c>
      <c r="C5298" s="1">
        <v>0.0</v>
      </c>
      <c r="D5298" s="1" t="s">
        <v>26</v>
      </c>
      <c r="E5298" s="1" t="s">
        <v>26</v>
      </c>
      <c r="F5298" s="1">
        <v>57.0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1">
        <v>41.1</v>
      </c>
      <c r="T5298" s="1">
        <v>2258.25</v>
      </c>
      <c r="U5298" s="1">
        <v>0.0</v>
      </c>
      <c r="V5298" s="1">
        <v>0.0</v>
      </c>
      <c r="W5298" s="1" t="s">
        <v>26</v>
      </c>
    </row>
    <row r="5299" ht="15.75" customHeight="1">
      <c r="A5299" s="1" t="s">
        <v>5336</v>
      </c>
      <c r="B5299" s="1" t="s">
        <v>24</v>
      </c>
      <c r="C5299" s="1">
        <v>0.0</v>
      </c>
      <c r="D5299" s="1" t="s">
        <v>25</v>
      </c>
      <c r="E5299" s="1" t="s">
        <v>25</v>
      </c>
      <c r="F5299" s="1">
        <v>54.0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1">
        <v>20.35</v>
      </c>
      <c r="T5299" s="1">
        <v>1092.35</v>
      </c>
      <c r="U5299" s="1">
        <v>0.0</v>
      </c>
      <c r="V5299" s="1">
        <v>3.0</v>
      </c>
      <c r="W5299" s="1" t="s">
        <v>26</v>
      </c>
    </row>
    <row r="5300" ht="15.75" customHeight="1">
      <c r="A5300" s="1" t="s">
        <v>5337</v>
      </c>
      <c r="B5300" s="1" t="s">
        <v>24</v>
      </c>
      <c r="C5300" s="1">
        <v>1.0</v>
      </c>
      <c r="D5300" s="1" t="s">
        <v>25</v>
      </c>
      <c r="E5300" s="1" t="s">
        <v>26</v>
      </c>
      <c r="F5300" s="1">
        <v>60.0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1">
        <v>105.9</v>
      </c>
      <c r="T5300" s="1">
        <v>6401.25</v>
      </c>
      <c r="U5300" s="1">
        <v>0.0</v>
      </c>
      <c r="V5300" s="1">
        <v>0.0</v>
      </c>
      <c r="W5300" s="1" t="s">
        <v>26</v>
      </c>
    </row>
    <row r="5301" ht="15.75" customHeight="1">
      <c r="A5301" s="1" t="s">
        <v>5338</v>
      </c>
      <c r="B5301" s="1" t="s">
        <v>24</v>
      </c>
      <c r="C5301" s="1">
        <v>1.0</v>
      </c>
      <c r="D5301" s="1" t="s">
        <v>25</v>
      </c>
      <c r="E5301" s="1" t="s">
        <v>26</v>
      </c>
      <c r="F5301" s="1">
        <v>28.0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1">
        <v>101.3</v>
      </c>
      <c r="T5301" s="1">
        <v>2812.2</v>
      </c>
      <c r="U5301" s="1">
        <v>2.0</v>
      </c>
      <c r="V5301" s="1">
        <v>3.0</v>
      </c>
      <c r="W5301" s="1" t="s">
        <v>25</v>
      </c>
    </row>
    <row r="5302" ht="15.75" customHeight="1">
      <c r="A5302" s="1" t="s">
        <v>5339</v>
      </c>
      <c r="B5302" s="1" t="s">
        <v>24</v>
      </c>
      <c r="C5302" s="1">
        <v>0.0</v>
      </c>
      <c r="D5302" s="1" t="s">
        <v>25</v>
      </c>
      <c r="E5302" s="1" t="s">
        <v>25</v>
      </c>
      <c r="F5302" s="1">
        <v>1.0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1">
        <v>80.05</v>
      </c>
      <c r="T5302" s="1">
        <v>80.05</v>
      </c>
      <c r="U5302" s="1">
        <v>0.0</v>
      </c>
      <c r="V5302" s="1">
        <v>0.0</v>
      </c>
      <c r="W5302" s="1" t="s">
        <v>25</v>
      </c>
    </row>
    <row r="5303" ht="15.75" customHeight="1">
      <c r="A5303" s="1" t="s">
        <v>5340</v>
      </c>
      <c r="B5303" s="1" t="s">
        <v>32</v>
      </c>
      <c r="C5303" s="1">
        <v>0.0</v>
      </c>
      <c r="D5303" s="1" t="s">
        <v>25</v>
      </c>
      <c r="E5303" s="1" t="s">
        <v>25</v>
      </c>
      <c r="F5303" s="1">
        <v>29.0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1">
        <v>89.2</v>
      </c>
      <c r="T5303" s="1">
        <v>2698.35</v>
      </c>
      <c r="U5303" s="1">
        <v>0.0</v>
      </c>
      <c r="V5303" s="1">
        <v>3.0</v>
      </c>
      <c r="W5303" s="1" t="s">
        <v>25</v>
      </c>
    </row>
    <row r="5304" ht="15.75" customHeight="1">
      <c r="A5304" s="1" t="s">
        <v>5341</v>
      </c>
      <c r="B5304" s="1" t="s">
        <v>24</v>
      </c>
      <c r="C5304" s="1">
        <v>0.0</v>
      </c>
      <c r="D5304" s="1" t="s">
        <v>25</v>
      </c>
      <c r="E5304" s="1" t="s">
        <v>25</v>
      </c>
      <c r="F5304" s="1">
        <v>10.0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1">
        <v>65.5</v>
      </c>
      <c r="T5304" s="1">
        <v>616.9</v>
      </c>
      <c r="U5304" s="1">
        <v>5.0</v>
      </c>
      <c r="V5304" s="1">
        <v>0.0</v>
      </c>
      <c r="W5304" s="1" t="s">
        <v>26</v>
      </c>
    </row>
    <row r="5305" ht="15.75" customHeight="1">
      <c r="A5305" s="1" t="s">
        <v>5342</v>
      </c>
      <c r="B5305" s="1" t="s">
        <v>32</v>
      </c>
      <c r="C5305" s="1">
        <v>0.0</v>
      </c>
      <c r="D5305" s="1" t="s">
        <v>26</v>
      </c>
      <c r="E5305" s="1" t="s">
        <v>25</v>
      </c>
      <c r="F5305" s="1">
        <v>43.0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1">
        <v>40.45</v>
      </c>
      <c r="T5305" s="1">
        <v>1912.85</v>
      </c>
      <c r="U5305" s="1">
        <v>0.0</v>
      </c>
      <c r="V5305" s="1">
        <v>0.0</v>
      </c>
      <c r="W5305" s="1" t="s">
        <v>26</v>
      </c>
    </row>
    <row r="5306" ht="15.75" customHeight="1">
      <c r="A5306" s="1" t="s">
        <v>5343</v>
      </c>
      <c r="B5306" s="1" t="s">
        <v>32</v>
      </c>
      <c r="C5306" s="1">
        <v>1.0</v>
      </c>
      <c r="D5306" s="1" t="s">
        <v>25</v>
      </c>
      <c r="E5306" s="1" t="s">
        <v>26</v>
      </c>
      <c r="F5306" s="1">
        <v>13.0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1">
        <v>70.45</v>
      </c>
      <c r="T5306" s="1">
        <v>849.1</v>
      </c>
      <c r="U5306" s="1">
        <v>0.0</v>
      </c>
      <c r="V5306" s="1">
        <v>0.0</v>
      </c>
      <c r="W5306" s="1" t="s">
        <v>26</v>
      </c>
    </row>
    <row r="5307" ht="15.75" customHeight="1">
      <c r="A5307" s="1" t="s">
        <v>5344</v>
      </c>
      <c r="B5307" s="1" t="s">
        <v>24</v>
      </c>
      <c r="C5307" s="1">
        <v>0.0</v>
      </c>
      <c r="D5307" s="1" t="s">
        <v>25</v>
      </c>
      <c r="E5307" s="1" t="s">
        <v>26</v>
      </c>
      <c r="F5307" s="1">
        <v>43.0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1">
        <v>78.8</v>
      </c>
      <c r="T5307" s="1">
        <v>3460.3</v>
      </c>
      <c r="U5307" s="1">
        <v>0.0</v>
      </c>
      <c r="V5307" s="1">
        <v>0.0</v>
      </c>
      <c r="W5307" s="1" t="s">
        <v>26</v>
      </c>
    </row>
    <row r="5308" ht="15.75" customHeight="1">
      <c r="A5308" s="1" t="s">
        <v>5345</v>
      </c>
      <c r="B5308" s="1" t="s">
        <v>32</v>
      </c>
      <c r="C5308" s="1">
        <v>0.0</v>
      </c>
      <c r="D5308" s="1" t="s">
        <v>25</v>
      </c>
      <c r="E5308" s="1" t="s">
        <v>25</v>
      </c>
      <c r="F5308" s="1">
        <v>19.0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1">
        <v>83.65</v>
      </c>
      <c r="T5308" s="1">
        <v>1465.75</v>
      </c>
      <c r="U5308" s="1">
        <v>0.0</v>
      </c>
      <c r="V5308" s="1">
        <v>0.0</v>
      </c>
      <c r="W5308" s="1" t="s">
        <v>25</v>
      </c>
    </row>
    <row r="5309" ht="15.75" customHeight="1">
      <c r="A5309" s="1" t="s">
        <v>5346</v>
      </c>
      <c r="B5309" s="1" t="s">
        <v>32</v>
      </c>
      <c r="C5309" s="1">
        <v>0.0</v>
      </c>
      <c r="D5309" s="1" t="s">
        <v>25</v>
      </c>
      <c r="E5309" s="1" t="s">
        <v>25</v>
      </c>
      <c r="F5309" s="1">
        <v>1.0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1">
        <v>90.1</v>
      </c>
      <c r="T5309" s="1">
        <v>90.1</v>
      </c>
      <c r="U5309" s="1">
        <v>0.0</v>
      </c>
      <c r="V5309" s="1">
        <v>0.0</v>
      </c>
      <c r="W5309" s="1" t="s">
        <v>26</v>
      </c>
    </row>
    <row r="5310" ht="15.75" customHeight="1">
      <c r="A5310" s="1" t="s">
        <v>5347</v>
      </c>
      <c r="B5310" s="1" t="s">
        <v>24</v>
      </c>
      <c r="C5310" s="1">
        <v>0.0</v>
      </c>
      <c r="D5310" s="1" t="s">
        <v>26</v>
      </c>
      <c r="E5310" s="1" t="s">
        <v>26</v>
      </c>
      <c r="F5310" s="1">
        <v>69.0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1">
        <v>82.45</v>
      </c>
      <c r="T5310" s="1">
        <v>5555.3</v>
      </c>
      <c r="U5310" s="1">
        <v>0.0</v>
      </c>
      <c r="V5310" s="1">
        <v>0.0</v>
      </c>
      <c r="W5310" s="1" t="s">
        <v>26</v>
      </c>
    </row>
    <row r="5311" ht="15.75" customHeight="1">
      <c r="A5311" s="1" t="s">
        <v>5348</v>
      </c>
      <c r="B5311" s="1" t="s">
        <v>24</v>
      </c>
      <c r="C5311" s="1">
        <v>0.0</v>
      </c>
      <c r="D5311" s="1" t="s">
        <v>25</v>
      </c>
      <c r="E5311" s="1" t="s">
        <v>26</v>
      </c>
      <c r="F5311" s="1">
        <v>61.0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1">
        <v>20.25</v>
      </c>
      <c r="T5311" s="1">
        <v>1278.8</v>
      </c>
      <c r="U5311" s="1">
        <v>0.0</v>
      </c>
      <c r="V5311" s="1">
        <v>0.0</v>
      </c>
      <c r="W5311" s="1" t="s">
        <v>26</v>
      </c>
    </row>
    <row r="5312" ht="15.75" customHeight="1">
      <c r="A5312" s="1" t="s">
        <v>5349</v>
      </c>
      <c r="B5312" s="1" t="s">
        <v>32</v>
      </c>
      <c r="C5312" s="1">
        <v>0.0</v>
      </c>
      <c r="D5312" s="1" t="s">
        <v>25</v>
      </c>
      <c r="E5312" s="1" t="s">
        <v>26</v>
      </c>
      <c r="F5312" s="1">
        <v>43.0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1">
        <v>66.25</v>
      </c>
      <c r="T5312" s="1">
        <v>2907.35</v>
      </c>
      <c r="U5312" s="1">
        <v>0.0</v>
      </c>
      <c r="V5312" s="1">
        <v>0.0</v>
      </c>
      <c r="W5312" s="1" t="s">
        <v>26</v>
      </c>
    </row>
    <row r="5313" ht="15.75" customHeight="1">
      <c r="A5313" s="1" t="s">
        <v>5350</v>
      </c>
      <c r="B5313" s="1" t="s">
        <v>24</v>
      </c>
      <c r="C5313" s="1">
        <v>0.0</v>
      </c>
      <c r="D5313" s="1" t="s">
        <v>25</v>
      </c>
      <c r="E5313" s="1" t="s">
        <v>26</v>
      </c>
      <c r="F5313" s="1">
        <v>6.0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1">
        <v>19.5</v>
      </c>
      <c r="T5313" s="1">
        <v>146.3</v>
      </c>
      <c r="U5313" s="1">
        <v>0.0</v>
      </c>
      <c r="V5313" s="1">
        <v>0.0</v>
      </c>
      <c r="W5313" s="1" t="s">
        <v>25</v>
      </c>
    </row>
    <row r="5314" ht="15.75" customHeight="1">
      <c r="A5314" s="1" t="s">
        <v>5351</v>
      </c>
      <c r="B5314" s="1" t="s">
        <v>32</v>
      </c>
      <c r="C5314" s="1">
        <v>0.0</v>
      </c>
      <c r="D5314" s="1" t="s">
        <v>26</v>
      </c>
      <c r="E5314" s="1" t="s">
        <v>26</v>
      </c>
      <c r="F5314" s="1">
        <v>1.0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1">
        <v>51.25</v>
      </c>
      <c r="T5314" s="1">
        <v>51.25</v>
      </c>
      <c r="U5314" s="1">
        <v>0.0</v>
      </c>
      <c r="V5314" s="1">
        <v>0.0</v>
      </c>
      <c r="W5314" s="1" t="s">
        <v>25</v>
      </c>
    </row>
    <row r="5315" ht="15.75" customHeight="1">
      <c r="A5315" s="1" t="s">
        <v>5352</v>
      </c>
      <c r="B5315" s="1" t="s">
        <v>32</v>
      </c>
      <c r="C5315" s="1">
        <v>0.0</v>
      </c>
      <c r="D5315" s="1" t="s">
        <v>25</v>
      </c>
      <c r="E5315" s="1" t="s">
        <v>26</v>
      </c>
      <c r="F5315" s="1">
        <v>56.0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1">
        <v>89.7</v>
      </c>
      <c r="T5315" s="1">
        <v>4952.95</v>
      </c>
      <c r="U5315" s="1">
        <v>2.0</v>
      </c>
      <c r="V5315" s="1">
        <v>3.0</v>
      </c>
      <c r="W5315" s="1" t="s">
        <v>26</v>
      </c>
    </row>
    <row r="5316" ht="15.75" customHeight="1">
      <c r="A5316" s="1" t="s">
        <v>5353</v>
      </c>
      <c r="B5316" s="1" t="s">
        <v>24</v>
      </c>
      <c r="C5316" s="1">
        <v>0.0</v>
      </c>
      <c r="D5316" s="1" t="s">
        <v>25</v>
      </c>
      <c r="E5316" s="1" t="s">
        <v>26</v>
      </c>
      <c r="F5316" s="1">
        <v>70.0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1">
        <v>64.55</v>
      </c>
      <c r="T5316" s="1">
        <v>4504.9</v>
      </c>
      <c r="U5316" s="1">
        <v>0.0</v>
      </c>
      <c r="V5316" s="1">
        <v>0.0</v>
      </c>
      <c r="W5316" s="1" t="s">
        <v>26</v>
      </c>
    </row>
    <row r="5317" ht="15.75" customHeight="1">
      <c r="A5317" s="1" t="s">
        <v>5354</v>
      </c>
      <c r="B5317" s="1" t="s">
        <v>32</v>
      </c>
      <c r="C5317" s="1">
        <v>0.0</v>
      </c>
      <c r="D5317" s="1" t="s">
        <v>26</v>
      </c>
      <c r="E5317" s="1" t="s">
        <v>26</v>
      </c>
      <c r="F5317" s="1">
        <v>1.0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1">
        <v>45.6</v>
      </c>
      <c r="T5317" s="1">
        <v>45.6</v>
      </c>
      <c r="U5317" s="1">
        <v>0.0</v>
      </c>
      <c r="V5317" s="1">
        <v>0.0</v>
      </c>
      <c r="W5317" s="1" t="s">
        <v>25</v>
      </c>
    </row>
    <row r="5318" ht="15.75" customHeight="1">
      <c r="A5318" s="1" t="s">
        <v>5355</v>
      </c>
      <c r="B5318" s="1" t="s">
        <v>32</v>
      </c>
      <c r="C5318" s="1">
        <v>0.0</v>
      </c>
      <c r="D5318" s="1" t="s">
        <v>25</v>
      </c>
      <c r="E5318" s="1" t="s">
        <v>25</v>
      </c>
      <c r="F5318" s="1">
        <v>49.0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1">
        <v>93.65</v>
      </c>
      <c r="T5318" s="1">
        <v>4520.15</v>
      </c>
      <c r="U5318" s="1">
        <v>0.0</v>
      </c>
      <c r="V5318" s="1">
        <v>0.0</v>
      </c>
      <c r="W5318" s="1" t="s">
        <v>26</v>
      </c>
    </row>
    <row r="5319" ht="15.75" customHeight="1">
      <c r="A5319" s="1" t="s">
        <v>5356</v>
      </c>
      <c r="B5319" s="1" t="s">
        <v>24</v>
      </c>
      <c r="C5319" s="1">
        <v>0.0</v>
      </c>
      <c r="D5319" s="1" t="s">
        <v>26</v>
      </c>
      <c r="E5319" s="1" t="s">
        <v>26</v>
      </c>
      <c r="F5319" s="1">
        <v>6.0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1">
        <v>49.65</v>
      </c>
      <c r="T5319" s="1">
        <v>267.35</v>
      </c>
      <c r="U5319" s="1">
        <v>0.0</v>
      </c>
      <c r="V5319" s="1">
        <v>0.0</v>
      </c>
      <c r="W5319" s="1" t="s">
        <v>25</v>
      </c>
    </row>
    <row r="5320" ht="15.75" customHeight="1">
      <c r="A5320" s="1" t="s">
        <v>5357</v>
      </c>
      <c r="B5320" s="1" t="s">
        <v>24</v>
      </c>
      <c r="C5320" s="1">
        <v>0.0</v>
      </c>
      <c r="D5320" s="1" t="s">
        <v>25</v>
      </c>
      <c r="E5320" s="1" t="s">
        <v>25</v>
      </c>
      <c r="F5320" s="1">
        <v>32.0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1">
        <v>73.6</v>
      </c>
      <c r="T5320" s="1">
        <v>2316.85</v>
      </c>
      <c r="U5320" s="1">
        <v>2.0</v>
      </c>
      <c r="V5320" s="1">
        <v>0.0</v>
      </c>
      <c r="W5320" s="1" t="s">
        <v>26</v>
      </c>
    </row>
    <row r="5321" ht="15.75" customHeight="1">
      <c r="A5321" s="1" t="s">
        <v>5358</v>
      </c>
      <c r="B5321" s="1" t="s">
        <v>24</v>
      </c>
      <c r="C5321" s="1">
        <v>1.0</v>
      </c>
      <c r="D5321" s="1" t="s">
        <v>25</v>
      </c>
      <c r="E5321" s="1" t="s">
        <v>26</v>
      </c>
      <c r="F5321" s="1">
        <v>72.0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1">
        <v>109.75</v>
      </c>
      <c r="T5321" s="1">
        <v>8075.35</v>
      </c>
      <c r="U5321" s="1">
        <v>0.0</v>
      </c>
      <c r="V5321" s="1">
        <v>0.0</v>
      </c>
      <c r="W5321" s="1" t="s">
        <v>26</v>
      </c>
    </row>
    <row r="5322" ht="15.75" customHeight="1">
      <c r="A5322" s="1" t="s">
        <v>5359</v>
      </c>
      <c r="B5322" s="1" t="s">
        <v>32</v>
      </c>
      <c r="C5322" s="1">
        <v>0.0</v>
      </c>
      <c r="D5322" s="1" t="s">
        <v>26</v>
      </c>
      <c r="E5322" s="1" t="s">
        <v>25</v>
      </c>
      <c r="F5322" s="1">
        <v>37.0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1">
        <v>61.45</v>
      </c>
      <c r="T5322" s="1">
        <v>2302.35</v>
      </c>
      <c r="U5322" s="1">
        <v>0.0</v>
      </c>
      <c r="V5322" s="1">
        <v>0.0</v>
      </c>
      <c r="W5322" s="1" t="s">
        <v>26</v>
      </c>
    </row>
    <row r="5323" ht="15.75" customHeight="1">
      <c r="A5323" s="1" t="s">
        <v>5360</v>
      </c>
      <c r="B5323" s="1" t="s">
        <v>24</v>
      </c>
      <c r="C5323" s="1">
        <v>0.0</v>
      </c>
      <c r="D5323" s="1" t="s">
        <v>25</v>
      </c>
      <c r="E5323" s="1" t="s">
        <v>26</v>
      </c>
      <c r="F5323" s="1">
        <v>69.0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1">
        <v>106.4</v>
      </c>
      <c r="T5323" s="1">
        <v>7251.9</v>
      </c>
      <c r="U5323" s="1">
        <v>0.0</v>
      </c>
      <c r="V5323" s="1">
        <v>0.0</v>
      </c>
      <c r="W5323" s="1" t="s">
        <v>26</v>
      </c>
    </row>
    <row r="5324" ht="15.75" customHeight="1">
      <c r="A5324" s="1" t="s">
        <v>5361</v>
      </c>
      <c r="B5324" s="1" t="s">
        <v>24</v>
      </c>
      <c r="C5324" s="1">
        <v>0.0</v>
      </c>
      <c r="D5324" s="1" t="s">
        <v>25</v>
      </c>
      <c r="E5324" s="1" t="s">
        <v>26</v>
      </c>
      <c r="F5324" s="1">
        <v>26.0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1">
        <v>81.9</v>
      </c>
      <c r="T5324" s="1">
        <v>2078.55</v>
      </c>
      <c r="U5324" s="1">
        <v>3.0</v>
      </c>
      <c r="V5324" s="1">
        <v>0.0</v>
      </c>
      <c r="W5324" s="1" t="s">
        <v>26</v>
      </c>
    </row>
    <row r="5325" ht="15.75" customHeight="1">
      <c r="A5325" s="1" t="s">
        <v>5362</v>
      </c>
      <c r="B5325" s="1" t="s">
        <v>24</v>
      </c>
      <c r="C5325" s="1">
        <v>0.0</v>
      </c>
      <c r="D5325" s="1" t="s">
        <v>25</v>
      </c>
      <c r="E5325" s="1" t="s">
        <v>25</v>
      </c>
      <c r="F5325" s="1">
        <v>58.0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1">
        <v>105.2</v>
      </c>
      <c r="T5325" s="1">
        <v>6225.4</v>
      </c>
      <c r="U5325" s="1">
        <v>0.0</v>
      </c>
      <c r="V5325" s="1">
        <v>0.0</v>
      </c>
      <c r="W5325" s="1" t="s">
        <v>26</v>
      </c>
    </row>
    <row r="5326" ht="15.75" customHeight="1">
      <c r="A5326" s="1" t="s">
        <v>5363</v>
      </c>
      <c r="B5326" s="1" t="s">
        <v>32</v>
      </c>
      <c r="C5326" s="1">
        <v>0.0</v>
      </c>
      <c r="D5326" s="1" t="s">
        <v>26</v>
      </c>
      <c r="E5326" s="1" t="s">
        <v>26</v>
      </c>
      <c r="F5326" s="1">
        <v>24.0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1">
        <v>54.6</v>
      </c>
      <c r="T5326" s="1">
        <v>1242.25</v>
      </c>
      <c r="U5326" s="1">
        <v>0.0</v>
      </c>
      <c r="V5326" s="1">
        <v>0.0</v>
      </c>
      <c r="W5326" s="1" t="s">
        <v>26</v>
      </c>
    </row>
    <row r="5327" ht="15.75" customHeight="1">
      <c r="A5327" s="1" t="s">
        <v>5364</v>
      </c>
      <c r="B5327" s="1" t="s">
        <v>32</v>
      </c>
      <c r="C5327" s="1">
        <v>0.0</v>
      </c>
      <c r="D5327" s="1" t="s">
        <v>25</v>
      </c>
      <c r="E5327" s="1" t="s">
        <v>25</v>
      </c>
      <c r="F5327" s="1">
        <v>5.0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1">
        <v>20.55</v>
      </c>
      <c r="T5327" s="1">
        <v>99.45</v>
      </c>
      <c r="U5327" s="1">
        <v>0.0</v>
      </c>
      <c r="V5327" s="1">
        <v>0.0</v>
      </c>
      <c r="W5327" s="1" t="s">
        <v>26</v>
      </c>
    </row>
    <row r="5328" ht="15.75" customHeight="1">
      <c r="A5328" s="1" t="s">
        <v>5365</v>
      </c>
      <c r="B5328" s="1" t="s">
        <v>32</v>
      </c>
      <c r="C5328" s="1">
        <v>0.0</v>
      </c>
      <c r="D5328" s="1" t="s">
        <v>25</v>
      </c>
      <c r="E5328" s="1" t="s">
        <v>25</v>
      </c>
      <c r="F5328" s="1">
        <v>15.0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1">
        <v>20.0</v>
      </c>
      <c r="T5328" s="1">
        <v>288.05</v>
      </c>
      <c r="U5328" s="1">
        <v>0.0</v>
      </c>
      <c r="V5328" s="1">
        <v>0.0</v>
      </c>
      <c r="W5328" s="1" t="s">
        <v>25</v>
      </c>
    </row>
    <row r="5329" ht="15.75" customHeight="1">
      <c r="A5329" s="1" t="s">
        <v>5366</v>
      </c>
      <c r="B5329" s="1" t="s">
        <v>24</v>
      </c>
      <c r="C5329" s="1">
        <v>0.0</v>
      </c>
      <c r="D5329" s="1" t="s">
        <v>25</v>
      </c>
      <c r="E5329" s="1" t="s">
        <v>25</v>
      </c>
      <c r="F5329" s="1">
        <v>30.0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1">
        <v>19.7</v>
      </c>
      <c r="T5329" s="1">
        <v>599.25</v>
      </c>
      <c r="U5329" s="1">
        <v>0.0</v>
      </c>
      <c r="V5329" s="1">
        <v>0.0</v>
      </c>
      <c r="W5329" s="1" t="s">
        <v>26</v>
      </c>
    </row>
    <row r="5330" ht="15.75" customHeight="1">
      <c r="A5330" s="1" t="s">
        <v>5367</v>
      </c>
      <c r="B5330" s="1" t="s">
        <v>24</v>
      </c>
      <c r="C5330" s="1">
        <v>0.0</v>
      </c>
      <c r="D5330" s="1" t="s">
        <v>25</v>
      </c>
      <c r="E5330" s="1" t="s">
        <v>26</v>
      </c>
      <c r="F5330" s="1">
        <v>55.0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1">
        <v>66.05</v>
      </c>
      <c r="T5330" s="1">
        <v>3462.1</v>
      </c>
      <c r="U5330" s="1">
        <v>1.0</v>
      </c>
      <c r="V5330" s="1">
        <v>0.0</v>
      </c>
      <c r="W5330" s="1" t="s">
        <v>26</v>
      </c>
    </row>
    <row r="5331" ht="15.75" customHeight="1">
      <c r="A5331" s="1" t="s">
        <v>5368</v>
      </c>
      <c r="B5331" s="1" t="s">
        <v>24</v>
      </c>
      <c r="C5331" s="1">
        <v>0.0</v>
      </c>
      <c r="D5331" s="1" t="s">
        <v>25</v>
      </c>
      <c r="E5331" s="1" t="s">
        <v>26</v>
      </c>
      <c r="F5331" s="1">
        <v>25.0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1">
        <v>34.0</v>
      </c>
      <c r="T5331" s="1">
        <v>853.0</v>
      </c>
      <c r="U5331" s="1">
        <v>0.0</v>
      </c>
      <c r="V5331" s="1">
        <v>0.0</v>
      </c>
      <c r="W5331" s="1" t="s">
        <v>25</v>
      </c>
    </row>
    <row r="5332" ht="15.75" customHeight="1">
      <c r="A5332" s="1" t="s">
        <v>5369</v>
      </c>
      <c r="B5332" s="1" t="s">
        <v>32</v>
      </c>
      <c r="C5332" s="1">
        <v>1.0</v>
      </c>
      <c r="D5332" s="1" t="s">
        <v>25</v>
      </c>
      <c r="E5332" s="1" t="s">
        <v>26</v>
      </c>
      <c r="F5332" s="1">
        <v>10.0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1">
        <v>92.5</v>
      </c>
      <c r="T5332" s="1">
        <v>934.1</v>
      </c>
      <c r="U5332" s="1">
        <v>0.0</v>
      </c>
      <c r="V5332" s="1">
        <v>1.0</v>
      </c>
      <c r="W5332" s="1" t="s">
        <v>25</v>
      </c>
    </row>
    <row r="5333" ht="15.75" customHeight="1">
      <c r="A5333" s="1" t="s">
        <v>5370</v>
      </c>
      <c r="B5333" s="1" t="s">
        <v>32</v>
      </c>
      <c r="C5333" s="1">
        <v>0.0</v>
      </c>
      <c r="D5333" s="1" t="s">
        <v>25</v>
      </c>
      <c r="E5333" s="1" t="s">
        <v>25</v>
      </c>
      <c r="F5333" s="1">
        <v>44.0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1">
        <v>54.05</v>
      </c>
      <c r="T5333" s="1">
        <v>2375.2</v>
      </c>
      <c r="U5333" s="1">
        <v>0.0</v>
      </c>
      <c r="V5333" s="1">
        <v>0.0</v>
      </c>
      <c r="W5333" s="1" t="s">
        <v>26</v>
      </c>
    </row>
    <row r="5334" ht="15.75" customHeight="1">
      <c r="A5334" s="1" t="s">
        <v>5371</v>
      </c>
      <c r="B5334" s="1" t="s">
        <v>24</v>
      </c>
      <c r="C5334" s="1">
        <v>0.0</v>
      </c>
      <c r="D5334" s="1" t="s">
        <v>26</v>
      </c>
      <c r="E5334" s="1" t="s">
        <v>26</v>
      </c>
      <c r="F5334" s="1">
        <v>47.0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1">
        <v>58.9</v>
      </c>
      <c r="T5334" s="1">
        <v>2813.05</v>
      </c>
      <c r="U5334" s="1">
        <v>0.0</v>
      </c>
      <c r="V5334" s="1">
        <v>0.0</v>
      </c>
      <c r="W5334" s="1" t="s">
        <v>26</v>
      </c>
    </row>
    <row r="5335" ht="15.75" customHeight="1">
      <c r="A5335" s="1" t="s">
        <v>5372</v>
      </c>
      <c r="B5335" s="1" t="s">
        <v>24</v>
      </c>
      <c r="C5335" s="1">
        <v>0.0</v>
      </c>
      <c r="D5335" s="1" t="s">
        <v>25</v>
      </c>
      <c r="E5335" s="1" t="s">
        <v>25</v>
      </c>
      <c r="F5335" s="1">
        <v>13.0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1">
        <v>88.35</v>
      </c>
      <c r="T5335" s="1">
        <v>1222.8</v>
      </c>
      <c r="U5335" s="1">
        <v>0.0</v>
      </c>
      <c r="V5335" s="1">
        <v>1.0</v>
      </c>
      <c r="W5335" s="1" t="s">
        <v>25</v>
      </c>
    </row>
    <row r="5336" ht="15.75" customHeight="1">
      <c r="A5336" s="1" t="s">
        <v>5373</v>
      </c>
      <c r="B5336" s="1" t="s">
        <v>24</v>
      </c>
      <c r="C5336" s="1">
        <v>0.0</v>
      </c>
      <c r="D5336" s="1" t="s">
        <v>25</v>
      </c>
      <c r="E5336" s="1" t="s">
        <v>25</v>
      </c>
      <c r="F5336" s="1">
        <v>49.0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1">
        <v>107.95</v>
      </c>
      <c r="T5336" s="1">
        <v>5293.2</v>
      </c>
      <c r="U5336" s="1">
        <v>0.0</v>
      </c>
      <c r="V5336" s="1">
        <v>5.0</v>
      </c>
      <c r="W5336" s="1" t="s">
        <v>25</v>
      </c>
    </row>
    <row r="5337" ht="15.75" customHeight="1">
      <c r="A5337" s="1" t="s">
        <v>5374</v>
      </c>
      <c r="B5337" s="1" t="s">
        <v>24</v>
      </c>
      <c r="C5337" s="1">
        <v>0.0</v>
      </c>
      <c r="D5337" s="1" t="s">
        <v>25</v>
      </c>
      <c r="E5337" s="1" t="s">
        <v>26</v>
      </c>
      <c r="F5337" s="1">
        <v>64.0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1">
        <v>96.9</v>
      </c>
      <c r="T5337" s="1">
        <v>6314.35</v>
      </c>
      <c r="U5337" s="1">
        <v>0.0</v>
      </c>
      <c r="V5337" s="1">
        <v>0.0</v>
      </c>
      <c r="W5337" s="1" t="s">
        <v>26</v>
      </c>
    </row>
    <row r="5338" ht="15.75" customHeight="1">
      <c r="A5338" s="1" t="s">
        <v>5375</v>
      </c>
      <c r="B5338" s="1" t="s">
        <v>32</v>
      </c>
      <c r="C5338" s="1">
        <v>0.0</v>
      </c>
      <c r="D5338" s="1" t="s">
        <v>26</v>
      </c>
      <c r="E5338" s="1" t="s">
        <v>26</v>
      </c>
      <c r="F5338" s="1">
        <v>1.0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1">
        <v>19.1</v>
      </c>
      <c r="T5338" s="1">
        <v>19.1</v>
      </c>
      <c r="U5338" s="1">
        <v>0.0</v>
      </c>
      <c r="V5338" s="1">
        <v>0.0</v>
      </c>
      <c r="W5338" s="1" t="s">
        <v>26</v>
      </c>
    </row>
    <row r="5339" ht="15.75" customHeight="1">
      <c r="A5339" s="1" t="s">
        <v>5376</v>
      </c>
      <c r="B5339" s="1" t="s">
        <v>32</v>
      </c>
      <c r="C5339" s="1">
        <v>0.0</v>
      </c>
      <c r="D5339" s="1" t="s">
        <v>26</v>
      </c>
      <c r="E5339" s="1" t="s">
        <v>26</v>
      </c>
      <c r="F5339" s="1">
        <v>20.0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1">
        <v>50.0</v>
      </c>
      <c r="T5339" s="1">
        <v>1003.05</v>
      </c>
      <c r="U5339" s="1">
        <v>0.0</v>
      </c>
      <c r="V5339" s="1">
        <v>0.0</v>
      </c>
      <c r="W5339" s="1" t="s">
        <v>26</v>
      </c>
    </row>
    <row r="5340" ht="15.75" customHeight="1">
      <c r="A5340" s="1" t="s">
        <v>5377</v>
      </c>
      <c r="B5340" s="1" t="s">
        <v>24</v>
      </c>
      <c r="C5340" s="1">
        <v>0.0</v>
      </c>
      <c r="D5340" s="1" t="s">
        <v>25</v>
      </c>
      <c r="E5340" s="1" t="s">
        <v>26</v>
      </c>
      <c r="F5340" s="1">
        <v>37.0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1">
        <v>45.4</v>
      </c>
      <c r="T5340" s="1">
        <v>1593.1</v>
      </c>
      <c r="U5340" s="1">
        <v>0.0</v>
      </c>
      <c r="V5340" s="1">
        <v>0.0</v>
      </c>
      <c r="W5340" s="1" t="s">
        <v>26</v>
      </c>
    </row>
    <row r="5341" ht="15.75" customHeight="1">
      <c r="A5341" s="1" t="s">
        <v>5378</v>
      </c>
      <c r="B5341" s="1" t="s">
        <v>32</v>
      </c>
      <c r="C5341" s="1">
        <v>0.0</v>
      </c>
      <c r="D5341" s="1" t="s">
        <v>25</v>
      </c>
      <c r="E5341" s="1" t="s">
        <v>25</v>
      </c>
      <c r="F5341" s="1">
        <v>30.0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1">
        <v>85.45</v>
      </c>
      <c r="T5341" s="1">
        <v>2509.95</v>
      </c>
      <c r="U5341" s="1">
        <v>0.0</v>
      </c>
      <c r="V5341" s="1">
        <v>0.0</v>
      </c>
      <c r="W5341" s="1" t="s">
        <v>26</v>
      </c>
    </row>
    <row r="5342" ht="15.75" customHeight="1">
      <c r="A5342" s="1" t="s">
        <v>5379</v>
      </c>
      <c r="B5342" s="1" t="s">
        <v>24</v>
      </c>
      <c r="C5342" s="1">
        <v>0.0</v>
      </c>
      <c r="D5342" s="1" t="s">
        <v>26</v>
      </c>
      <c r="E5342" s="1" t="s">
        <v>26</v>
      </c>
      <c r="F5342" s="1">
        <v>38.0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1">
        <v>84.1</v>
      </c>
      <c r="T5342" s="1">
        <v>3187.65</v>
      </c>
      <c r="U5342" s="1">
        <v>0.0</v>
      </c>
      <c r="V5342" s="1">
        <v>0.0</v>
      </c>
      <c r="W5342" s="1" t="s">
        <v>26</v>
      </c>
    </row>
    <row r="5343" ht="15.75" customHeight="1">
      <c r="A5343" s="1" t="s">
        <v>5380</v>
      </c>
      <c r="B5343" s="1" t="s">
        <v>24</v>
      </c>
      <c r="C5343" s="1">
        <v>1.0</v>
      </c>
      <c r="D5343" s="1" t="s">
        <v>26</v>
      </c>
      <c r="E5343" s="1" t="s">
        <v>26</v>
      </c>
      <c r="F5343" s="1">
        <v>1.0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1">
        <v>74.45</v>
      </c>
      <c r="T5343" s="1">
        <v>74.45</v>
      </c>
      <c r="U5343" s="1">
        <v>0.0</v>
      </c>
      <c r="V5343" s="1">
        <v>0.0</v>
      </c>
      <c r="W5343" s="1" t="s">
        <v>25</v>
      </c>
    </row>
    <row r="5344" ht="15.75" customHeight="1">
      <c r="A5344" s="1" t="s">
        <v>5381</v>
      </c>
      <c r="B5344" s="1" t="s">
        <v>24</v>
      </c>
      <c r="C5344" s="1">
        <v>0.0</v>
      </c>
      <c r="D5344" s="1" t="s">
        <v>26</v>
      </c>
      <c r="E5344" s="1" t="s">
        <v>26</v>
      </c>
      <c r="F5344" s="1">
        <v>37.0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1">
        <v>64.75</v>
      </c>
      <c r="T5344" s="1">
        <v>2345.2</v>
      </c>
      <c r="U5344" s="1">
        <v>0.0</v>
      </c>
      <c r="V5344" s="1">
        <v>4.0</v>
      </c>
      <c r="W5344" s="1" t="s">
        <v>25</v>
      </c>
    </row>
    <row r="5345" ht="15.75" customHeight="1">
      <c r="A5345" s="1" t="s">
        <v>5382</v>
      </c>
      <c r="B5345" s="1" t="s">
        <v>24</v>
      </c>
      <c r="C5345" s="1">
        <v>0.0</v>
      </c>
      <c r="D5345" s="1" t="s">
        <v>25</v>
      </c>
      <c r="E5345" s="1" t="s">
        <v>26</v>
      </c>
      <c r="F5345" s="1">
        <v>52.0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1">
        <v>66.25</v>
      </c>
      <c r="T5345" s="1">
        <v>3330.1</v>
      </c>
      <c r="U5345" s="1">
        <v>0.0</v>
      </c>
      <c r="V5345" s="1">
        <v>0.0</v>
      </c>
      <c r="W5345" s="1" t="s">
        <v>26</v>
      </c>
    </row>
    <row r="5346" ht="15.75" customHeight="1">
      <c r="A5346" s="1" t="s">
        <v>5383</v>
      </c>
      <c r="B5346" s="1" t="s">
        <v>32</v>
      </c>
      <c r="C5346" s="1">
        <v>0.0</v>
      </c>
      <c r="D5346" s="1" t="s">
        <v>26</v>
      </c>
      <c r="E5346" s="1" t="s">
        <v>25</v>
      </c>
      <c r="F5346" s="1">
        <v>71.0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1">
        <v>76.9</v>
      </c>
      <c r="T5346" s="1">
        <v>5522.7</v>
      </c>
      <c r="U5346" s="1">
        <v>3.0</v>
      </c>
      <c r="V5346" s="1">
        <v>0.0</v>
      </c>
      <c r="W5346" s="1" t="s">
        <v>26</v>
      </c>
    </row>
    <row r="5347" ht="15.75" customHeight="1">
      <c r="A5347" s="1" t="s">
        <v>5384</v>
      </c>
      <c r="B5347" s="1" t="s">
        <v>32</v>
      </c>
      <c r="C5347" s="1">
        <v>0.0</v>
      </c>
      <c r="D5347" s="1" t="s">
        <v>26</v>
      </c>
      <c r="E5347" s="1" t="s">
        <v>26</v>
      </c>
      <c r="F5347" s="1">
        <v>26.0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1">
        <v>89.8</v>
      </c>
      <c r="T5347" s="1">
        <v>2335.3</v>
      </c>
      <c r="U5347" s="1">
        <v>0.0</v>
      </c>
      <c r="V5347" s="1">
        <v>2.0</v>
      </c>
      <c r="W5347" s="1" t="s">
        <v>25</v>
      </c>
    </row>
    <row r="5348" ht="15.75" customHeight="1">
      <c r="A5348" s="1" t="s">
        <v>5385</v>
      </c>
      <c r="B5348" s="1" t="s">
        <v>32</v>
      </c>
      <c r="C5348" s="1">
        <v>0.0</v>
      </c>
      <c r="D5348" s="1" t="s">
        <v>26</v>
      </c>
      <c r="E5348" s="1" t="s">
        <v>26</v>
      </c>
      <c r="F5348" s="1">
        <v>66.0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1">
        <v>74.6</v>
      </c>
      <c r="T5348" s="1">
        <v>4798.4</v>
      </c>
      <c r="U5348" s="1">
        <v>0.0</v>
      </c>
      <c r="V5348" s="1">
        <v>0.0</v>
      </c>
      <c r="W5348" s="1" t="s">
        <v>26</v>
      </c>
    </row>
    <row r="5349" ht="15.75" customHeight="1">
      <c r="A5349" s="1" t="s">
        <v>5386</v>
      </c>
      <c r="B5349" s="1" t="s">
        <v>32</v>
      </c>
      <c r="C5349" s="1">
        <v>0.0</v>
      </c>
      <c r="D5349" s="1" t="s">
        <v>25</v>
      </c>
      <c r="E5349" s="1" t="s">
        <v>26</v>
      </c>
      <c r="F5349" s="1">
        <v>72.0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1">
        <v>116.95</v>
      </c>
      <c r="T5349" s="1">
        <v>8594.4</v>
      </c>
      <c r="U5349" s="1">
        <v>0.0</v>
      </c>
      <c r="V5349" s="1">
        <v>0.0</v>
      </c>
      <c r="W5349" s="1" t="s">
        <v>26</v>
      </c>
    </row>
    <row r="5350" ht="15.75" customHeight="1">
      <c r="A5350" s="1" t="s">
        <v>5387</v>
      </c>
      <c r="B5350" s="1" t="s">
        <v>32</v>
      </c>
      <c r="C5350" s="1">
        <v>0.0</v>
      </c>
      <c r="D5350" s="1" t="s">
        <v>26</v>
      </c>
      <c r="E5350" s="1" t="s">
        <v>25</v>
      </c>
      <c r="F5350" s="1">
        <v>25.0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1">
        <v>40.65</v>
      </c>
      <c r="T5350" s="1">
        <v>970.55</v>
      </c>
      <c r="U5350" s="1">
        <v>0.0</v>
      </c>
      <c r="V5350" s="1">
        <v>0.0</v>
      </c>
      <c r="W5350" s="1" t="s">
        <v>26</v>
      </c>
    </row>
    <row r="5351" ht="15.75" customHeight="1">
      <c r="A5351" s="1" t="s">
        <v>5388</v>
      </c>
      <c r="B5351" s="1" t="s">
        <v>32</v>
      </c>
      <c r="C5351" s="1">
        <v>0.0</v>
      </c>
      <c r="D5351" s="1" t="s">
        <v>25</v>
      </c>
      <c r="E5351" s="1" t="s">
        <v>25</v>
      </c>
      <c r="F5351" s="1">
        <v>69.0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1">
        <v>114.35</v>
      </c>
      <c r="T5351" s="1">
        <v>7665.8</v>
      </c>
      <c r="U5351" s="1">
        <v>1.0</v>
      </c>
      <c r="V5351" s="1">
        <v>0.0</v>
      </c>
      <c r="W5351" s="1" t="s">
        <v>26</v>
      </c>
    </row>
    <row r="5352" ht="15.75" customHeight="1">
      <c r="A5352" s="1" t="s">
        <v>5389</v>
      </c>
      <c r="B5352" s="1" t="s">
        <v>32</v>
      </c>
      <c r="C5352" s="1">
        <v>0.0</v>
      </c>
      <c r="D5352" s="1" t="s">
        <v>25</v>
      </c>
      <c r="E5352" s="1" t="s">
        <v>25</v>
      </c>
      <c r="F5352" s="1">
        <v>53.0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1">
        <v>69.7</v>
      </c>
      <c r="T5352" s="1">
        <v>3686.05</v>
      </c>
      <c r="U5352" s="1">
        <v>0.0</v>
      </c>
      <c r="V5352" s="1">
        <v>0.0</v>
      </c>
      <c r="W5352" s="1" t="s">
        <v>26</v>
      </c>
    </row>
    <row r="5353" ht="15.75" customHeight="1">
      <c r="A5353" s="1" t="s">
        <v>5390</v>
      </c>
      <c r="B5353" s="1" t="s">
        <v>24</v>
      </c>
      <c r="C5353" s="1">
        <v>0.0</v>
      </c>
      <c r="D5353" s="1" t="s">
        <v>26</v>
      </c>
      <c r="E5353" s="1" t="s">
        <v>26</v>
      </c>
      <c r="F5353" s="1">
        <v>12.0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1">
        <v>95.5</v>
      </c>
      <c r="T5353" s="1">
        <v>1115.15</v>
      </c>
      <c r="U5353" s="1">
        <v>0.0</v>
      </c>
      <c r="V5353" s="1">
        <v>1.0</v>
      </c>
      <c r="W5353" s="1" t="s">
        <v>25</v>
      </c>
    </row>
    <row r="5354" ht="15.75" customHeight="1">
      <c r="A5354" s="1" t="s">
        <v>5391</v>
      </c>
      <c r="B5354" s="1" t="s">
        <v>32</v>
      </c>
      <c r="C5354" s="1">
        <v>0.0</v>
      </c>
      <c r="D5354" s="1" t="s">
        <v>26</v>
      </c>
      <c r="E5354" s="1" t="s">
        <v>26</v>
      </c>
      <c r="F5354" s="1">
        <v>26.0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1">
        <v>98.65</v>
      </c>
      <c r="T5354" s="1">
        <v>2537.0</v>
      </c>
      <c r="U5354" s="1">
        <v>0.0</v>
      </c>
      <c r="V5354" s="1">
        <v>0.0</v>
      </c>
      <c r="W5354" s="1" t="s">
        <v>26</v>
      </c>
    </row>
    <row r="5355" ht="15.75" customHeight="1">
      <c r="A5355" s="1" t="s">
        <v>5392</v>
      </c>
      <c r="B5355" s="1" t="s">
        <v>32</v>
      </c>
      <c r="C5355" s="1">
        <v>0.0</v>
      </c>
      <c r="D5355" s="1" t="s">
        <v>26</v>
      </c>
      <c r="E5355" s="1" t="s">
        <v>26</v>
      </c>
      <c r="F5355" s="1">
        <v>21.0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1">
        <v>61.65</v>
      </c>
      <c r="T5355" s="1">
        <v>1393.6</v>
      </c>
      <c r="U5355" s="1">
        <v>0.0</v>
      </c>
      <c r="V5355" s="1">
        <v>0.0</v>
      </c>
      <c r="W5355" s="1" t="s">
        <v>26</v>
      </c>
    </row>
    <row r="5356" ht="15.75" customHeight="1">
      <c r="A5356" s="1" t="s">
        <v>5393</v>
      </c>
      <c r="B5356" s="1" t="s">
        <v>24</v>
      </c>
      <c r="C5356" s="1">
        <v>0.0</v>
      </c>
      <c r="D5356" s="1" t="s">
        <v>26</v>
      </c>
      <c r="E5356" s="1" t="s">
        <v>25</v>
      </c>
      <c r="F5356" s="1">
        <v>1.0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1">
        <v>89.35</v>
      </c>
      <c r="T5356" s="1">
        <v>89.35</v>
      </c>
      <c r="U5356" s="1">
        <v>0.0</v>
      </c>
      <c r="V5356" s="1">
        <v>0.0</v>
      </c>
      <c r="W5356" s="1" t="s">
        <v>26</v>
      </c>
    </row>
    <row r="5357" ht="15.75" customHeight="1">
      <c r="A5357" s="1" t="s">
        <v>5394</v>
      </c>
      <c r="B5357" s="1" t="s">
        <v>32</v>
      </c>
      <c r="C5357" s="1">
        <v>0.0</v>
      </c>
      <c r="D5357" s="1" t="s">
        <v>26</v>
      </c>
      <c r="E5357" s="1" t="s">
        <v>26</v>
      </c>
      <c r="F5357" s="1">
        <v>48.0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1">
        <v>95.4</v>
      </c>
      <c r="T5357" s="1">
        <v>4445.3</v>
      </c>
      <c r="U5357" s="1">
        <v>0.0</v>
      </c>
      <c r="V5357" s="1">
        <v>0.0</v>
      </c>
      <c r="W5357" s="1" t="s">
        <v>26</v>
      </c>
    </row>
    <row r="5358" ht="15.75" customHeight="1">
      <c r="A5358" s="1" t="s">
        <v>5395</v>
      </c>
      <c r="B5358" s="1" t="s">
        <v>24</v>
      </c>
      <c r="C5358" s="1">
        <v>0.0</v>
      </c>
      <c r="D5358" s="1" t="s">
        <v>25</v>
      </c>
      <c r="E5358" s="1" t="s">
        <v>26</v>
      </c>
      <c r="F5358" s="1">
        <v>26.0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1">
        <v>35.4</v>
      </c>
      <c r="T5358" s="1">
        <v>978.6</v>
      </c>
      <c r="U5358" s="1">
        <v>1.0</v>
      </c>
      <c r="V5358" s="1">
        <v>0.0</v>
      </c>
      <c r="W5358" s="1" t="s">
        <v>26</v>
      </c>
    </row>
    <row r="5359" ht="15.75" customHeight="1">
      <c r="A5359" s="1" t="s">
        <v>5396</v>
      </c>
      <c r="B5359" s="1" t="s">
        <v>32</v>
      </c>
      <c r="C5359" s="1">
        <v>0.0</v>
      </c>
      <c r="D5359" s="1" t="s">
        <v>25</v>
      </c>
      <c r="E5359" s="1" t="s">
        <v>26</v>
      </c>
      <c r="F5359" s="1">
        <v>60.0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1">
        <v>19.95</v>
      </c>
      <c r="T5359" s="1">
        <v>1258.15</v>
      </c>
      <c r="U5359" s="1">
        <v>0.0</v>
      </c>
      <c r="V5359" s="1">
        <v>0.0</v>
      </c>
      <c r="W5359" s="1" t="s">
        <v>26</v>
      </c>
    </row>
    <row r="5360" ht="15.75" customHeight="1">
      <c r="A5360" s="1" t="s">
        <v>5397</v>
      </c>
      <c r="B5360" s="1" t="s">
        <v>32</v>
      </c>
      <c r="C5360" s="1">
        <v>0.0</v>
      </c>
      <c r="D5360" s="1" t="s">
        <v>26</v>
      </c>
      <c r="E5360" s="1" t="s">
        <v>26</v>
      </c>
      <c r="F5360" s="1">
        <v>18.0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1">
        <v>19.25</v>
      </c>
      <c r="T5360" s="1">
        <v>331.35</v>
      </c>
      <c r="U5360" s="1">
        <v>0.0</v>
      </c>
      <c r="V5360" s="1">
        <v>0.0</v>
      </c>
      <c r="W5360" s="1" t="s">
        <v>26</v>
      </c>
    </row>
    <row r="5361" ht="15.75" customHeight="1">
      <c r="A5361" s="1" t="s">
        <v>5398</v>
      </c>
      <c r="B5361" s="1" t="s">
        <v>24</v>
      </c>
      <c r="C5361" s="1">
        <v>1.0</v>
      </c>
      <c r="D5361" s="1" t="s">
        <v>26</v>
      </c>
      <c r="E5361" s="1" t="s">
        <v>26</v>
      </c>
      <c r="F5361" s="1">
        <v>10.0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1">
        <v>29.65</v>
      </c>
      <c r="T5361" s="1">
        <v>291.4</v>
      </c>
      <c r="U5361" s="1">
        <v>0.0</v>
      </c>
      <c r="V5361" s="1">
        <v>0.0</v>
      </c>
      <c r="W5361" s="1" t="s">
        <v>25</v>
      </c>
    </row>
    <row r="5362" ht="15.75" customHeight="1">
      <c r="A5362" s="1" t="s">
        <v>5399</v>
      </c>
      <c r="B5362" s="1" t="s">
        <v>32</v>
      </c>
      <c r="C5362" s="1">
        <v>0.0</v>
      </c>
      <c r="D5362" s="1" t="s">
        <v>25</v>
      </c>
      <c r="E5362" s="1" t="s">
        <v>25</v>
      </c>
      <c r="F5362" s="1">
        <v>5.0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1">
        <v>84.5</v>
      </c>
      <c r="T5362" s="1">
        <v>453.75</v>
      </c>
      <c r="U5362" s="1">
        <v>2.0</v>
      </c>
      <c r="V5362" s="1">
        <v>1.0</v>
      </c>
      <c r="W5362" s="1" t="s">
        <v>25</v>
      </c>
    </row>
    <row r="5363" ht="15.75" customHeight="1">
      <c r="A5363" s="1" t="s">
        <v>5400</v>
      </c>
      <c r="B5363" s="1" t="s">
        <v>24</v>
      </c>
      <c r="C5363" s="1">
        <v>0.0</v>
      </c>
      <c r="D5363" s="1" t="s">
        <v>26</v>
      </c>
      <c r="E5363" s="1" t="s">
        <v>25</v>
      </c>
      <c r="F5363" s="1">
        <v>4.0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1">
        <v>20.4</v>
      </c>
      <c r="T5363" s="1">
        <v>84.75</v>
      </c>
      <c r="U5363" s="1">
        <v>1.0</v>
      </c>
      <c r="V5363" s="1">
        <v>0.0</v>
      </c>
      <c r="W5363" s="1" t="s">
        <v>26</v>
      </c>
    </row>
    <row r="5364" ht="15.75" customHeight="1">
      <c r="A5364" s="1" t="s">
        <v>5401</v>
      </c>
      <c r="B5364" s="1" t="s">
        <v>32</v>
      </c>
      <c r="C5364" s="1">
        <v>0.0</v>
      </c>
      <c r="D5364" s="1" t="s">
        <v>25</v>
      </c>
      <c r="E5364" s="1" t="s">
        <v>25</v>
      </c>
      <c r="F5364" s="1">
        <v>65.0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1">
        <v>24.75</v>
      </c>
      <c r="T5364" s="1">
        <v>1715.1</v>
      </c>
      <c r="U5364" s="1">
        <v>0.0</v>
      </c>
      <c r="V5364" s="1">
        <v>0.0</v>
      </c>
      <c r="W5364" s="1" t="s">
        <v>26</v>
      </c>
    </row>
    <row r="5365" ht="15.75" customHeight="1">
      <c r="A5365" s="1" t="s">
        <v>5402</v>
      </c>
      <c r="B5365" s="1" t="s">
        <v>32</v>
      </c>
      <c r="C5365" s="1">
        <v>0.0</v>
      </c>
      <c r="D5365" s="1" t="s">
        <v>25</v>
      </c>
      <c r="E5365" s="1" t="s">
        <v>25</v>
      </c>
      <c r="F5365" s="1">
        <v>70.0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1">
        <v>25.35</v>
      </c>
      <c r="T5365" s="1">
        <v>1715.15</v>
      </c>
      <c r="U5365" s="1">
        <v>5.0</v>
      </c>
      <c r="V5365" s="1">
        <v>0.0</v>
      </c>
      <c r="W5365" s="1" t="s">
        <v>26</v>
      </c>
    </row>
    <row r="5366" ht="15.75" customHeight="1">
      <c r="A5366" s="1" t="s">
        <v>5403</v>
      </c>
      <c r="B5366" s="1" t="s">
        <v>32</v>
      </c>
      <c r="C5366" s="1">
        <v>0.0</v>
      </c>
      <c r="D5366" s="1" t="s">
        <v>26</v>
      </c>
      <c r="E5366" s="1" t="s">
        <v>26</v>
      </c>
      <c r="F5366" s="1">
        <v>18.0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1">
        <v>90.7</v>
      </c>
      <c r="T5366" s="1">
        <v>1597.25</v>
      </c>
      <c r="U5366" s="1">
        <v>0.0</v>
      </c>
      <c r="V5366" s="1">
        <v>1.0</v>
      </c>
      <c r="W5366" s="1" t="s">
        <v>25</v>
      </c>
    </row>
    <row r="5367" ht="15.75" customHeight="1">
      <c r="A5367" s="1" t="s">
        <v>5404</v>
      </c>
      <c r="B5367" s="1" t="s">
        <v>32</v>
      </c>
      <c r="C5367" s="1">
        <v>0.0</v>
      </c>
      <c r="D5367" s="1" t="s">
        <v>26</v>
      </c>
      <c r="E5367" s="1" t="s">
        <v>25</v>
      </c>
      <c r="F5367" s="1">
        <v>62.0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1">
        <v>20.0</v>
      </c>
      <c r="T5367" s="1">
        <v>1250.1</v>
      </c>
      <c r="U5367" s="1">
        <v>4.0</v>
      </c>
      <c r="V5367" s="1">
        <v>0.0</v>
      </c>
      <c r="W5367" s="1" t="s">
        <v>26</v>
      </c>
    </row>
    <row r="5368" ht="15.75" customHeight="1">
      <c r="A5368" s="1" t="s">
        <v>5405</v>
      </c>
      <c r="B5368" s="1" t="s">
        <v>24</v>
      </c>
      <c r="C5368" s="1">
        <v>0.0</v>
      </c>
      <c r="D5368" s="1" t="s">
        <v>25</v>
      </c>
      <c r="E5368" s="1" t="s">
        <v>25</v>
      </c>
      <c r="F5368" s="1">
        <v>66.0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1">
        <v>59.75</v>
      </c>
      <c r="T5368" s="1">
        <v>3996.8</v>
      </c>
      <c r="U5368" s="1">
        <v>0.0</v>
      </c>
      <c r="V5368" s="1">
        <v>0.0</v>
      </c>
      <c r="W5368" s="1" t="s">
        <v>26</v>
      </c>
    </row>
    <row r="5369" ht="15.75" customHeight="1">
      <c r="A5369" s="1" t="s">
        <v>5406</v>
      </c>
      <c r="B5369" s="1" t="s">
        <v>24</v>
      </c>
      <c r="C5369" s="1">
        <v>0.0</v>
      </c>
      <c r="D5369" s="1" t="s">
        <v>25</v>
      </c>
      <c r="E5369" s="1" t="s">
        <v>25</v>
      </c>
      <c r="F5369" s="1">
        <v>65.0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1">
        <v>82.5</v>
      </c>
      <c r="T5369" s="1">
        <v>5215.1</v>
      </c>
      <c r="U5369" s="1">
        <v>1.0</v>
      </c>
      <c r="V5369" s="1">
        <v>0.0</v>
      </c>
      <c r="W5369" s="1" t="s">
        <v>26</v>
      </c>
    </row>
    <row r="5370" ht="15.75" customHeight="1">
      <c r="A5370" s="1" t="s">
        <v>5407</v>
      </c>
      <c r="B5370" s="1" t="s">
        <v>24</v>
      </c>
      <c r="C5370" s="1">
        <v>1.0</v>
      </c>
      <c r="D5370" s="1" t="s">
        <v>26</v>
      </c>
      <c r="E5370" s="1" t="s">
        <v>26</v>
      </c>
      <c r="F5370" s="1">
        <v>3.0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1">
        <v>70.3</v>
      </c>
      <c r="T5370" s="1">
        <v>235.5</v>
      </c>
      <c r="U5370" s="1">
        <v>0.0</v>
      </c>
      <c r="V5370" s="1">
        <v>0.0</v>
      </c>
      <c r="W5370" s="1" t="s">
        <v>25</v>
      </c>
    </row>
    <row r="5371" ht="15.75" customHeight="1">
      <c r="A5371" s="1" t="s">
        <v>5408</v>
      </c>
      <c r="B5371" s="1" t="s">
        <v>24</v>
      </c>
      <c r="C5371" s="1">
        <v>0.0</v>
      </c>
      <c r="D5371" s="1" t="s">
        <v>26</v>
      </c>
      <c r="E5371" s="1" t="s">
        <v>26</v>
      </c>
      <c r="F5371" s="1">
        <v>34.0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1">
        <v>20.35</v>
      </c>
      <c r="T5371" s="1">
        <v>673.2</v>
      </c>
      <c r="U5371" s="1">
        <v>4.0</v>
      </c>
      <c r="V5371" s="1">
        <v>0.0</v>
      </c>
      <c r="W5371" s="1" t="s">
        <v>26</v>
      </c>
    </row>
    <row r="5372" ht="15.75" customHeight="1">
      <c r="A5372" s="1" t="s">
        <v>5409</v>
      </c>
      <c r="B5372" s="1" t="s">
        <v>32</v>
      </c>
      <c r="C5372" s="1">
        <v>0.0</v>
      </c>
      <c r="D5372" s="1" t="s">
        <v>25</v>
      </c>
      <c r="E5372" s="1" t="s">
        <v>25</v>
      </c>
      <c r="F5372" s="1">
        <v>16.0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1">
        <v>90.8</v>
      </c>
      <c r="T5372" s="1">
        <v>1442.2</v>
      </c>
      <c r="U5372" s="1">
        <v>0.0</v>
      </c>
      <c r="V5372" s="1">
        <v>0.0</v>
      </c>
      <c r="W5372" s="1" t="s">
        <v>26</v>
      </c>
    </row>
    <row r="5373" ht="15.75" customHeight="1">
      <c r="A5373" s="1" t="s">
        <v>5410</v>
      </c>
      <c r="B5373" s="1" t="s">
        <v>24</v>
      </c>
      <c r="C5373" s="1">
        <v>0.0</v>
      </c>
      <c r="D5373" s="1" t="s">
        <v>26</v>
      </c>
      <c r="E5373" s="1" t="s">
        <v>26</v>
      </c>
      <c r="F5373" s="1">
        <v>54.0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1">
        <v>103.95</v>
      </c>
      <c r="T5373" s="1">
        <v>5639.05</v>
      </c>
      <c r="U5373" s="1">
        <v>0.0</v>
      </c>
      <c r="V5373" s="1">
        <v>5.0</v>
      </c>
      <c r="W5373" s="1" t="s">
        <v>25</v>
      </c>
    </row>
    <row r="5374" ht="15.75" customHeight="1">
      <c r="A5374" s="1" t="s">
        <v>5411</v>
      </c>
      <c r="B5374" s="1" t="s">
        <v>24</v>
      </c>
      <c r="C5374" s="1">
        <v>1.0</v>
      </c>
      <c r="D5374" s="1" t="s">
        <v>26</v>
      </c>
      <c r="E5374" s="1" t="s">
        <v>26</v>
      </c>
      <c r="F5374" s="1">
        <v>50.0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1">
        <v>104.95</v>
      </c>
      <c r="T5374" s="1">
        <v>5222.35</v>
      </c>
      <c r="U5374" s="1">
        <v>0.0</v>
      </c>
      <c r="V5374" s="1">
        <v>0.0</v>
      </c>
      <c r="W5374" s="1" t="s">
        <v>26</v>
      </c>
    </row>
    <row r="5375" ht="15.75" customHeight="1">
      <c r="A5375" s="1" t="s">
        <v>5412</v>
      </c>
      <c r="B5375" s="1" t="s">
        <v>32</v>
      </c>
      <c r="C5375" s="1">
        <v>0.0</v>
      </c>
      <c r="D5375" s="1" t="s">
        <v>25</v>
      </c>
      <c r="E5375" s="1" t="s">
        <v>26</v>
      </c>
      <c r="F5375" s="1">
        <v>71.0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1">
        <v>105.25</v>
      </c>
      <c r="T5375" s="1">
        <v>7291.75</v>
      </c>
      <c r="U5375" s="1">
        <v>0.0</v>
      </c>
      <c r="V5375" s="1">
        <v>0.0</v>
      </c>
      <c r="W5375" s="1" t="s">
        <v>26</v>
      </c>
    </row>
    <row r="5376" ht="15.75" customHeight="1">
      <c r="A5376" s="1" t="s">
        <v>5413</v>
      </c>
      <c r="B5376" s="1" t="s">
        <v>24</v>
      </c>
      <c r="C5376" s="1">
        <v>0.0</v>
      </c>
      <c r="D5376" s="1" t="s">
        <v>26</v>
      </c>
      <c r="E5376" s="1" t="s">
        <v>26</v>
      </c>
      <c r="F5376" s="1">
        <v>10.0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1">
        <v>74.75</v>
      </c>
      <c r="T5376" s="1">
        <v>799.65</v>
      </c>
      <c r="U5376" s="1">
        <v>2.0</v>
      </c>
      <c r="V5376" s="1">
        <v>0.0</v>
      </c>
      <c r="W5376" s="1" t="s">
        <v>25</v>
      </c>
    </row>
    <row r="5377" ht="15.75" customHeight="1">
      <c r="A5377" s="1" t="s">
        <v>5414</v>
      </c>
      <c r="B5377" s="1" t="s">
        <v>24</v>
      </c>
      <c r="C5377" s="1">
        <v>0.0</v>
      </c>
      <c r="D5377" s="1" t="s">
        <v>26</v>
      </c>
      <c r="E5377" s="1" t="s">
        <v>26</v>
      </c>
      <c r="F5377" s="1">
        <v>1.0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1">
        <v>50.8</v>
      </c>
      <c r="T5377" s="1">
        <v>50.8</v>
      </c>
      <c r="U5377" s="1">
        <v>0.0</v>
      </c>
      <c r="V5377" s="1">
        <v>0.0</v>
      </c>
      <c r="W5377" s="1" t="s">
        <v>25</v>
      </c>
    </row>
    <row r="5378" ht="15.75" customHeight="1">
      <c r="A5378" s="1" t="s">
        <v>5415</v>
      </c>
      <c r="B5378" s="1" t="s">
        <v>32</v>
      </c>
      <c r="C5378" s="1">
        <v>0.0</v>
      </c>
      <c r="D5378" s="1" t="s">
        <v>26</v>
      </c>
      <c r="E5378" s="1" t="s">
        <v>26</v>
      </c>
      <c r="F5378" s="1">
        <v>18.0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1">
        <v>23.75</v>
      </c>
      <c r="T5378" s="1">
        <v>424.5</v>
      </c>
      <c r="U5378" s="1">
        <v>0.0</v>
      </c>
      <c r="V5378" s="1">
        <v>1.0</v>
      </c>
      <c r="W5378" s="1" t="s">
        <v>26</v>
      </c>
    </row>
    <row r="5379" ht="15.75" customHeight="1">
      <c r="A5379" s="1" t="s">
        <v>5416</v>
      </c>
      <c r="B5379" s="1" t="s">
        <v>32</v>
      </c>
      <c r="C5379" s="1">
        <v>0.0</v>
      </c>
      <c r="D5379" s="1" t="s">
        <v>26</v>
      </c>
      <c r="E5379" s="1" t="s">
        <v>26</v>
      </c>
      <c r="F5379" s="1">
        <v>4.0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1">
        <v>61.3</v>
      </c>
      <c r="T5379" s="1">
        <v>249.4</v>
      </c>
      <c r="U5379" s="1">
        <v>4.0</v>
      </c>
      <c r="V5379" s="1">
        <v>0.0</v>
      </c>
      <c r="W5379" s="1" t="s">
        <v>26</v>
      </c>
    </row>
    <row r="5380" ht="15.75" customHeight="1">
      <c r="A5380" s="1" t="s">
        <v>5417</v>
      </c>
      <c r="B5380" s="1" t="s">
        <v>24</v>
      </c>
      <c r="C5380" s="1">
        <v>0.0</v>
      </c>
      <c r="D5380" s="1" t="s">
        <v>25</v>
      </c>
      <c r="E5380" s="1" t="s">
        <v>25</v>
      </c>
      <c r="F5380" s="1">
        <v>58.0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1">
        <v>75.8</v>
      </c>
      <c r="T5380" s="1">
        <v>4415.75</v>
      </c>
      <c r="U5380" s="1">
        <v>0.0</v>
      </c>
      <c r="V5380" s="1">
        <v>0.0</v>
      </c>
      <c r="W5380" s="1" t="s">
        <v>26</v>
      </c>
    </row>
    <row r="5381" ht="15.75" customHeight="1">
      <c r="A5381" s="1" t="s">
        <v>5418</v>
      </c>
      <c r="B5381" s="1" t="s">
        <v>24</v>
      </c>
      <c r="C5381" s="1">
        <v>0.0</v>
      </c>
      <c r="D5381" s="1" t="s">
        <v>25</v>
      </c>
      <c r="E5381" s="1" t="s">
        <v>26</v>
      </c>
      <c r="F5381" s="1">
        <v>56.0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1">
        <v>98.0</v>
      </c>
      <c r="T5381" s="1">
        <v>5270.6</v>
      </c>
      <c r="U5381" s="1">
        <v>1.0</v>
      </c>
      <c r="V5381" s="1">
        <v>0.0</v>
      </c>
      <c r="W5381" s="1" t="s">
        <v>26</v>
      </c>
    </row>
    <row r="5382" ht="15.75" customHeight="1">
      <c r="A5382" s="1" t="s">
        <v>5419</v>
      </c>
      <c r="B5382" s="1" t="s">
        <v>32</v>
      </c>
      <c r="C5382" s="1">
        <v>0.0</v>
      </c>
      <c r="D5382" s="1" t="s">
        <v>26</v>
      </c>
      <c r="E5382" s="1" t="s">
        <v>26</v>
      </c>
      <c r="F5382" s="1">
        <v>2.0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1">
        <v>80.25</v>
      </c>
      <c r="T5382" s="1">
        <v>144.55</v>
      </c>
      <c r="U5382" s="1">
        <v>0.0</v>
      </c>
      <c r="V5382" s="1">
        <v>0.0</v>
      </c>
      <c r="W5382" s="1" t="s">
        <v>25</v>
      </c>
    </row>
    <row r="5383" ht="15.75" customHeight="1">
      <c r="A5383" s="1" t="s">
        <v>5420</v>
      </c>
      <c r="B5383" s="1" t="s">
        <v>32</v>
      </c>
      <c r="C5383" s="1">
        <v>0.0</v>
      </c>
      <c r="D5383" s="1" t="s">
        <v>25</v>
      </c>
      <c r="E5383" s="1" t="s">
        <v>26</v>
      </c>
      <c r="F5383" s="1">
        <v>32.0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1">
        <v>78.9</v>
      </c>
      <c r="T5383" s="1">
        <v>2447.95</v>
      </c>
      <c r="U5383" s="1">
        <v>0.0</v>
      </c>
      <c r="V5383" s="1">
        <v>2.0</v>
      </c>
      <c r="W5383" s="1" t="s">
        <v>25</v>
      </c>
    </row>
    <row r="5384" ht="15.75" customHeight="1">
      <c r="A5384" s="1" t="s">
        <v>5421</v>
      </c>
      <c r="B5384" s="1" t="s">
        <v>32</v>
      </c>
      <c r="C5384" s="1">
        <v>0.0</v>
      </c>
      <c r="D5384" s="1" t="s">
        <v>25</v>
      </c>
      <c r="E5384" s="1" t="s">
        <v>25</v>
      </c>
      <c r="F5384" s="1">
        <v>56.0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1">
        <v>52.0</v>
      </c>
      <c r="T5384" s="1">
        <v>2884.9</v>
      </c>
      <c r="U5384" s="1">
        <v>0.0</v>
      </c>
      <c r="V5384" s="1">
        <v>0.0</v>
      </c>
      <c r="W5384" s="1" t="s">
        <v>26</v>
      </c>
    </row>
    <row r="5385" ht="15.75" customHeight="1">
      <c r="A5385" s="1" t="s">
        <v>5422</v>
      </c>
      <c r="B5385" s="1" t="s">
        <v>32</v>
      </c>
      <c r="C5385" s="1">
        <v>0.0</v>
      </c>
      <c r="D5385" s="1" t="s">
        <v>26</v>
      </c>
      <c r="E5385" s="1" t="s">
        <v>26</v>
      </c>
      <c r="F5385" s="1">
        <v>36.0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1">
        <v>84.75</v>
      </c>
      <c r="T5385" s="1">
        <v>3050.15</v>
      </c>
      <c r="U5385" s="1">
        <v>2.0</v>
      </c>
      <c r="V5385" s="1">
        <v>0.0</v>
      </c>
      <c r="W5385" s="1" t="s">
        <v>25</v>
      </c>
    </row>
    <row r="5386" ht="15.75" customHeight="1">
      <c r="A5386" s="1" t="s">
        <v>5423</v>
      </c>
      <c r="B5386" s="1" t="s">
        <v>24</v>
      </c>
      <c r="C5386" s="1">
        <v>0.0</v>
      </c>
      <c r="D5386" s="1" t="s">
        <v>26</v>
      </c>
      <c r="E5386" s="1" t="s">
        <v>26</v>
      </c>
      <c r="F5386" s="1">
        <v>4.0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1">
        <v>64.4</v>
      </c>
      <c r="T5386" s="1">
        <v>253.0</v>
      </c>
      <c r="U5386" s="1">
        <v>3.0</v>
      </c>
      <c r="V5386" s="1">
        <v>0.0</v>
      </c>
      <c r="W5386" s="1" t="s">
        <v>26</v>
      </c>
    </row>
    <row r="5387" ht="15.75" customHeight="1">
      <c r="A5387" s="1" t="s">
        <v>5424</v>
      </c>
      <c r="B5387" s="1" t="s">
        <v>32</v>
      </c>
      <c r="C5387" s="1">
        <v>0.0</v>
      </c>
      <c r="D5387" s="1" t="s">
        <v>26</v>
      </c>
      <c r="E5387" s="1" t="s">
        <v>26</v>
      </c>
      <c r="F5387" s="1">
        <v>53.0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1">
        <v>85.45</v>
      </c>
      <c r="T5387" s="1">
        <v>4517.25</v>
      </c>
      <c r="U5387" s="1">
        <v>0.0</v>
      </c>
      <c r="V5387" s="1">
        <v>0.0</v>
      </c>
      <c r="W5387" s="1" t="s">
        <v>25</v>
      </c>
    </row>
    <row r="5388" ht="15.75" customHeight="1">
      <c r="A5388" s="1" t="s">
        <v>5425</v>
      </c>
      <c r="B5388" s="1" t="s">
        <v>32</v>
      </c>
      <c r="C5388" s="1">
        <v>0.0</v>
      </c>
      <c r="D5388" s="1" t="s">
        <v>26</v>
      </c>
      <c r="E5388" s="1" t="s">
        <v>26</v>
      </c>
      <c r="F5388" s="1">
        <v>10.0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1">
        <v>45.8</v>
      </c>
      <c r="T5388" s="1">
        <v>436.2</v>
      </c>
      <c r="U5388" s="1">
        <v>0.0</v>
      </c>
      <c r="V5388" s="1">
        <v>0.0</v>
      </c>
      <c r="W5388" s="1" t="s">
        <v>26</v>
      </c>
    </row>
    <row r="5389" ht="15.75" customHeight="1">
      <c r="A5389" s="1" t="s">
        <v>5426</v>
      </c>
      <c r="B5389" s="1" t="s">
        <v>32</v>
      </c>
      <c r="C5389" s="1">
        <v>0.0</v>
      </c>
      <c r="D5389" s="1" t="s">
        <v>26</v>
      </c>
      <c r="E5389" s="1" t="s">
        <v>26</v>
      </c>
      <c r="F5389" s="1">
        <v>4.0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1">
        <v>30.5</v>
      </c>
      <c r="T5389" s="1">
        <v>118.4</v>
      </c>
      <c r="U5389" s="1">
        <v>0.0</v>
      </c>
      <c r="V5389" s="1">
        <v>0.0</v>
      </c>
      <c r="W5389" s="1" t="s">
        <v>26</v>
      </c>
    </row>
    <row r="5390" ht="15.75" customHeight="1">
      <c r="A5390" s="1" t="s">
        <v>5427</v>
      </c>
      <c r="B5390" s="1" t="s">
        <v>32</v>
      </c>
      <c r="C5390" s="1">
        <v>0.0</v>
      </c>
      <c r="D5390" s="1" t="s">
        <v>25</v>
      </c>
      <c r="E5390" s="1" t="s">
        <v>25</v>
      </c>
      <c r="F5390" s="1">
        <v>1.0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1">
        <v>19.9</v>
      </c>
      <c r="T5390" s="1">
        <v>19.9</v>
      </c>
      <c r="U5390" s="1">
        <v>0.0</v>
      </c>
      <c r="V5390" s="1">
        <v>0.0</v>
      </c>
      <c r="W5390" s="1" t="s">
        <v>25</v>
      </c>
    </row>
    <row r="5391" ht="15.75" customHeight="1">
      <c r="A5391" s="1" t="s">
        <v>5428</v>
      </c>
      <c r="B5391" s="1" t="s">
        <v>24</v>
      </c>
      <c r="C5391" s="1">
        <v>0.0</v>
      </c>
      <c r="D5391" s="1" t="s">
        <v>25</v>
      </c>
      <c r="E5391" s="1" t="s">
        <v>26</v>
      </c>
      <c r="F5391" s="1">
        <v>51.0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1">
        <v>69.15</v>
      </c>
      <c r="T5391" s="1">
        <v>3649.6</v>
      </c>
      <c r="U5391" s="1">
        <v>0.0</v>
      </c>
      <c r="V5391" s="1">
        <v>0.0</v>
      </c>
      <c r="W5391" s="1" t="s">
        <v>26</v>
      </c>
    </row>
    <row r="5392" ht="15.75" customHeight="1">
      <c r="A5392" s="1" t="s">
        <v>5429</v>
      </c>
      <c r="B5392" s="1" t="s">
        <v>32</v>
      </c>
      <c r="C5392" s="1">
        <v>1.0</v>
      </c>
      <c r="D5392" s="1" t="s">
        <v>26</v>
      </c>
      <c r="E5392" s="1" t="s">
        <v>26</v>
      </c>
      <c r="F5392" s="1">
        <v>12.0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1">
        <v>99.45</v>
      </c>
      <c r="T5392" s="1">
        <v>1200.15</v>
      </c>
      <c r="U5392" s="1">
        <v>0.0</v>
      </c>
      <c r="V5392" s="1">
        <v>1.0</v>
      </c>
      <c r="W5392" s="1" t="s">
        <v>25</v>
      </c>
    </row>
    <row r="5393" ht="15.75" customHeight="1">
      <c r="A5393" s="1" t="s">
        <v>5430</v>
      </c>
      <c r="B5393" s="1" t="s">
        <v>24</v>
      </c>
      <c r="C5393" s="1">
        <v>0.0</v>
      </c>
      <c r="D5393" s="1" t="s">
        <v>26</v>
      </c>
      <c r="E5393" s="1" t="s">
        <v>26</v>
      </c>
      <c r="F5393" s="1">
        <v>6.0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1">
        <v>49.25</v>
      </c>
      <c r="T5393" s="1">
        <v>255.6</v>
      </c>
      <c r="U5393" s="1">
        <v>3.0</v>
      </c>
      <c r="V5393" s="1">
        <v>0.0</v>
      </c>
      <c r="W5393" s="1" t="s">
        <v>26</v>
      </c>
    </row>
    <row r="5394" ht="15.75" customHeight="1">
      <c r="A5394" s="1" t="s">
        <v>5431</v>
      </c>
      <c r="B5394" s="1" t="s">
        <v>32</v>
      </c>
      <c r="C5394" s="1">
        <v>0.0</v>
      </c>
      <c r="D5394" s="1" t="s">
        <v>25</v>
      </c>
      <c r="E5394" s="1" t="s">
        <v>25</v>
      </c>
      <c r="F5394" s="1">
        <v>63.0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1">
        <v>39.35</v>
      </c>
      <c r="T5394" s="1">
        <v>2395.05</v>
      </c>
      <c r="U5394" s="1">
        <v>0.0</v>
      </c>
      <c r="V5394" s="1">
        <v>0.0</v>
      </c>
      <c r="W5394" s="1" t="s">
        <v>26</v>
      </c>
    </row>
    <row r="5395" ht="15.75" customHeight="1">
      <c r="A5395" s="1" t="s">
        <v>5432</v>
      </c>
      <c r="B5395" s="1" t="s">
        <v>24</v>
      </c>
      <c r="C5395" s="1">
        <v>0.0</v>
      </c>
      <c r="D5395" s="1" t="s">
        <v>26</v>
      </c>
      <c r="E5395" s="1" t="s">
        <v>26</v>
      </c>
      <c r="F5395" s="1">
        <v>1.0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1">
        <v>70.6</v>
      </c>
      <c r="T5395" s="1">
        <v>70.6</v>
      </c>
      <c r="U5395" s="1">
        <v>5.0</v>
      </c>
      <c r="V5395" s="1">
        <v>0.0</v>
      </c>
      <c r="W5395" s="1" t="s">
        <v>25</v>
      </c>
    </row>
    <row r="5396" ht="15.75" customHeight="1">
      <c r="A5396" s="1" t="s">
        <v>5433</v>
      </c>
      <c r="B5396" s="1" t="s">
        <v>24</v>
      </c>
      <c r="C5396" s="1">
        <v>0.0</v>
      </c>
      <c r="D5396" s="1" t="s">
        <v>25</v>
      </c>
      <c r="E5396" s="1" t="s">
        <v>26</v>
      </c>
      <c r="F5396" s="1">
        <v>48.0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1">
        <v>105.1</v>
      </c>
      <c r="T5396" s="1">
        <v>5083.55</v>
      </c>
      <c r="U5396" s="1">
        <v>2.0</v>
      </c>
      <c r="V5396" s="1">
        <v>0.0</v>
      </c>
      <c r="W5396" s="1" t="s">
        <v>26</v>
      </c>
    </row>
    <row r="5397" ht="15.75" customHeight="1">
      <c r="A5397" s="1" t="s">
        <v>5434</v>
      </c>
      <c r="B5397" s="1" t="s">
        <v>24</v>
      </c>
      <c r="C5397" s="1">
        <v>0.0</v>
      </c>
      <c r="D5397" s="1" t="s">
        <v>26</v>
      </c>
      <c r="E5397" s="1" t="s">
        <v>26</v>
      </c>
      <c r="F5397" s="1">
        <v>5.0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1">
        <v>81.0</v>
      </c>
      <c r="T5397" s="1">
        <v>389.6</v>
      </c>
      <c r="U5397" s="1">
        <v>0.0</v>
      </c>
      <c r="V5397" s="1">
        <v>0.0</v>
      </c>
      <c r="W5397" s="1" t="s">
        <v>25</v>
      </c>
    </row>
    <row r="5398" ht="15.75" customHeight="1">
      <c r="A5398" s="1" t="s">
        <v>5435</v>
      </c>
      <c r="B5398" s="1" t="s">
        <v>24</v>
      </c>
      <c r="C5398" s="1">
        <v>0.0</v>
      </c>
      <c r="D5398" s="1" t="s">
        <v>26</v>
      </c>
      <c r="E5398" s="1" t="s">
        <v>25</v>
      </c>
      <c r="F5398" s="1">
        <v>35.0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1">
        <v>20.1</v>
      </c>
      <c r="T5398" s="1">
        <v>644.5</v>
      </c>
      <c r="U5398" s="1">
        <v>0.0</v>
      </c>
      <c r="V5398" s="1">
        <v>0.0</v>
      </c>
      <c r="W5398" s="1" t="s">
        <v>26</v>
      </c>
    </row>
    <row r="5399" ht="15.75" customHeight="1">
      <c r="A5399" s="1" t="s">
        <v>5436</v>
      </c>
      <c r="B5399" s="1" t="s">
        <v>32</v>
      </c>
      <c r="C5399" s="1">
        <v>0.0</v>
      </c>
      <c r="D5399" s="1" t="s">
        <v>26</v>
      </c>
      <c r="E5399" s="1" t="s">
        <v>26</v>
      </c>
      <c r="F5399" s="1">
        <v>6.0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1">
        <v>84.85</v>
      </c>
      <c r="T5399" s="1">
        <v>523.5</v>
      </c>
      <c r="U5399" s="1">
        <v>0.0</v>
      </c>
      <c r="V5399" s="1">
        <v>0.0</v>
      </c>
      <c r="W5399" s="1" t="s">
        <v>25</v>
      </c>
    </row>
    <row r="5400" ht="15.75" customHeight="1">
      <c r="A5400" s="1" t="s">
        <v>5437</v>
      </c>
      <c r="B5400" s="1" t="s">
        <v>32</v>
      </c>
      <c r="C5400" s="1">
        <v>0.0</v>
      </c>
      <c r="D5400" s="1" t="s">
        <v>26</v>
      </c>
      <c r="E5400" s="1" t="s">
        <v>26</v>
      </c>
      <c r="F5400" s="1">
        <v>2.0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1">
        <v>19.75</v>
      </c>
      <c r="T5400" s="1">
        <v>39.3</v>
      </c>
      <c r="U5400" s="1">
        <v>0.0</v>
      </c>
      <c r="V5400" s="1">
        <v>0.0</v>
      </c>
      <c r="W5400" s="1" t="s">
        <v>26</v>
      </c>
    </row>
    <row r="5401" ht="15.75" customHeight="1">
      <c r="A5401" s="1" t="s">
        <v>5438</v>
      </c>
      <c r="B5401" s="1" t="s">
        <v>24</v>
      </c>
      <c r="C5401" s="1">
        <v>0.0</v>
      </c>
      <c r="D5401" s="1" t="s">
        <v>26</v>
      </c>
      <c r="E5401" s="1" t="s">
        <v>26</v>
      </c>
      <c r="F5401" s="1">
        <v>50.0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1">
        <v>19.75</v>
      </c>
      <c r="T5401" s="1">
        <v>989.05</v>
      </c>
      <c r="U5401" s="1">
        <v>3.0</v>
      </c>
      <c r="V5401" s="1">
        <v>2.0</v>
      </c>
      <c r="W5401" s="1" t="s">
        <v>26</v>
      </c>
    </row>
    <row r="5402" ht="15.75" customHeight="1">
      <c r="A5402" s="1" t="s">
        <v>5439</v>
      </c>
      <c r="B5402" s="1" t="s">
        <v>24</v>
      </c>
      <c r="C5402" s="1">
        <v>0.0</v>
      </c>
      <c r="D5402" s="1" t="s">
        <v>26</v>
      </c>
      <c r="E5402" s="1" t="s">
        <v>26</v>
      </c>
      <c r="F5402" s="1">
        <v>33.0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1">
        <v>70.4</v>
      </c>
      <c r="T5402" s="1">
        <v>2406.1</v>
      </c>
      <c r="U5402" s="1">
        <v>0.0</v>
      </c>
      <c r="V5402" s="1">
        <v>0.0</v>
      </c>
      <c r="W5402" s="1" t="s">
        <v>26</v>
      </c>
    </row>
    <row r="5403" ht="15.75" customHeight="1">
      <c r="A5403" s="1" t="s">
        <v>5440</v>
      </c>
      <c r="B5403" s="1" t="s">
        <v>32</v>
      </c>
      <c r="C5403" s="1">
        <v>0.0</v>
      </c>
      <c r="D5403" s="1" t="s">
        <v>26</v>
      </c>
      <c r="E5403" s="1" t="s">
        <v>26</v>
      </c>
      <c r="F5403" s="1">
        <v>31.0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1">
        <v>20.45</v>
      </c>
      <c r="T5403" s="1">
        <v>638.55</v>
      </c>
      <c r="U5403" s="1">
        <v>0.0</v>
      </c>
      <c r="V5403" s="1">
        <v>2.0</v>
      </c>
      <c r="W5403" s="1" t="s">
        <v>26</v>
      </c>
    </row>
    <row r="5404" ht="15.75" customHeight="1">
      <c r="A5404" s="1" t="s">
        <v>5441</v>
      </c>
      <c r="B5404" s="1" t="s">
        <v>24</v>
      </c>
      <c r="C5404" s="1">
        <v>0.0</v>
      </c>
      <c r="D5404" s="1" t="s">
        <v>25</v>
      </c>
      <c r="E5404" s="1" t="s">
        <v>25</v>
      </c>
      <c r="F5404" s="1">
        <v>9.0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1">
        <v>20.35</v>
      </c>
      <c r="T5404" s="1">
        <v>191.1</v>
      </c>
      <c r="U5404" s="1">
        <v>0.0</v>
      </c>
      <c r="V5404" s="1">
        <v>0.0</v>
      </c>
      <c r="W5404" s="1" t="s">
        <v>26</v>
      </c>
    </row>
    <row r="5405" ht="15.75" customHeight="1">
      <c r="A5405" s="1" t="s">
        <v>5442</v>
      </c>
      <c r="B5405" s="1" t="s">
        <v>24</v>
      </c>
      <c r="C5405" s="1">
        <v>0.0</v>
      </c>
      <c r="D5405" s="1" t="s">
        <v>25</v>
      </c>
      <c r="E5405" s="1" t="s">
        <v>25</v>
      </c>
      <c r="F5405" s="1">
        <v>54.0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1">
        <v>86.2</v>
      </c>
      <c r="T5405" s="1">
        <v>4524.05</v>
      </c>
      <c r="U5405" s="1">
        <v>0.0</v>
      </c>
      <c r="V5405" s="1">
        <v>0.0</v>
      </c>
      <c r="W5405" s="1" t="s">
        <v>26</v>
      </c>
    </row>
    <row r="5406" ht="15.75" customHeight="1">
      <c r="A5406" s="1" t="s">
        <v>5443</v>
      </c>
      <c r="B5406" s="1" t="s">
        <v>24</v>
      </c>
      <c r="C5406" s="1">
        <v>0.0</v>
      </c>
      <c r="D5406" s="1" t="s">
        <v>26</v>
      </c>
      <c r="E5406" s="1" t="s">
        <v>26</v>
      </c>
      <c r="F5406" s="1">
        <v>46.0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1">
        <v>95.65</v>
      </c>
      <c r="T5406" s="1">
        <v>4664.2</v>
      </c>
      <c r="U5406" s="1">
        <v>0.0</v>
      </c>
      <c r="V5406" s="1">
        <v>0.0</v>
      </c>
      <c r="W5406" s="1" t="s">
        <v>26</v>
      </c>
    </row>
    <row r="5407" ht="15.75" customHeight="1">
      <c r="A5407" s="1" t="s">
        <v>5444</v>
      </c>
      <c r="B5407" s="1" t="s">
        <v>32</v>
      </c>
      <c r="C5407" s="1">
        <v>0.0</v>
      </c>
      <c r="D5407" s="1" t="s">
        <v>26</v>
      </c>
      <c r="E5407" s="1" t="s">
        <v>25</v>
      </c>
      <c r="F5407" s="1">
        <v>34.0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1">
        <v>103.8</v>
      </c>
      <c r="T5407" s="1">
        <v>3470.8</v>
      </c>
      <c r="U5407" s="1">
        <v>0.0</v>
      </c>
      <c r="V5407" s="1">
        <v>0.0</v>
      </c>
      <c r="W5407" s="1" t="s">
        <v>26</v>
      </c>
    </row>
    <row r="5408" ht="15.75" customHeight="1">
      <c r="A5408" s="1" t="s">
        <v>5445</v>
      </c>
      <c r="B5408" s="1" t="s">
        <v>32</v>
      </c>
      <c r="C5408" s="1">
        <v>0.0</v>
      </c>
      <c r="D5408" s="1" t="s">
        <v>25</v>
      </c>
      <c r="E5408" s="1" t="s">
        <v>25</v>
      </c>
      <c r="F5408" s="1">
        <v>71.0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1">
        <v>97.2</v>
      </c>
      <c r="T5408" s="1">
        <v>6910.3</v>
      </c>
      <c r="U5408" s="1">
        <v>0.0</v>
      </c>
      <c r="V5408" s="1">
        <v>0.0</v>
      </c>
      <c r="W5408" s="1" t="s">
        <v>26</v>
      </c>
    </row>
    <row r="5409" ht="15.75" customHeight="1">
      <c r="A5409" s="1" t="s">
        <v>5446</v>
      </c>
      <c r="B5409" s="1" t="s">
        <v>24</v>
      </c>
      <c r="C5409" s="1">
        <v>0.0</v>
      </c>
      <c r="D5409" s="1" t="s">
        <v>25</v>
      </c>
      <c r="E5409" s="1" t="s">
        <v>25</v>
      </c>
      <c r="F5409" s="1">
        <v>63.0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1">
        <v>63.55</v>
      </c>
      <c r="T5409" s="1">
        <v>4014.2</v>
      </c>
      <c r="U5409" s="1">
        <v>0.0</v>
      </c>
      <c r="V5409" s="1">
        <v>0.0</v>
      </c>
      <c r="W5409" s="1" t="s">
        <v>26</v>
      </c>
    </row>
    <row r="5410" ht="15.75" customHeight="1">
      <c r="A5410" s="1" t="s">
        <v>5447</v>
      </c>
      <c r="B5410" s="1" t="s">
        <v>24</v>
      </c>
      <c r="C5410" s="1">
        <v>0.0</v>
      </c>
      <c r="D5410" s="1" t="s">
        <v>26</v>
      </c>
      <c r="E5410" s="1" t="s">
        <v>26</v>
      </c>
      <c r="F5410" s="1">
        <v>51.0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1">
        <v>24.95</v>
      </c>
      <c r="T5410" s="1">
        <v>1288.0</v>
      </c>
      <c r="U5410" s="1">
        <v>0.0</v>
      </c>
      <c r="V5410" s="1">
        <v>0.0</v>
      </c>
      <c r="W5410" s="1" t="s">
        <v>26</v>
      </c>
    </row>
    <row r="5411" ht="15.75" customHeight="1">
      <c r="A5411" s="1" t="s">
        <v>5448</v>
      </c>
      <c r="B5411" s="1" t="s">
        <v>24</v>
      </c>
      <c r="C5411" s="1">
        <v>1.0</v>
      </c>
      <c r="D5411" s="1" t="s">
        <v>26</v>
      </c>
      <c r="E5411" s="1" t="s">
        <v>26</v>
      </c>
      <c r="F5411" s="1">
        <v>26.0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1">
        <v>89.15</v>
      </c>
      <c r="T5411" s="1">
        <v>2277.65</v>
      </c>
      <c r="U5411" s="1">
        <v>1.0</v>
      </c>
      <c r="V5411" s="1">
        <v>2.0</v>
      </c>
      <c r="W5411" s="1" t="s">
        <v>25</v>
      </c>
    </row>
    <row r="5412" ht="15.75" customHeight="1">
      <c r="A5412" s="1" t="s">
        <v>5449</v>
      </c>
      <c r="B5412" s="1" t="s">
        <v>24</v>
      </c>
      <c r="C5412" s="1">
        <v>0.0</v>
      </c>
      <c r="D5412" s="1" t="s">
        <v>25</v>
      </c>
      <c r="E5412" s="1" t="s">
        <v>26</v>
      </c>
      <c r="F5412" s="1">
        <v>64.0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1">
        <v>99.0</v>
      </c>
      <c r="T5412" s="1">
        <v>6375.8</v>
      </c>
      <c r="U5412" s="1">
        <v>0.0</v>
      </c>
      <c r="V5412" s="1">
        <v>0.0</v>
      </c>
      <c r="W5412" s="1" t="s">
        <v>26</v>
      </c>
    </row>
    <row r="5413" ht="15.75" customHeight="1">
      <c r="A5413" s="1" t="s">
        <v>5450</v>
      </c>
      <c r="B5413" s="1" t="s">
        <v>24</v>
      </c>
      <c r="C5413" s="1">
        <v>1.0</v>
      </c>
      <c r="D5413" s="1" t="s">
        <v>25</v>
      </c>
      <c r="E5413" s="1" t="s">
        <v>26</v>
      </c>
      <c r="F5413" s="1">
        <v>1.0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1">
        <v>24.8</v>
      </c>
      <c r="T5413" s="1">
        <v>24.8</v>
      </c>
      <c r="U5413" s="1">
        <v>0.0</v>
      </c>
      <c r="V5413" s="1">
        <v>0.0</v>
      </c>
      <c r="W5413" s="1" t="s">
        <v>25</v>
      </c>
    </row>
    <row r="5414" ht="15.75" customHeight="1">
      <c r="A5414" s="1" t="s">
        <v>5451</v>
      </c>
      <c r="B5414" s="1" t="s">
        <v>32</v>
      </c>
      <c r="C5414" s="1">
        <v>1.0</v>
      </c>
      <c r="D5414" s="1" t="s">
        <v>25</v>
      </c>
      <c r="E5414" s="1" t="s">
        <v>26</v>
      </c>
      <c r="F5414" s="1">
        <v>61.0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1">
        <v>85.55</v>
      </c>
      <c r="T5414" s="1">
        <v>5251.75</v>
      </c>
      <c r="U5414" s="1">
        <v>0.0</v>
      </c>
      <c r="V5414" s="1">
        <v>0.0</v>
      </c>
      <c r="W5414" s="1" t="s">
        <v>26</v>
      </c>
    </row>
    <row r="5415" ht="15.75" customHeight="1">
      <c r="A5415" s="1" t="s">
        <v>5452</v>
      </c>
      <c r="B5415" s="1" t="s">
        <v>24</v>
      </c>
      <c r="C5415" s="1">
        <v>0.0</v>
      </c>
      <c r="D5415" s="1" t="s">
        <v>26</v>
      </c>
      <c r="E5415" s="1" t="s">
        <v>26</v>
      </c>
      <c r="F5415" s="1">
        <v>15.0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1">
        <v>94.0</v>
      </c>
      <c r="T5415" s="1">
        <v>1505.45</v>
      </c>
      <c r="U5415" s="1">
        <v>0.0</v>
      </c>
      <c r="V5415" s="1">
        <v>0.0</v>
      </c>
      <c r="W5415" s="1" t="s">
        <v>26</v>
      </c>
    </row>
    <row r="5416" ht="15.75" customHeight="1">
      <c r="A5416" s="1" t="s">
        <v>5453</v>
      </c>
      <c r="B5416" s="1" t="s">
        <v>32</v>
      </c>
      <c r="C5416" s="1">
        <v>0.0</v>
      </c>
      <c r="D5416" s="1" t="s">
        <v>26</v>
      </c>
      <c r="E5416" s="1" t="s">
        <v>26</v>
      </c>
      <c r="F5416" s="1">
        <v>64.0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1">
        <v>105.65</v>
      </c>
      <c r="T5416" s="1">
        <v>6903.1</v>
      </c>
      <c r="U5416" s="1">
        <v>0.0</v>
      </c>
      <c r="V5416" s="1">
        <v>6.0</v>
      </c>
      <c r="W5416" s="1" t="s">
        <v>25</v>
      </c>
    </row>
    <row r="5417" ht="15.75" customHeight="1">
      <c r="A5417" s="1" t="s">
        <v>5454</v>
      </c>
      <c r="B5417" s="1" t="s">
        <v>24</v>
      </c>
      <c r="C5417" s="1">
        <v>0.0</v>
      </c>
      <c r="D5417" s="1" t="s">
        <v>26</v>
      </c>
      <c r="E5417" s="1" t="s">
        <v>26</v>
      </c>
      <c r="F5417" s="1">
        <v>18.0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1">
        <v>50.3</v>
      </c>
      <c r="T5417" s="1">
        <v>913.3</v>
      </c>
      <c r="U5417" s="1">
        <v>0.0</v>
      </c>
      <c r="V5417" s="1">
        <v>0.0</v>
      </c>
      <c r="W5417" s="1" t="s">
        <v>26</v>
      </c>
    </row>
    <row r="5418" ht="15.75" customHeight="1">
      <c r="A5418" s="1" t="s">
        <v>5455</v>
      </c>
      <c r="B5418" s="1" t="s">
        <v>24</v>
      </c>
      <c r="C5418" s="1">
        <v>0.0</v>
      </c>
      <c r="D5418" s="1" t="s">
        <v>25</v>
      </c>
      <c r="E5418" s="1" t="s">
        <v>25</v>
      </c>
      <c r="F5418" s="1">
        <v>57.0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1">
        <v>95.0</v>
      </c>
      <c r="T5418" s="1">
        <v>5535.8</v>
      </c>
      <c r="U5418" s="1">
        <v>1.0</v>
      </c>
      <c r="V5418" s="1">
        <v>0.0</v>
      </c>
      <c r="W5418" s="1" t="s">
        <v>26</v>
      </c>
    </row>
    <row r="5419" ht="15.75" customHeight="1">
      <c r="A5419" s="1" t="s">
        <v>5456</v>
      </c>
      <c r="B5419" s="1" t="s">
        <v>32</v>
      </c>
      <c r="C5419" s="1">
        <v>0.0</v>
      </c>
      <c r="D5419" s="1" t="s">
        <v>25</v>
      </c>
      <c r="E5419" s="1" t="s">
        <v>25</v>
      </c>
      <c r="F5419" s="1">
        <v>14.0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1">
        <v>61.4</v>
      </c>
      <c r="T5419" s="1">
        <v>815.55</v>
      </c>
      <c r="U5419" s="1">
        <v>0.0</v>
      </c>
      <c r="V5419" s="1">
        <v>0.0</v>
      </c>
      <c r="W5419" s="1" t="s">
        <v>26</v>
      </c>
    </row>
    <row r="5420" ht="15.75" customHeight="1">
      <c r="A5420" s="1" t="s">
        <v>5457</v>
      </c>
      <c r="B5420" s="1" t="s">
        <v>32</v>
      </c>
      <c r="C5420" s="1">
        <v>1.0</v>
      </c>
      <c r="D5420" s="1" t="s">
        <v>26</v>
      </c>
      <c r="E5420" s="1" t="s">
        <v>26</v>
      </c>
      <c r="F5420" s="1">
        <v>18.0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1">
        <v>80.55</v>
      </c>
      <c r="T5420" s="1">
        <v>1411.65</v>
      </c>
      <c r="U5420" s="1">
        <v>1.0</v>
      </c>
      <c r="V5420" s="1">
        <v>0.0</v>
      </c>
      <c r="W5420" s="1" t="s">
        <v>26</v>
      </c>
    </row>
    <row r="5421" ht="15.75" customHeight="1">
      <c r="A5421" s="1" t="s">
        <v>5458</v>
      </c>
      <c r="B5421" s="1" t="s">
        <v>24</v>
      </c>
      <c r="C5421" s="1">
        <v>1.0</v>
      </c>
      <c r="D5421" s="1" t="s">
        <v>25</v>
      </c>
      <c r="E5421" s="1" t="s">
        <v>26</v>
      </c>
      <c r="F5421" s="1">
        <v>72.0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1">
        <v>78.5</v>
      </c>
      <c r="T5421" s="1">
        <v>5602.25</v>
      </c>
      <c r="U5421" s="1">
        <v>0.0</v>
      </c>
      <c r="V5421" s="1">
        <v>0.0</v>
      </c>
      <c r="W5421" s="1" t="s">
        <v>26</v>
      </c>
    </row>
    <row r="5422" ht="15.75" customHeight="1">
      <c r="A5422" s="1" t="s">
        <v>5459</v>
      </c>
      <c r="B5422" s="1" t="s">
        <v>32</v>
      </c>
      <c r="C5422" s="1">
        <v>0.0</v>
      </c>
      <c r="D5422" s="1" t="s">
        <v>25</v>
      </c>
      <c r="E5422" s="1" t="s">
        <v>26</v>
      </c>
      <c r="F5422" s="1">
        <v>70.0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1">
        <v>114.3</v>
      </c>
      <c r="T5422" s="1">
        <v>8244.3</v>
      </c>
      <c r="U5422" s="1">
        <v>3.0</v>
      </c>
      <c r="V5422" s="1">
        <v>4.0</v>
      </c>
      <c r="W5422" s="1" t="s">
        <v>26</v>
      </c>
    </row>
    <row r="5423" ht="15.75" customHeight="1">
      <c r="A5423" s="1" t="s">
        <v>5460</v>
      </c>
      <c r="B5423" s="1" t="s">
        <v>24</v>
      </c>
      <c r="C5423" s="1">
        <v>0.0</v>
      </c>
      <c r="D5423" s="1" t="s">
        <v>26</v>
      </c>
      <c r="E5423" s="1" t="s">
        <v>26</v>
      </c>
      <c r="F5423" s="1">
        <v>38.0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1">
        <v>20.05</v>
      </c>
      <c r="T5423" s="1">
        <v>741.5</v>
      </c>
      <c r="U5423" s="1">
        <v>0.0</v>
      </c>
      <c r="V5423" s="1">
        <v>0.0</v>
      </c>
      <c r="W5423" s="1" t="s">
        <v>26</v>
      </c>
    </row>
    <row r="5424" ht="15.75" customHeight="1">
      <c r="A5424" s="1" t="s">
        <v>5461</v>
      </c>
      <c r="B5424" s="1" t="s">
        <v>32</v>
      </c>
      <c r="C5424" s="1">
        <v>0.0</v>
      </c>
      <c r="D5424" s="1" t="s">
        <v>25</v>
      </c>
      <c r="E5424" s="1" t="s">
        <v>25</v>
      </c>
      <c r="F5424" s="1">
        <v>68.0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1">
        <v>62.65</v>
      </c>
      <c r="T5424" s="1">
        <v>4375.8</v>
      </c>
      <c r="U5424" s="1">
        <v>0.0</v>
      </c>
      <c r="V5424" s="1">
        <v>0.0</v>
      </c>
      <c r="W5424" s="1" t="s">
        <v>26</v>
      </c>
    </row>
    <row r="5425" ht="15.75" customHeight="1">
      <c r="A5425" s="1" t="s">
        <v>5462</v>
      </c>
      <c r="B5425" s="1" t="s">
        <v>32</v>
      </c>
      <c r="C5425" s="1">
        <v>0.0</v>
      </c>
      <c r="D5425" s="1" t="s">
        <v>26</v>
      </c>
      <c r="E5425" s="1" t="s">
        <v>26</v>
      </c>
      <c r="F5425" s="1">
        <v>13.0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1">
        <v>80.85</v>
      </c>
      <c r="T5425" s="1">
        <v>1008.7</v>
      </c>
      <c r="U5425" s="1">
        <v>0.0</v>
      </c>
      <c r="V5425" s="1">
        <v>0.0</v>
      </c>
      <c r="W5425" s="1" t="s">
        <v>25</v>
      </c>
    </row>
    <row r="5426" ht="15.75" customHeight="1">
      <c r="A5426" s="1" t="s">
        <v>5463</v>
      </c>
      <c r="B5426" s="1" t="s">
        <v>32</v>
      </c>
      <c r="C5426" s="1">
        <v>1.0</v>
      </c>
      <c r="D5426" s="1" t="s">
        <v>25</v>
      </c>
      <c r="E5426" s="1" t="s">
        <v>26</v>
      </c>
      <c r="F5426" s="1">
        <v>65.0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1">
        <v>92.7</v>
      </c>
      <c r="T5426" s="1">
        <v>5968.4</v>
      </c>
      <c r="U5426" s="1">
        <v>0.0</v>
      </c>
      <c r="V5426" s="1">
        <v>0.0</v>
      </c>
      <c r="W5426" s="1" t="s">
        <v>26</v>
      </c>
    </row>
    <row r="5427" ht="15.75" customHeight="1">
      <c r="A5427" s="1" t="s">
        <v>5464</v>
      </c>
      <c r="B5427" s="1" t="s">
        <v>24</v>
      </c>
      <c r="C5427" s="1">
        <v>0.0</v>
      </c>
      <c r="D5427" s="1" t="s">
        <v>26</v>
      </c>
      <c r="E5427" s="1" t="s">
        <v>26</v>
      </c>
      <c r="F5427" s="1">
        <v>30.0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1">
        <v>100.45</v>
      </c>
      <c r="T5427" s="1">
        <v>3096.9</v>
      </c>
      <c r="U5427" s="1">
        <v>0.0</v>
      </c>
      <c r="V5427" s="1">
        <v>0.0</v>
      </c>
      <c r="W5427" s="1" t="s">
        <v>26</v>
      </c>
    </row>
    <row r="5428" ht="15.75" customHeight="1">
      <c r="A5428" s="1" t="s">
        <v>5465</v>
      </c>
      <c r="B5428" s="1" t="s">
        <v>32</v>
      </c>
      <c r="C5428" s="1">
        <v>0.0</v>
      </c>
      <c r="D5428" s="1" t="s">
        <v>25</v>
      </c>
      <c r="E5428" s="1" t="s">
        <v>26</v>
      </c>
      <c r="F5428" s="1">
        <v>51.0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1">
        <v>75.2</v>
      </c>
      <c r="T5428" s="1">
        <v>3901.25</v>
      </c>
      <c r="U5428" s="1">
        <v>0.0</v>
      </c>
      <c r="V5428" s="1">
        <v>0.0</v>
      </c>
      <c r="W5428" s="1" t="s">
        <v>26</v>
      </c>
    </row>
    <row r="5429" ht="15.75" customHeight="1">
      <c r="A5429" s="1" t="s">
        <v>5466</v>
      </c>
      <c r="B5429" s="1" t="s">
        <v>24</v>
      </c>
      <c r="C5429" s="1">
        <v>0.0</v>
      </c>
      <c r="D5429" s="1" t="s">
        <v>26</v>
      </c>
      <c r="E5429" s="1" t="s">
        <v>26</v>
      </c>
      <c r="F5429" s="1">
        <v>31.0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1">
        <v>84.75</v>
      </c>
      <c r="T5429" s="1">
        <v>2613.4</v>
      </c>
      <c r="U5429" s="1">
        <v>0.0</v>
      </c>
      <c r="V5429" s="1">
        <v>0.0</v>
      </c>
      <c r="W5429" s="1" t="s">
        <v>26</v>
      </c>
    </row>
    <row r="5430" ht="15.75" customHeight="1">
      <c r="A5430" s="1" t="s">
        <v>5467</v>
      </c>
      <c r="B5430" s="1" t="s">
        <v>24</v>
      </c>
      <c r="C5430" s="1">
        <v>0.0</v>
      </c>
      <c r="D5430" s="1" t="s">
        <v>25</v>
      </c>
      <c r="E5430" s="1" t="s">
        <v>26</v>
      </c>
      <c r="F5430" s="1">
        <v>9.0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1">
        <v>89.45</v>
      </c>
      <c r="T5430" s="1">
        <v>853.1</v>
      </c>
      <c r="U5430" s="1">
        <v>0.0</v>
      </c>
      <c r="V5430" s="1">
        <v>0.0</v>
      </c>
      <c r="W5430" s="1" t="s">
        <v>25</v>
      </c>
    </row>
    <row r="5431" ht="15.75" customHeight="1">
      <c r="A5431" s="1" t="s">
        <v>5468</v>
      </c>
      <c r="B5431" s="1" t="s">
        <v>24</v>
      </c>
      <c r="C5431" s="1">
        <v>0.0</v>
      </c>
      <c r="D5431" s="1" t="s">
        <v>25</v>
      </c>
      <c r="E5431" s="1" t="s">
        <v>25</v>
      </c>
      <c r="F5431" s="1">
        <v>72.0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1">
        <v>79.5</v>
      </c>
      <c r="T5431" s="1">
        <v>5661.7</v>
      </c>
      <c r="U5431" s="1">
        <v>0.0</v>
      </c>
      <c r="V5431" s="1">
        <v>0.0</v>
      </c>
      <c r="W5431" s="1" t="s">
        <v>26</v>
      </c>
    </row>
    <row r="5432" ht="15.75" customHeight="1">
      <c r="A5432" s="1" t="s">
        <v>5469</v>
      </c>
      <c r="B5432" s="1" t="s">
        <v>32</v>
      </c>
      <c r="C5432" s="1">
        <v>0.0</v>
      </c>
      <c r="D5432" s="1" t="s">
        <v>26</v>
      </c>
      <c r="E5432" s="1" t="s">
        <v>26</v>
      </c>
      <c r="F5432" s="1">
        <v>10.0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1">
        <v>72.15</v>
      </c>
      <c r="T5432" s="1">
        <v>794.25</v>
      </c>
      <c r="U5432" s="1">
        <v>0.0</v>
      </c>
      <c r="V5432" s="1">
        <v>1.0</v>
      </c>
      <c r="W5432" s="1" t="s">
        <v>25</v>
      </c>
    </row>
    <row r="5433" ht="15.75" customHeight="1">
      <c r="A5433" s="1" t="s">
        <v>5470</v>
      </c>
      <c r="B5433" s="1" t="s">
        <v>24</v>
      </c>
      <c r="C5433" s="1">
        <v>0.0</v>
      </c>
      <c r="D5433" s="1" t="s">
        <v>26</v>
      </c>
      <c r="E5433" s="1" t="s">
        <v>26</v>
      </c>
      <c r="F5433" s="1">
        <v>37.0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1">
        <v>19.8</v>
      </c>
      <c r="T5433" s="1">
        <v>695.05</v>
      </c>
      <c r="U5433" s="1">
        <v>0.0</v>
      </c>
      <c r="V5433" s="1">
        <v>0.0</v>
      </c>
      <c r="W5433" s="1" t="s">
        <v>26</v>
      </c>
    </row>
    <row r="5434" ht="15.75" customHeight="1">
      <c r="A5434" s="1" t="s">
        <v>5471</v>
      </c>
      <c r="B5434" s="1" t="s">
        <v>24</v>
      </c>
      <c r="C5434" s="1">
        <v>0.0</v>
      </c>
      <c r="D5434" s="1" t="s">
        <v>26</v>
      </c>
      <c r="E5434" s="1" t="s">
        <v>26</v>
      </c>
      <c r="F5434" s="1">
        <v>2.0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1">
        <v>76.4</v>
      </c>
      <c r="T5434" s="1">
        <v>160.8</v>
      </c>
      <c r="U5434" s="1">
        <v>0.0</v>
      </c>
      <c r="V5434" s="1">
        <v>0.0</v>
      </c>
      <c r="W5434" s="1" t="s">
        <v>25</v>
      </c>
    </row>
    <row r="5435" ht="15.75" customHeight="1">
      <c r="A5435" s="1" t="s">
        <v>5472</v>
      </c>
      <c r="B5435" s="1" t="s">
        <v>32</v>
      </c>
      <c r="C5435" s="1">
        <v>0.0</v>
      </c>
      <c r="D5435" s="1" t="s">
        <v>26</v>
      </c>
      <c r="E5435" s="1" t="s">
        <v>26</v>
      </c>
      <c r="F5435" s="1">
        <v>55.0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1">
        <v>100.9</v>
      </c>
      <c r="T5435" s="1">
        <v>5552.05</v>
      </c>
      <c r="U5435" s="1">
        <v>0.0</v>
      </c>
      <c r="V5435" s="1">
        <v>0.0</v>
      </c>
      <c r="W5435" s="1" t="s">
        <v>26</v>
      </c>
    </row>
    <row r="5436" ht="15.75" customHeight="1">
      <c r="A5436" s="1" t="s">
        <v>5473</v>
      </c>
      <c r="B5436" s="1" t="s">
        <v>32</v>
      </c>
      <c r="C5436" s="1">
        <v>0.0</v>
      </c>
      <c r="D5436" s="1" t="s">
        <v>26</v>
      </c>
      <c r="E5436" s="1" t="s">
        <v>25</v>
      </c>
      <c r="F5436" s="1">
        <v>33.0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1">
        <v>95.3</v>
      </c>
      <c r="T5436" s="1">
        <v>3275.15</v>
      </c>
      <c r="U5436" s="1">
        <v>0.0</v>
      </c>
      <c r="V5436" s="1">
        <v>0.0</v>
      </c>
      <c r="W5436" s="1" t="s">
        <v>26</v>
      </c>
    </row>
    <row r="5437" ht="15.75" customHeight="1">
      <c r="A5437" s="1" t="s">
        <v>5474</v>
      </c>
      <c r="B5437" s="1" t="s">
        <v>24</v>
      </c>
      <c r="C5437" s="1">
        <v>0.0</v>
      </c>
      <c r="D5437" s="1" t="s">
        <v>25</v>
      </c>
      <c r="E5437" s="1" t="s">
        <v>25</v>
      </c>
      <c r="F5437" s="1">
        <v>46.0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1">
        <v>90.95</v>
      </c>
      <c r="T5437" s="1">
        <v>4236.6</v>
      </c>
      <c r="U5437" s="1">
        <v>0.0</v>
      </c>
      <c r="V5437" s="1">
        <v>0.0</v>
      </c>
      <c r="W5437" s="1" t="s">
        <v>26</v>
      </c>
    </row>
    <row r="5438" ht="15.75" customHeight="1">
      <c r="A5438" s="1" t="s">
        <v>5475</v>
      </c>
      <c r="B5438" s="1" t="s">
        <v>24</v>
      </c>
      <c r="C5438" s="1">
        <v>0.0</v>
      </c>
      <c r="D5438" s="1" t="s">
        <v>26</v>
      </c>
      <c r="E5438" s="1" t="s">
        <v>25</v>
      </c>
      <c r="F5438" s="1">
        <v>1.0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1">
        <v>54.5</v>
      </c>
      <c r="T5438" s="1">
        <v>54.5</v>
      </c>
      <c r="U5438" s="1">
        <v>0.0</v>
      </c>
      <c r="V5438" s="1">
        <v>0.0</v>
      </c>
      <c r="W5438" s="1" t="s">
        <v>26</v>
      </c>
    </row>
    <row r="5439" ht="15.75" customHeight="1">
      <c r="A5439" s="1" t="s">
        <v>5476</v>
      </c>
      <c r="B5439" s="1" t="s">
        <v>24</v>
      </c>
      <c r="C5439" s="1">
        <v>1.0</v>
      </c>
      <c r="D5439" s="1" t="s">
        <v>26</v>
      </c>
      <c r="E5439" s="1" t="s">
        <v>26</v>
      </c>
      <c r="F5439" s="1">
        <v>20.0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1">
        <v>61.6</v>
      </c>
      <c r="T5439" s="1">
        <v>1174.35</v>
      </c>
      <c r="U5439" s="1">
        <v>0.0</v>
      </c>
      <c r="V5439" s="1">
        <v>0.0</v>
      </c>
      <c r="W5439" s="1" t="s">
        <v>25</v>
      </c>
    </row>
    <row r="5440" ht="15.75" customHeight="1">
      <c r="A5440" s="1" t="s">
        <v>5477</v>
      </c>
      <c r="B5440" s="1" t="s">
        <v>32</v>
      </c>
      <c r="C5440" s="1">
        <v>0.0</v>
      </c>
      <c r="D5440" s="1" t="s">
        <v>25</v>
      </c>
      <c r="E5440" s="1" t="s">
        <v>26</v>
      </c>
      <c r="F5440" s="1">
        <v>9.0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1">
        <v>79.9</v>
      </c>
      <c r="T5440" s="1">
        <v>741.7</v>
      </c>
      <c r="U5440" s="1">
        <v>0.0</v>
      </c>
      <c r="V5440" s="1">
        <v>0.0</v>
      </c>
      <c r="W5440" s="1" t="s">
        <v>25</v>
      </c>
    </row>
    <row r="5441" ht="15.75" customHeight="1">
      <c r="A5441" s="1" t="s">
        <v>5478</v>
      </c>
      <c r="B5441" s="1" t="s">
        <v>32</v>
      </c>
      <c r="C5441" s="1">
        <v>1.0</v>
      </c>
      <c r="D5441" s="1" t="s">
        <v>26</v>
      </c>
      <c r="E5441" s="1" t="s">
        <v>26</v>
      </c>
      <c r="F5441" s="1">
        <v>32.0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1">
        <v>96.15</v>
      </c>
      <c r="T5441" s="1">
        <v>3019.25</v>
      </c>
      <c r="U5441" s="1">
        <v>0.0</v>
      </c>
      <c r="V5441" s="1">
        <v>3.0</v>
      </c>
      <c r="W5441" s="1" t="s">
        <v>25</v>
      </c>
    </row>
    <row r="5442" ht="15.75" customHeight="1">
      <c r="A5442" s="1" t="s">
        <v>5479</v>
      </c>
      <c r="B5442" s="1" t="s">
        <v>24</v>
      </c>
      <c r="C5442" s="1">
        <v>0.0</v>
      </c>
      <c r="D5442" s="1" t="s">
        <v>25</v>
      </c>
      <c r="E5442" s="1" t="s">
        <v>25</v>
      </c>
      <c r="F5442" s="1">
        <v>19.0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1">
        <v>49.6</v>
      </c>
      <c r="T5442" s="1">
        <v>962.9</v>
      </c>
      <c r="U5442" s="1">
        <v>0.0</v>
      </c>
      <c r="V5442" s="1">
        <v>0.0</v>
      </c>
      <c r="W5442" s="1" t="s">
        <v>26</v>
      </c>
    </row>
    <row r="5443" ht="15.75" customHeight="1">
      <c r="A5443" s="1" t="s">
        <v>5480</v>
      </c>
      <c r="B5443" s="1" t="s">
        <v>24</v>
      </c>
      <c r="C5443" s="1">
        <v>0.0</v>
      </c>
      <c r="D5443" s="1" t="s">
        <v>25</v>
      </c>
      <c r="E5443" s="1" t="s">
        <v>26</v>
      </c>
      <c r="F5443" s="1">
        <v>70.0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1">
        <v>65.3</v>
      </c>
      <c r="T5443" s="1">
        <v>4759.75</v>
      </c>
      <c r="U5443" s="1">
        <v>0.0</v>
      </c>
      <c r="V5443" s="1">
        <v>6.0</v>
      </c>
      <c r="W5443" s="1" t="s">
        <v>25</v>
      </c>
    </row>
    <row r="5444" ht="15.75" customHeight="1">
      <c r="A5444" s="1" t="s">
        <v>5481</v>
      </c>
      <c r="B5444" s="1" t="s">
        <v>24</v>
      </c>
      <c r="C5444" s="1">
        <v>0.0</v>
      </c>
      <c r="D5444" s="1" t="s">
        <v>26</v>
      </c>
      <c r="E5444" s="1" t="s">
        <v>25</v>
      </c>
      <c r="F5444" s="1">
        <v>61.0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1">
        <v>25.0</v>
      </c>
      <c r="T5444" s="1">
        <v>1498.35</v>
      </c>
      <c r="U5444" s="1">
        <v>0.0</v>
      </c>
      <c r="V5444" s="1">
        <v>0.0</v>
      </c>
      <c r="W5444" s="1" t="s">
        <v>26</v>
      </c>
    </row>
    <row r="5445" ht="15.75" customHeight="1">
      <c r="A5445" s="1" t="s">
        <v>5482</v>
      </c>
      <c r="B5445" s="1" t="s">
        <v>32</v>
      </c>
      <c r="C5445" s="1">
        <v>0.0</v>
      </c>
      <c r="D5445" s="1" t="s">
        <v>26</v>
      </c>
      <c r="E5445" s="1" t="s">
        <v>26</v>
      </c>
      <c r="F5445" s="1">
        <v>26.0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1">
        <v>45.45</v>
      </c>
      <c r="T5445" s="1">
        <v>1233.15</v>
      </c>
      <c r="U5445" s="1">
        <v>0.0</v>
      </c>
      <c r="V5445" s="1">
        <v>0.0</v>
      </c>
      <c r="W5445" s="1" t="s">
        <v>26</v>
      </c>
    </row>
    <row r="5446" ht="15.75" customHeight="1">
      <c r="A5446" s="1" t="s">
        <v>5483</v>
      </c>
      <c r="B5446" s="1" t="s">
        <v>32</v>
      </c>
      <c r="C5446" s="1">
        <v>0.0</v>
      </c>
      <c r="D5446" s="1" t="s">
        <v>25</v>
      </c>
      <c r="E5446" s="1" t="s">
        <v>26</v>
      </c>
      <c r="F5446" s="1">
        <v>45.0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1">
        <v>107.75</v>
      </c>
      <c r="T5446" s="1">
        <v>4882.8</v>
      </c>
      <c r="U5446" s="1">
        <v>2.0</v>
      </c>
      <c r="V5446" s="1">
        <v>0.0</v>
      </c>
      <c r="W5446" s="1" t="s">
        <v>26</v>
      </c>
    </row>
    <row r="5447" ht="15.75" customHeight="1">
      <c r="A5447" s="1" t="s">
        <v>5484</v>
      </c>
      <c r="B5447" s="1" t="s">
        <v>32</v>
      </c>
      <c r="C5447" s="1">
        <v>0.0</v>
      </c>
      <c r="D5447" s="1" t="s">
        <v>25</v>
      </c>
      <c r="E5447" s="1" t="s">
        <v>25</v>
      </c>
      <c r="F5447" s="1">
        <v>62.0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1">
        <v>89.1</v>
      </c>
      <c r="T5447" s="1">
        <v>5411.65</v>
      </c>
      <c r="U5447" s="1">
        <v>0.0</v>
      </c>
      <c r="V5447" s="1">
        <v>0.0</v>
      </c>
      <c r="W5447" s="1" t="s">
        <v>26</v>
      </c>
    </row>
    <row r="5448" ht="15.75" customHeight="1">
      <c r="A5448" s="1" t="s">
        <v>5485</v>
      </c>
      <c r="B5448" s="1" t="s">
        <v>32</v>
      </c>
      <c r="C5448" s="1">
        <v>0.0</v>
      </c>
      <c r="D5448" s="1" t="s">
        <v>26</v>
      </c>
      <c r="E5448" s="1" t="s">
        <v>26</v>
      </c>
      <c r="F5448" s="1">
        <v>1.0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1">
        <v>19.65</v>
      </c>
      <c r="T5448" s="1">
        <v>19.65</v>
      </c>
      <c r="U5448" s="1">
        <v>0.0</v>
      </c>
      <c r="V5448" s="1">
        <v>0.0</v>
      </c>
      <c r="W5448" s="1" t="s">
        <v>25</v>
      </c>
    </row>
    <row r="5449" ht="15.75" customHeight="1">
      <c r="A5449" s="1" t="s">
        <v>5486</v>
      </c>
      <c r="B5449" s="1" t="s">
        <v>24</v>
      </c>
      <c r="C5449" s="1">
        <v>0.0</v>
      </c>
      <c r="D5449" s="1" t="s">
        <v>26</v>
      </c>
      <c r="E5449" s="1" t="s">
        <v>26</v>
      </c>
      <c r="F5449" s="1">
        <v>3.0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1">
        <v>44.75</v>
      </c>
      <c r="T5449" s="1">
        <v>148.05</v>
      </c>
      <c r="U5449" s="1">
        <v>0.0</v>
      </c>
      <c r="V5449" s="1">
        <v>0.0</v>
      </c>
      <c r="W5449" s="1" t="s">
        <v>26</v>
      </c>
    </row>
    <row r="5450" ht="15.75" customHeight="1">
      <c r="A5450" s="1" t="s">
        <v>5487</v>
      </c>
      <c r="B5450" s="1" t="s">
        <v>24</v>
      </c>
      <c r="C5450" s="1">
        <v>0.0</v>
      </c>
      <c r="D5450" s="1" t="s">
        <v>25</v>
      </c>
      <c r="E5450" s="1" t="s">
        <v>25</v>
      </c>
      <c r="F5450" s="1">
        <v>41.0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1">
        <v>101.6</v>
      </c>
      <c r="T5450" s="1">
        <v>3930.55</v>
      </c>
      <c r="U5450" s="1">
        <v>0.0</v>
      </c>
      <c r="V5450" s="1">
        <v>0.0</v>
      </c>
      <c r="W5450" s="1" t="s">
        <v>26</v>
      </c>
    </row>
    <row r="5451" ht="15.75" customHeight="1">
      <c r="A5451" s="1" t="s">
        <v>5488</v>
      </c>
      <c r="B5451" s="1" t="s">
        <v>32</v>
      </c>
      <c r="C5451" s="1">
        <v>0.0</v>
      </c>
      <c r="D5451" s="1" t="s">
        <v>25</v>
      </c>
      <c r="E5451" s="1" t="s">
        <v>25</v>
      </c>
      <c r="F5451" s="1">
        <v>67.0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1">
        <v>103.15</v>
      </c>
      <c r="T5451" s="1">
        <v>6895.5</v>
      </c>
      <c r="U5451" s="1">
        <v>0.0</v>
      </c>
      <c r="V5451" s="1">
        <v>0.0</v>
      </c>
      <c r="W5451" s="1" t="s">
        <v>26</v>
      </c>
    </row>
    <row r="5452" ht="15.75" customHeight="1">
      <c r="A5452" s="1" t="s">
        <v>5489</v>
      </c>
      <c r="B5452" s="1" t="s">
        <v>32</v>
      </c>
      <c r="C5452" s="1">
        <v>0.0</v>
      </c>
      <c r="D5452" s="1" t="s">
        <v>26</v>
      </c>
      <c r="E5452" s="1" t="s">
        <v>26</v>
      </c>
      <c r="F5452" s="1">
        <v>1.0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1">
        <v>84.65</v>
      </c>
      <c r="T5452" s="1">
        <v>84.65</v>
      </c>
      <c r="U5452" s="1">
        <v>0.0</v>
      </c>
      <c r="V5452" s="1">
        <v>0.0</v>
      </c>
      <c r="W5452" s="1" t="s">
        <v>25</v>
      </c>
    </row>
    <row r="5453" ht="15.75" customHeight="1">
      <c r="A5453" s="1" t="s">
        <v>5490</v>
      </c>
      <c r="B5453" s="1" t="s">
        <v>24</v>
      </c>
      <c r="C5453" s="1">
        <v>0.0</v>
      </c>
      <c r="D5453" s="1" t="s">
        <v>25</v>
      </c>
      <c r="E5453" s="1" t="s">
        <v>26</v>
      </c>
      <c r="F5453" s="1">
        <v>71.0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1">
        <v>95.65</v>
      </c>
      <c r="T5453" s="1">
        <v>6856.95</v>
      </c>
      <c r="U5453" s="1">
        <v>0.0</v>
      </c>
      <c r="V5453" s="1">
        <v>0.0</v>
      </c>
      <c r="W5453" s="1" t="s">
        <v>26</v>
      </c>
    </row>
    <row r="5454" ht="15.75" customHeight="1">
      <c r="A5454" s="1" t="s">
        <v>5491</v>
      </c>
      <c r="B5454" s="1" t="s">
        <v>24</v>
      </c>
      <c r="C5454" s="1">
        <v>0.0</v>
      </c>
      <c r="D5454" s="1" t="s">
        <v>25</v>
      </c>
      <c r="E5454" s="1" t="s">
        <v>25</v>
      </c>
      <c r="F5454" s="1">
        <v>37.0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1">
        <v>75.1</v>
      </c>
      <c r="T5454" s="1">
        <v>2658.8</v>
      </c>
      <c r="U5454" s="1">
        <v>3.0</v>
      </c>
      <c r="V5454" s="1">
        <v>0.0</v>
      </c>
      <c r="W5454" s="1" t="s">
        <v>26</v>
      </c>
    </row>
    <row r="5455" ht="15.75" customHeight="1">
      <c r="A5455" s="1" t="s">
        <v>5492</v>
      </c>
      <c r="B5455" s="1" t="s">
        <v>32</v>
      </c>
      <c r="C5455" s="1">
        <v>0.0</v>
      </c>
      <c r="D5455" s="1" t="s">
        <v>25</v>
      </c>
      <c r="E5455" s="1" t="s">
        <v>26</v>
      </c>
      <c r="F5455" s="1">
        <v>60.0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1">
        <v>61.35</v>
      </c>
      <c r="T5455" s="1">
        <v>3766.2</v>
      </c>
      <c r="U5455" s="1">
        <v>0.0</v>
      </c>
      <c r="V5455" s="1">
        <v>0.0</v>
      </c>
      <c r="W5455" s="1" t="s">
        <v>26</v>
      </c>
    </row>
    <row r="5456" ht="15.75" customHeight="1">
      <c r="A5456" s="1" t="s">
        <v>5493</v>
      </c>
      <c r="B5456" s="1" t="s">
        <v>24</v>
      </c>
      <c r="C5456" s="1">
        <v>1.0</v>
      </c>
      <c r="D5456" s="1" t="s">
        <v>25</v>
      </c>
      <c r="E5456" s="1" t="s">
        <v>26</v>
      </c>
      <c r="F5456" s="1">
        <v>1.0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1">
        <v>69.55</v>
      </c>
      <c r="T5456" s="1">
        <v>69.55</v>
      </c>
      <c r="U5456" s="1">
        <v>0.0</v>
      </c>
      <c r="V5456" s="1">
        <v>0.0</v>
      </c>
      <c r="W5456" s="1" t="s">
        <v>25</v>
      </c>
    </row>
    <row r="5457" ht="15.75" customHeight="1">
      <c r="A5457" s="1" t="s">
        <v>5494</v>
      </c>
      <c r="B5457" s="1" t="s">
        <v>24</v>
      </c>
      <c r="C5457" s="1">
        <v>0.0</v>
      </c>
      <c r="D5457" s="1" t="s">
        <v>26</v>
      </c>
      <c r="E5457" s="1" t="s">
        <v>26</v>
      </c>
      <c r="F5457" s="1">
        <v>6.0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1">
        <v>19.7</v>
      </c>
      <c r="T5457" s="1">
        <v>129.55</v>
      </c>
      <c r="U5457" s="1">
        <v>0.0</v>
      </c>
      <c r="V5457" s="1">
        <v>0.0</v>
      </c>
      <c r="W5457" s="1" t="s">
        <v>26</v>
      </c>
    </row>
    <row r="5458" ht="15.75" customHeight="1">
      <c r="A5458" s="1" t="s">
        <v>5495</v>
      </c>
      <c r="B5458" s="1" t="s">
        <v>24</v>
      </c>
      <c r="C5458" s="1">
        <v>0.0</v>
      </c>
      <c r="D5458" s="1" t="s">
        <v>26</v>
      </c>
      <c r="E5458" s="1" t="s">
        <v>26</v>
      </c>
      <c r="F5458" s="1">
        <v>13.0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1">
        <v>31.05</v>
      </c>
      <c r="T5458" s="1">
        <v>347.25</v>
      </c>
      <c r="U5458" s="1">
        <v>0.0</v>
      </c>
      <c r="V5458" s="1">
        <v>0.0</v>
      </c>
      <c r="W5458" s="1" t="s">
        <v>25</v>
      </c>
    </row>
    <row r="5459" ht="15.75" customHeight="1">
      <c r="A5459" s="1" t="s">
        <v>5496</v>
      </c>
      <c r="B5459" s="1" t="s">
        <v>24</v>
      </c>
      <c r="C5459" s="1">
        <v>0.0</v>
      </c>
      <c r="D5459" s="1" t="s">
        <v>25</v>
      </c>
      <c r="E5459" s="1" t="s">
        <v>25</v>
      </c>
      <c r="F5459" s="1">
        <v>11.0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1">
        <v>51.0</v>
      </c>
      <c r="T5459" s="1">
        <v>581.7</v>
      </c>
      <c r="U5459" s="1">
        <v>0.0</v>
      </c>
      <c r="V5459" s="1">
        <v>0.0</v>
      </c>
      <c r="W5459" s="1" t="s">
        <v>26</v>
      </c>
    </row>
    <row r="5460" ht="15.75" customHeight="1">
      <c r="A5460" s="1" t="s">
        <v>5497</v>
      </c>
      <c r="B5460" s="1" t="s">
        <v>32</v>
      </c>
      <c r="C5460" s="1">
        <v>0.0</v>
      </c>
      <c r="D5460" s="1" t="s">
        <v>26</v>
      </c>
      <c r="E5460" s="1" t="s">
        <v>26</v>
      </c>
      <c r="F5460" s="1">
        <v>7.0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1">
        <v>51.0</v>
      </c>
      <c r="T5460" s="1">
        <v>354.05</v>
      </c>
      <c r="U5460" s="1">
        <v>0.0</v>
      </c>
      <c r="V5460" s="1">
        <v>0.0</v>
      </c>
      <c r="W5460" s="1" t="s">
        <v>25</v>
      </c>
    </row>
    <row r="5461" ht="15.75" customHeight="1">
      <c r="A5461" s="1" t="s">
        <v>5498</v>
      </c>
      <c r="B5461" s="1" t="s">
        <v>24</v>
      </c>
      <c r="C5461" s="1">
        <v>0.0</v>
      </c>
      <c r="D5461" s="1" t="s">
        <v>25</v>
      </c>
      <c r="E5461" s="1" t="s">
        <v>25</v>
      </c>
      <c r="F5461" s="1">
        <v>10.0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1">
        <v>88.85</v>
      </c>
      <c r="T5461" s="1">
        <v>929.45</v>
      </c>
      <c r="U5461" s="1">
        <v>0.0</v>
      </c>
      <c r="V5461" s="1">
        <v>0.0</v>
      </c>
      <c r="W5461" s="1" t="s">
        <v>26</v>
      </c>
    </row>
    <row r="5462" ht="15.75" customHeight="1">
      <c r="A5462" s="1" t="s">
        <v>5499</v>
      </c>
      <c r="B5462" s="1" t="s">
        <v>32</v>
      </c>
      <c r="C5462" s="1">
        <v>0.0</v>
      </c>
      <c r="D5462" s="1" t="s">
        <v>25</v>
      </c>
      <c r="E5462" s="1" t="s">
        <v>26</v>
      </c>
      <c r="F5462" s="1">
        <v>34.0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1">
        <v>20.05</v>
      </c>
      <c r="T5462" s="1">
        <v>679.0</v>
      </c>
      <c r="U5462" s="1">
        <v>0.0</v>
      </c>
      <c r="V5462" s="1">
        <v>0.0</v>
      </c>
      <c r="W5462" s="1" t="s">
        <v>26</v>
      </c>
    </row>
    <row r="5463" ht="15.75" customHeight="1">
      <c r="A5463" s="1" t="s">
        <v>5500</v>
      </c>
      <c r="B5463" s="1" t="s">
        <v>24</v>
      </c>
      <c r="C5463" s="1">
        <v>0.0</v>
      </c>
      <c r="D5463" s="1" t="s">
        <v>26</v>
      </c>
      <c r="E5463" s="1" t="s">
        <v>26</v>
      </c>
      <c r="F5463" s="1">
        <v>62.0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1">
        <v>65.1</v>
      </c>
      <c r="T5463" s="1">
        <v>3846.75</v>
      </c>
      <c r="U5463" s="1">
        <v>0.0</v>
      </c>
      <c r="V5463" s="1">
        <v>0.0</v>
      </c>
      <c r="W5463" s="1" t="s">
        <v>26</v>
      </c>
    </row>
    <row r="5464" ht="15.75" customHeight="1">
      <c r="A5464" s="1" t="s">
        <v>5501</v>
      </c>
      <c r="B5464" s="1" t="s">
        <v>32</v>
      </c>
      <c r="C5464" s="1">
        <v>0.0</v>
      </c>
      <c r="D5464" s="1" t="s">
        <v>25</v>
      </c>
      <c r="E5464" s="1" t="s">
        <v>26</v>
      </c>
      <c r="F5464" s="1">
        <v>64.0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1">
        <v>70.15</v>
      </c>
      <c r="T5464" s="1">
        <v>4480.7</v>
      </c>
      <c r="U5464" s="1">
        <v>2.0</v>
      </c>
      <c r="V5464" s="1">
        <v>0.0</v>
      </c>
      <c r="W5464" s="1" t="s">
        <v>26</v>
      </c>
    </row>
    <row r="5465" ht="15.75" customHeight="1">
      <c r="A5465" s="1" t="s">
        <v>5502</v>
      </c>
      <c r="B5465" s="1" t="s">
        <v>24</v>
      </c>
      <c r="C5465" s="1">
        <v>0.0</v>
      </c>
      <c r="D5465" s="1" t="s">
        <v>25</v>
      </c>
      <c r="E5465" s="1" t="s">
        <v>25</v>
      </c>
      <c r="F5465" s="1">
        <v>1.0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1">
        <v>44.35</v>
      </c>
      <c r="T5465" s="1">
        <v>44.35</v>
      </c>
      <c r="U5465" s="1">
        <v>0.0</v>
      </c>
      <c r="V5465" s="1">
        <v>0.0</v>
      </c>
      <c r="W5465" s="1" t="s">
        <v>25</v>
      </c>
    </row>
    <row r="5466" ht="15.75" customHeight="1">
      <c r="A5466" s="1" t="s">
        <v>5503</v>
      </c>
      <c r="B5466" s="1" t="s">
        <v>32</v>
      </c>
      <c r="C5466" s="1">
        <v>0.0</v>
      </c>
      <c r="D5466" s="1" t="s">
        <v>26</v>
      </c>
      <c r="E5466" s="1" t="s">
        <v>26</v>
      </c>
      <c r="F5466" s="1">
        <v>25.0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1">
        <v>20.75</v>
      </c>
      <c r="T5466" s="1">
        <v>499.4</v>
      </c>
      <c r="U5466" s="1">
        <v>0.0</v>
      </c>
      <c r="V5466" s="1">
        <v>0.0</v>
      </c>
      <c r="W5466" s="1" t="s">
        <v>26</v>
      </c>
    </row>
    <row r="5467" ht="15.75" customHeight="1">
      <c r="A5467" s="1" t="s">
        <v>5504</v>
      </c>
      <c r="B5467" s="1" t="s">
        <v>24</v>
      </c>
      <c r="C5467" s="1">
        <v>0.0</v>
      </c>
      <c r="D5467" s="1" t="s">
        <v>26</v>
      </c>
      <c r="E5467" s="1" t="s">
        <v>26</v>
      </c>
      <c r="F5467" s="1">
        <v>26.0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1">
        <v>56.05</v>
      </c>
      <c r="T5467" s="1">
        <v>1553.2</v>
      </c>
      <c r="U5467" s="1">
        <v>0.0</v>
      </c>
      <c r="V5467" s="1">
        <v>0.0</v>
      </c>
      <c r="W5467" s="1" t="s">
        <v>26</v>
      </c>
    </row>
    <row r="5468" ht="15.75" customHeight="1">
      <c r="A5468" s="1" t="s">
        <v>5505</v>
      </c>
      <c r="B5468" s="1" t="s">
        <v>32</v>
      </c>
      <c r="C5468" s="1">
        <v>0.0</v>
      </c>
      <c r="D5468" s="1" t="s">
        <v>26</v>
      </c>
      <c r="E5468" s="1" t="s">
        <v>25</v>
      </c>
      <c r="F5468" s="1">
        <v>10.0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1">
        <v>19.95</v>
      </c>
      <c r="T5468" s="1">
        <v>219.5</v>
      </c>
      <c r="U5468" s="1">
        <v>0.0</v>
      </c>
      <c r="V5468" s="1">
        <v>0.0</v>
      </c>
      <c r="W5468" s="1" t="s">
        <v>26</v>
      </c>
    </row>
    <row r="5469" ht="15.75" customHeight="1">
      <c r="A5469" s="1" t="s">
        <v>5506</v>
      </c>
      <c r="B5469" s="1" t="s">
        <v>24</v>
      </c>
      <c r="C5469" s="1">
        <v>0.0</v>
      </c>
      <c r="D5469" s="1" t="s">
        <v>26</v>
      </c>
      <c r="E5469" s="1" t="s">
        <v>26</v>
      </c>
      <c r="F5469" s="1">
        <v>53.0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1">
        <v>98.6</v>
      </c>
      <c r="T5469" s="1">
        <v>5311.85</v>
      </c>
      <c r="U5469" s="1">
        <v>0.0</v>
      </c>
      <c r="V5469" s="1">
        <v>0.0</v>
      </c>
      <c r="W5469" s="1" t="s">
        <v>26</v>
      </c>
    </row>
    <row r="5470" ht="15.75" customHeight="1">
      <c r="A5470" s="1" t="s">
        <v>5507</v>
      </c>
      <c r="B5470" s="1" t="s">
        <v>24</v>
      </c>
      <c r="C5470" s="1">
        <v>0.0</v>
      </c>
      <c r="D5470" s="1" t="s">
        <v>26</v>
      </c>
      <c r="E5470" s="1" t="s">
        <v>26</v>
      </c>
      <c r="F5470" s="1">
        <v>7.0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1">
        <v>79.7</v>
      </c>
      <c r="T5470" s="1">
        <v>586.05</v>
      </c>
      <c r="U5470" s="1">
        <v>0.0</v>
      </c>
      <c r="V5470" s="1">
        <v>0.0</v>
      </c>
      <c r="W5470" s="1" t="s">
        <v>25</v>
      </c>
    </row>
    <row r="5471" ht="15.75" customHeight="1">
      <c r="A5471" s="1" t="s">
        <v>5508</v>
      </c>
      <c r="B5471" s="1" t="s">
        <v>32</v>
      </c>
      <c r="C5471" s="1">
        <v>0.0</v>
      </c>
      <c r="D5471" s="1" t="s">
        <v>26</v>
      </c>
      <c r="E5471" s="1" t="s">
        <v>26</v>
      </c>
      <c r="F5471" s="1">
        <v>33.0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1">
        <v>79.0</v>
      </c>
      <c r="T5471" s="1">
        <v>2576.8</v>
      </c>
      <c r="U5471" s="1">
        <v>0.0</v>
      </c>
      <c r="V5471" s="1">
        <v>0.0</v>
      </c>
      <c r="W5471" s="1" t="s">
        <v>26</v>
      </c>
    </row>
    <row r="5472" ht="15.75" customHeight="1">
      <c r="A5472" s="1" t="s">
        <v>5509</v>
      </c>
      <c r="B5472" s="1" t="s">
        <v>24</v>
      </c>
      <c r="C5472" s="1">
        <v>1.0</v>
      </c>
      <c r="D5472" s="1" t="s">
        <v>25</v>
      </c>
      <c r="E5472" s="1" t="s">
        <v>26</v>
      </c>
      <c r="F5472" s="1">
        <v>71.0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1">
        <v>89.45</v>
      </c>
      <c r="T5472" s="1">
        <v>6435.25</v>
      </c>
      <c r="U5472" s="1">
        <v>0.0</v>
      </c>
      <c r="V5472" s="1">
        <v>0.0</v>
      </c>
      <c r="W5472" s="1" t="s">
        <v>26</v>
      </c>
    </row>
    <row r="5473" ht="15.75" customHeight="1">
      <c r="A5473" s="1" t="s">
        <v>5510</v>
      </c>
      <c r="B5473" s="1" t="s">
        <v>24</v>
      </c>
      <c r="C5473" s="1">
        <v>0.0</v>
      </c>
      <c r="D5473" s="1" t="s">
        <v>26</v>
      </c>
      <c r="E5473" s="1" t="s">
        <v>26</v>
      </c>
      <c r="F5473" s="1">
        <v>29.0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1">
        <v>74.2</v>
      </c>
      <c r="T5473" s="1">
        <v>1993.25</v>
      </c>
      <c r="U5473" s="1">
        <v>0.0</v>
      </c>
      <c r="V5473" s="1">
        <v>0.0</v>
      </c>
      <c r="W5473" s="1" t="s">
        <v>26</v>
      </c>
    </row>
    <row r="5474" ht="15.75" customHeight="1">
      <c r="A5474" s="1" t="s">
        <v>5511</v>
      </c>
      <c r="B5474" s="1" t="s">
        <v>32</v>
      </c>
      <c r="C5474" s="1">
        <v>0.0</v>
      </c>
      <c r="D5474" s="1" t="s">
        <v>25</v>
      </c>
      <c r="E5474" s="1" t="s">
        <v>25</v>
      </c>
      <c r="F5474" s="1">
        <v>24.0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1">
        <v>81.0</v>
      </c>
      <c r="T5474" s="1">
        <v>1923.85</v>
      </c>
      <c r="U5474" s="1">
        <v>2.0</v>
      </c>
      <c r="V5474" s="1">
        <v>0.0</v>
      </c>
      <c r="W5474" s="1" t="s">
        <v>26</v>
      </c>
    </row>
    <row r="5475" ht="15.75" customHeight="1">
      <c r="A5475" s="1" t="s">
        <v>5512</v>
      </c>
      <c r="B5475" s="1" t="s">
        <v>32</v>
      </c>
      <c r="C5475" s="1">
        <v>0.0</v>
      </c>
      <c r="D5475" s="1" t="s">
        <v>25</v>
      </c>
      <c r="E5475" s="1" t="s">
        <v>25</v>
      </c>
      <c r="F5475" s="1">
        <v>20.0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1">
        <v>49.6</v>
      </c>
      <c r="T5475" s="1">
        <v>939.8</v>
      </c>
      <c r="U5475" s="1">
        <v>3.0</v>
      </c>
      <c r="V5475" s="1">
        <v>0.0</v>
      </c>
      <c r="W5475" s="1" t="s">
        <v>26</v>
      </c>
    </row>
    <row r="5476" ht="15.75" customHeight="1">
      <c r="A5476" s="1" t="s">
        <v>5513</v>
      </c>
      <c r="B5476" s="1" t="s">
        <v>24</v>
      </c>
      <c r="C5476" s="1">
        <v>0.0</v>
      </c>
      <c r="D5476" s="1" t="s">
        <v>26</v>
      </c>
      <c r="E5476" s="1" t="s">
        <v>26</v>
      </c>
      <c r="F5476" s="1">
        <v>1.0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1">
        <v>84.6</v>
      </c>
      <c r="T5476" s="1">
        <v>84.6</v>
      </c>
      <c r="U5476" s="1">
        <v>0.0</v>
      </c>
      <c r="V5476" s="1">
        <v>0.0</v>
      </c>
      <c r="W5476" s="1" t="s">
        <v>26</v>
      </c>
    </row>
    <row r="5477" ht="15.75" customHeight="1">
      <c r="A5477" s="1" t="s">
        <v>5514</v>
      </c>
      <c r="B5477" s="1" t="s">
        <v>32</v>
      </c>
      <c r="C5477" s="1">
        <v>0.0</v>
      </c>
      <c r="D5477" s="1" t="s">
        <v>26</v>
      </c>
      <c r="E5477" s="1" t="s">
        <v>25</v>
      </c>
      <c r="F5477" s="1">
        <v>54.0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1">
        <v>55.0</v>
      </c>
      <c r="T5477" s="1">
        <v>3092.65</v>
      </c>
      <c r="U5477" s="1">
        <v>0.0</v>
      </c>
      <c r="V5477" s="1">
        <v>5.0</v>
      </c>
      <c r="W5477" s="1" t="s">
        <v>25</v>
      </c>
    </row>
    <row r="5478" ht="15.75" customHeight="1">
      <c r="A5478" s="1" t="s">
        <v>5515</v>
      </c>
      <c r="B5478" s="1" t="s">
        <v>24</v>
      </c>
      <c r="C5478" s="1">
        <v>1.0</v>
      </c>
      <c r="D5478" s="1" t="s">
        <v>26</v>
      </c>
      <c r="E5478" s="1" t="s">
        <v>26</v>
      </c>
      <c r="F5478" s="1">
        <v>5.0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1">
        <v>84.85</v>
      </c>
      <c r="T5478" s="1">
        <v>415.55</v>
      </c>
      <c r="U5478" s="1">
        <v>0.0</v>
      </c>
      <c r="V5478" s="1">
        <v>0.0</v>
      </c>
      <c r="W5478" s="1" t="s">
        <v>25</v>
      </c>
    </row>
    <row r="5479" ht="15.75" customHeight="1">
      <c r="A5479" s="1" t="s">
        <v>5516</v>
      </c>
      <c r="B5479" s="1" t="s">
        <v>24</v>
      </c>
      <c r="C5479" s="1">
        <v>0.0</v>
      </c>
      <c r="D5479" s="1" t="s">
        <v>25</v>
      </c>
      <c r="E5479" s="1" t="s">
        <v>25</v>
      </c>
      <c r="F5479" s="1">
        <v>72.0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1">
        <v>84.2</v>
      </c>
      <c r="T5479" s="1">
        <v>5986.55</v>
      </c>
      <c r="U5479" s="1">
        <v>2.0</v>
      </c>
      <c r="V5479" s="1">
        <v>0.0</v>
      </c>
      <c r="W5479" s="1" t="s">
        <v>26</v>
      </c>
    </row>
    <row r="5480" ht="15.75" customHeight="1">
      <c r="A5480" s="1" t="s">
        <v>5517</v>
      </c>
      <c r="B5480" s="1" t="s">
        <v>32</v>
      </c>
      <c r="C5480" s="1">
        <v>0.0</v>
      </c>
      <c r="D5480" s="1" t="s">
        <v>25</v>
      </c>
      <c r="E5480" s="1" t="s">
        <v>26</v>
      </c>
      <c r="F5480" s="1">
        <v>52.0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1">
        <v>106.3</v>
      </c>
      <c r="T5480" s="1">
        <v>5487.0</v>
      </c>
      <c r="U5480" s="1">
        <v>4.0</v>
      </c>
      <c r="V5480" s="1">
        <v>5.0</v>
      </c>
      <c r="W5480" s="1" t="s">
        <v>26</v>
      </c>
    </row>
    <row r="5481" ht="15.75" customHeight="1">
      <c r="A5481" s="1" t="s">
        <v>5518</v>
      </c>
      <c r="B5481" s="1" t="s">
        <v>24</v>
      </c>
      <c r="C5481" s="1">
        <v>0.0</v>
      </c>
      <c r="D5481" s="1" t="s">
        <v>26</v>
      </c>
      <c r="E5481" s="1" t="s">
        <v>26</v>
      </c>
      <c r="F5481" s="1">
        <v>9.0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1">
        <v>69.05</v>
      </c>
      <c r="T5481" s="1">
        <v>651.5</v>
      </c>
      <c r="U5481" s="1">
        <v>0.0</v>
      </c>
      <c r="V5481" s="1">
        <v>0.0</v>
      </c>
      <c r="W5481" s="1" t="s">
        <v>26</v>
      </c>
    </row>
    <row r="5482" ht="15.75" customHeight="1">
      <c r="A5482" s="1" t="s">
        <v>5519</v>
      </c>
      <c r="B5482" s="1" t="s">
        <v>24</v>
      </c>
      <c r="C5482" s="1">
        <v>0.0</v>
      </c>
      <c r="D5482" s="1" t="s">
        <v>26</v>
      </c>
      <c r="E5482" s="1" t="s">
        <v>26</v>
      </c>
      <c r="F5482" s="1">
        <v>1.0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1">
        <v>45.4</v>
      </c>
      <c r="T5482" s="1">
        <v>45.4</v>
      </c>
      <c r="U5482" s="1">
        <v>0.0</v>
      </c>
      <c r="V5482" s="1">
        <v>0.0</v>
      </c>
      <c r="W5482" s="1" t="s">
        <v>26</v>
      </c>
    </row>
    <row r="5483" ht="15.75" customHeight="1">
      <c r="A5483" s="1" t="s">
        <v>5520</v>
      </c>
      <c r="B5483" s="1" t="s">
        <v>32</v>
      </c>
      <c r="C5483" s="1">
        <v>1.0</v>
      </c>
      <c r="D5483" s="1" t="s">
        <v>26</v>
      </c>
      <c r="E5483" s="1" t="s">
        <v>26</v>
      </c>
      <c r="F5483" s="1">
        <v>1.0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1">
        <v>73.65</v>
      </c>
      <c r="T5483" s="1">
        <v>73.65</v>
      </c>
      <c r="U5483" s="1">
        <v>0.0</v>
      </c>
      <c r="V5483" s="1">
        <v>0.0</v>
      </c>
      <c r="W5483" s="1" t="s">
        <v>25</v>
      </c>
    </row>
    <row r="5484" ht="15.75" customHeight="1">
      <c r="A5484" s="1" t="s">
        <v>5521</v>
      </c>
      <c r="B5484" s="1" t="s">
        <v>32</v>
      </c>
      <c r="C5484" s="1">
        <v>0.0</v>
      </c>
      <c r="D5484" s="1" t="s">
        <v>25</v>
      </c>
      <c r="E5484" s="1" t="s">
        <v>25</v>
      </c>
      <c r="F5484" s="1">
        <v>33.0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1">
        <v>73.9</v>
      </c>
      <c r="T5484" s="1">
        <v>2405.05</v>
      </c>
      <c r="U5484" s="1">
        <v>0.0</v>
      </c>
      <c r="V5484" s="1">
        <v>5.0</v>
      </c>
      <c r="W5484" s="1" t="s">
        <v>25</v>
      </c>
    </row>
    <row r="5485" ht="15.75" customHeight="1">
      <c r="A5485" s="1" t="s">
        <v>5522</v>
      </c>
      <c r="B5485" s="1" t="s">
        <v>24</v>
      </c>
      <c r="C5485" s="1">
        <v>0.0</v>
      </c>
      <c r="D5485" s="1" t="s">
        <v>25</v>
      </c>
      <c r="E5485" s="1" t="s">
        <v>26</v>
      </c>
      <c r="F5485" s="1">
        <v>55.0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1">
        <v>77.75</v>
      </c>
      <c r="T5485" s="1">
        <v>4458.15</v>
      </c>
      <c r="U5485" s="1">
        <v>0.0</v>
      </c>
      <c r="V5485" s="1">
        <v>0.0</v>
      </c>
      <c r="W5485" s="1" t="s">
        <v>25</v>
      </c>
    </row>
    <row r="5486" ht="15.75" customHeight="1">
      <c r="A5486" s="1" t="s">
        <v>5523</v>
      </c>
      <c r="B5486" s="1" t="s">
        <v>32</v>
      </c>
      <c r="C5486" s="1">
        <v>0.0</v>
      </c>
      <c r="D5486" s="1" t="s">
        <v>25</v>
      </c>
      <c r="E5486" s="1" t="s">
        <v>25</v>
      </c>
      <c r="F5486" s="1">
        <v>69.0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1">
        <v>99.35</v>
      </c>
      <c r="T5486" s="1">
        <v>6856.45</v>
      </c>
      <c r="U5486" s="1">
        <v>1.0</v>
      </c>
      <c r="V5486" s="1">
        <v>0.0</v>
      </c>
      <c r="W5486" s="1" t="s">
        <v>26</v>
      </c>
    </row>
    <row r="5487" ht="15.75" customHeight="1">
      <c r="A5487" s="1" t="s">
        <v>5524</v>
      </c>
      <c r="B5487" s="1" t="s">
        <v>32</v>
      </c>
      <c r="C5487" s="1">
        <v>0.0</v>
      </c>
      <c r="D5487" s="1" t="s">
        <v>26</v>
      </c>
      <c r="E5487" s="1" t="s">
        <v>26</v>
      </c>
      <c r="F5487" s="1">
        <v>1.0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1">
        <v>50.75</v>
      </c>
      <c r="T5487" s="1">
        <v>50.75</v>
      </c>
      <c r="U5487" s="1">
        <v>0.0</v>
      </c>
      <c r="V5487" s="1">
        <v>0.0</v>
      </c>
      <c r="W5487" s="1" t="s">
        <v>26</v>
      </c>
    </row>
    <row r="5488" ht="15.75" customHeight="1">
      <c r="A5488" s="1" t="s">
        <v>5525</v>
      </c>
      <c r="B5488" s="1" t="s">
        <v>32</v>
      </c>
      <c r="C5488" s="1">
        <v>0.0</v>
      </c>
      <c r="D5488" s="1" t="s">
        <v>26</v>
      </c>
      <c r="E5488" s="1" t="s">
        <v>26</v>
      </c>
      <c r="F5488" s="1">
        <v>54.0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1">
        <v>87.1</v>
      </c>
      <c r="T5488" s="1">
        <v>4735.2</v>
      </c>
      <c r="U5488" s="1">
        <v>3.0</v>
      </c>
      <c r="V5488" s="1">
        <v>0.0</v>
      </c>
      <c r="W5488" s="1" t="s">
        <v>26</v>
      </c>
    </row>
    <row r="5489" ht="15.75" customHeight="1">
      <c r="A5489" s="1" t="s">
        <v>5526</v>
      </c>
      <c r="B5489" s="1" t="s">
        <v>32</v>
      </c>
      <c r="C5489" s="1">
        <v>0.0</v>
      </c>
      <c r="D5489" s="1" t="s">
        <v>26</v>
      </c>
      <c r="E5489" s="1" t="s">
        <v>25</v>
      </c>
      <c r="F5489" s="1">
        <v>33.0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1">
        <v>20.15</v>
      </c>
      <c r="T5489" s="1">
        <v>682.15</v>
      </c>
      <c r="U5489" s="1">
        <v>0.0</v>
      </c>
      <c r="V5489" s="1">
        <v>0.0</v>
      </c>
      <c r="W5489" s="1" t="s">
        <v>26</v>
      </c>
    </row>
    <row r="5490" ht="15.75" customHeight="1">
      <c r="A5490" s="1" t="s">
        <v>5527</v>
      </c>
      <c r="B5490" s="1" t="s">
        <v>32</v>
      </c>
      <c r="C5490" s="1">
        <v>1.0</v>
      </c>
      <c r="D5490" s="1" t="s">
        <v>25</v>
      </c>
      <c r="E5490" s="1" t="s">
        <v>26</v>
      </c>
      <c r="F5490" s="1">
        <v>45.0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1">
        <v>98.7</v>
      </c>
      <c r="T5490" s="1">
        <v>4525.8</v>
      </c>
      <c r="U5490" s="1">
        <v>0.0</v>
      </c>
      <c r="V5490" s="1">
        <v>0.0</v>
      </c>
      <c r="W5490" s="1" t="s">
        <v>26</v>
      </c>
    </row>
    <row r="5491" ht="15.75" customHeight="1">
      <c r="A5491" s="1" t="s">
        <v>5528</v>
      </c>
      <c r="B5491" s="1" t="s">
        <v>24</v>
      </c>
      <c r="C5491" s="1">
        <v>0.0</v>
      </c>
      <c r="D5491" s="1" t="s">
        <v>26</v>
      </c>
      <c r="E5491" s="1" t="s">
        <v>25</v>
      </c>
      <c r="F5491" s="1">
        <v>11.0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1">
        <v>25.2</v>
      </c>
      <c r="T5491" s="1">
        <v>321.05</v>
      </c>
      <c r="U5491" s="1">
        <v>0.0</v>
      </c>
      <c r="V5491" s="1">
        <v>0.0</v>
      </c>
      <c r="W5491" s="1" t="s">
        <v>26</v>
      </c>
    </row>
    <row r="5492" ht="15.75" customHeight="1">
      <c r="A5492" s="1" t="s">
        <v>5529</v>
      </c>
      <c r="B5492" s="1" t="s">
        <v>32</v>
      </c>
      <c r="C5492" s="1">
        <v>0.0</v>
      </c>
      <c r="D5492" s="1" t="s">
        <v>26</v>
      </c>
      <c r="E5492" s="1" t="s">
        <v>26</v>
      </c>
      <c r="F5492" s="1">
        <v>6.0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1">
        <v>55.7</v>
      </c>
      <c r="T5492" s="1">
        <v>335.65</v>
      </c>
      <c r="U5492" s="1">
        <v>0.0</v>
      </c>
      <c r="V5492" s="1">
        <v>0.0</v>
      </c>
      <c r="W5492" s="1" t="s">
        <v>26</v>
      </c>
    </row>
    <row r="5493" ht="15.75" customHeight="1">
      <c r="A5493" s="1" t="s">
        <v>5530</v>
      </c>
      <c r="B5493" s="1" t="s">
        <v>32</v>
      </c>
      <c r="C5493" s="1">
        <v>0.0</v>
      </c>
      <c r="D5493" s="1" t="s">
        <v>26</v>
      </c>
      <c r="E5493" s="1" t="s">
        <v>26</v>
      </c>
      <c r="F5493" s="1">
        <v>21.0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1">
        <v>65.35</v>
      </c>
      <c r="T5493" s="1">
        <v>1424.4</v>
      </c>
      <c r="U5493" s="1">
        <v>0.0</v>
      </c>
      <c r="V5493" s="1">
        <v>0.0</v>
      </c>
      <c r="W5493" s="1" t="s">
        <v>26</v>
      </c>
    </row>
    <row r="5494" ht="15.75" customHeight="1">
      <c r="A5494" s="1" t="s">
        <v>5531</v>
      </c>
      <c r="B5494" s="1" t="s">
        <v>24</v>
      </c>
      <c r="C5494" s="1">
        <v>0.0</v>
      </c>
      <c r="D5494" s="1" t="s">
        <v>25</v>
      </c>
      <c r="E5494" s="1" t="s">
        <v>25</v>
      </c>
      <c r="F5494" s="1">
        <v>65.0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1">
        <v>25.3</v>
      </c>
      <c r="T5494" s="1">
        <v>1748.55</v>
      </c>
      <c r="U5494" s="1">
        <v>1.0</v>
      </c>
      <c r="V5494" s="1">
        <v>0.0</v>
      </c>
      <c r="W5494" s="1" t="s">
        <v>26</v>
      </c>
    </row>
    <row r="5495" ht="15.75" customHeight="1">
      <c r="A5495" s="1" t="s">
        <v>5532</v>
      </c>
      <c r="B5495" s="1" t="s">
        <v>24</v>
      </c>
      <c r="C5495" s="1">
        <v>1.0</v>
      </c>
      <c r="D5495" s="1" t="s">
        <v>25</v>
      </c>
      <c r="E5495" s="1" t="s">
        <v>26</v>
      </c>
      <c r="F5495" s="1">
        <v>6.0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1">
        <v>84.35</v>
      </c>
      <c r="T5495" s="1">
        <v>474.9</v>
      </c>
      <c r="U5495" s="1">
        <v>0.0</v>
      </c>
      <c r="V5495" s="1">
        <v>0.0</v>
      </c>
      <c r="W5495" s="1" t="s">
        <v>25</v>
      </c>
    </row>
    <row r="5496" ht="15.75" customHeight="1">
      <c r="A5496" s="1" t="s">
        <v>5533</v>
      </c>
      <c r="B5496" s="1" t="s">
        <v>24</v>
      </c>
      <c r="C5496" s="1">
        <v>0.0</v>
      </c>
      <c r="D5496" s="1" t="s">
        <v>26</v>
      </c>
      <c r="E5496" s="1" t="s">
        <v>26</v>
      </c>
      <c r="F5496" s="1">
        <v>8.0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1">
        <v>84.95</v>
      </c>
      <c r="T5496" s="1">
        <v>668.4</v>
      </c>
      <c r="U5496" s="1">
        <v>0.0</v>
      </c>
      <c r="V5496" s="1">
        <v>0.0</v>
      </c>
      <c r="W5496" s="1" t="s">
        <v>25</v>
      </c>
    </row>
    <row r="5497" ht="15.75" customHeight="1">
      <c r="A5497" s="1" t="s">
        <v>5534</v>
      </c>
      <c r="B5497" s="1" t="s">
        <v>32</v>
      </c>
      <c r="C5497" s="1">
        <v>0.0</v>
      </c>
      <c r="D5497" s="1" t="s">
        <v>26</v>
      </c>
      <c r="E5497" s="1" t="s">
        <v>26</v>
      </c>
      <c r="F5497" s="1">
        <v>11.0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1">
        <v>73.85</v>
      </c>
      <c r="T5497" s="1">
        <v>926.25</v>
      </c>
      <c r="U5497" s="1">
        <v>0.0</v>
      </c>
      <c r="V5497" s="1">
        <v>0.0</v>
      </c>
      <c r="W5497" s="1" t="s">
        <v>25</v>
      </c>
    </row>
    <row r="5498" ht="15.75" customHeight="1">
      <c r="A5498" s="1" t="s">
        <v>5535</v>
      </c>
      <c r="B5498" s="1" t="s">
        <v>32</v>
      </c>
      <c r="C5498" s="1">
        <v>0.0</v>
      </c>
      <c r="D5498" s="1" t="s">
        <v>25</v>
      </c>
      <c r="E5498" s="1" t="s">
        <v>25</v>
      </c>
      <c r="F5498" s="1">
        <v>43.0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1">
        <v>24.25</v>
      </c>
      <c r="T5498" s="1">
        <v>1077.95</v>
      </c>
      <c r="U5498" s="1">
        <v>0.0</v>
      </c>
      <c r="V5498" s="1">
        <v>0.0</v>
      </c>
      <c r="W5498" s="1" t="s">
        <v>26</v>
      </c>
    </row>
    <row r="5499" ht="15.75" customHeight="1">
      <c r="A5499" s="1" t="s">
        <v>5536</v>
      </c>
      <c r="B5499" s="1" t="s">
        <v>32</v>
      </c>
      <c r="C5499" s="1">
        <v>0.0</v>
      </c>
      <c r="D5499" s="1" t="s">
        <v>25</v>
      </c>
      <c r="E5499" s="1" t="s">
        <v>25</v>
      </c>
      <c r="F5499" s="1">
        <v>49.0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1">
        <v>51.8</v>
      </c>
      <c r="T5499" s="1">
        <v>2541.25</v>
      </c>
      <c r="U5499" s="1">
        <v>0.0</v>
      </c>
      <c r="V5499" s="1">
        <v>6.0</v>
      </c>
      <c r="W5499" s="1" t="s">
        <v>25</v>
      </c>
    </row>
    <row r="5500" ht="15.75" customHeight="1">
      <c r="A5500" s="1" t="s">
        <v>5537</v>
      </c>
      <c r="B5500" s="1" t="s">
        <v>24</v>
      </c>
      <c r="C5500" s="1">
        <v>1.0</v>
      </c>
      <c r="D5500" s="1" t="s">
        <v>25</v>
      </c>
      <c r="E5500" s="1" t="s">
        <v>26</v>
      </c>
      <c r="F5500" s="1">
        <v>1.0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1">
        <v>46.0</v>
      </c>
      <c r="T5500" s="1">
        <v>46.0</v>
      </c>
      <c r="U5500" s="1">
        <v>5.0</v>
      </c>
      <c r="V5500" s="1">
        <v>0.0</v>
      </c>
      <c r="W5500" s="1" t="s">
        <v>25</v>
      </c>
    </row>
    <row r="5501" ht="15.75" customHeight="1">
      <c r="A5501" s="1" t="s">
        <v>5538</v>
      </c>
      <c r="B5501" s="1" t="s">
        <v>32</v>
      </c>
      <c r="C5501" s="1">
        <v>1.0</v>
      </c>
      <c r="D5501" s="1" t="s">
        <v>26</v>
      </c>
      <c r="E5501" s="1" t="s">
        <v>26</v>
      </c>
      <c r="F5501" s="1">
        <v>15.0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1">
        <v>79.4</v>
      </c>
      <c r="T5501" s="1">
        <v>1156.1</v>
      </c>
      <c r="U5501" s="1">
        <v>0.0</v>
      </c>
      <c r="V5501" s="1">
        <v>0.0</v>
      </c>
      <c r="W5501" s="1" t="s">
        <v>25</v>
      </c>
    </row>
    <row r="5502" ht="15.75" customHeight="1">
      <c r="A5502" s="1" t="s">
        <v>5539</v>
      </c>
      <c r="B5502" s="1" t="s">
        <v>32</v>
      </c>
      <c r="C5502" s="1">
        <v>0.0</v>
      </c>
      <c r="D5502" s="1" t="s">
        <v>25</v>
      </c>
      <c r="E5502" s="1" t="s">
        <v>25</v>
      </c>
      <c r="F5502" s="1">
        <v>60.0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1">
        <v>60.5</v>
      </c>
      <c r="T5502" s="1">
        <v>3694.45</v>
      </c>
      <c r="U5502" s="1">
        <v>0.0</v>
      </c>
      <c r="V5502" s="1">
        <v>0.0</v>
      </c>
      <c r="W5502" s="1" t="s">
        <v>26</v>
      </c>
    </row>
    <row r="5503" ht="15.75" customHeight="1">
      <c r="A5503" s="1" t="s">
        <v>5540</v>
      </c>
      <c r="B5503" s="1" t="s">
        <v>32</v>
      </c>
      <c r="C5503" s="1">
        <v>0.0</v>
      </c>
      <c r="D5503" s="1" t="s">
        <v>26</v>
      </c>
      <c r="E5503" s="1" t="s">
        <v>26</v>
      </c>
      <c r="F5503" s="1">
        <v>17.0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1">
        <v>25.1</v>
      </c>
      <c r="T5503" s="1">
        <v>382.8</v>
      </c>
      <c r="U5503" s="1">
        <v>0.0</v>
      </c>
      <c r="V5503" s="1">
        <v>0.0</v>
      </c>
      <c r="W5503" s="1" t="s">
        <v>26</v>
      </c>
    </row>
    <row r="5504" ht="15.75" customHeight="1">
      <c r="A5504" s="1" t="s">
        <v>5541</v>
      </c>
      <c r="B5504" s="1" t="s">
        <v>32</v>
      </c>
      <c r="C5504" s="1">
        <v>1.0</v>
      </c>
      <c r="D5504" s="1" t="s">
        <v>25</v>
      </c>
      <c r="E5504" s="1" t="s">
        <v>26</v>
      </c>
      <c r="F5504" s="1">
        <v>16.0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1">
        <v>71.8</v>
      </c>
      <c r="T5504" s="1">
        <v>1167.8</v>
      </c>
      <c r="U5504" s="1">
        <v>0.0</v>
      </c>
      <c r="V5504" s="1">
        <v>0.0</v>
      </c>
      <c r="W5504" s="1" t="s">
        <v>25</v>
      </c>
    </row>
    <row r="5505" ht="15.75" customHeight="1">
      <c r="A5505" s="1" t="s">
        <v>5542</v>
      </c>
      <c r="B5505" s="1" t="s">
        <v>32</v>
      </c>
      <c r="C5505" s="1">
        <v>0.0</v>
      </c>
      <c r="D5505" s="1" t="s">
        <v>25</v>
      </c>
      <c r="E5505" s="1" t="s">
        <v>25</v>
      </c>
      <c r="F5505" s="1">
        <v>35.0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1">
        <v>20.05</v>
      </c>
      <c r="T5505" s="1">
        <v>746.75</v>
      </c>
      <c r="U5505" s="1">
        <v>0.0</v>
      </c>
      <c r="V5505" s="1">
        <v>0.0</v>
      </c>
      <c r="W5505" s="1" t="s">
        <v>26</v>
      </c>
    </row>
    <row r="5506" ht="15.75" customHeight="1">
      <c r="A5506" s="1" t="s">
        <v>5543</v>
      </c>
      <c r="B5506" s="1" t="s">
        <v>32</v>
      </c>
      <c r="C5506" s="1">
        <v>1.0</v>
      </c>
      <c r="D5506" s="1" t="s">
        <v>25</v>
      </c>
      <c r="E5506" s="1" t="s">
        <v>26</v>
      </c>
      <c r="F5506" s="1">
        <v>44.0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1">
        <v>88.4</v>
      </c>
      <c r="T5506" s="1">
        <v>3912.9</v>
      </c>
      <c r="U5506" s="1">
        <v>0.0</v>
      </c>
      <c r="V5506" s="1">
        <v>4.0</v>
      </c>
      <c r="W5506" s="1" t="s">
        <v>25</v>
      </c>
    </row>
    <row r="5507" ht="15.75" customHeight="1">
      <c r="A5507" s="1" t="s">
        <v>5544</v>
      </c>
      <c r="B5507" s="1" t="s">
        <v>24</v>
      </c>
      <c r="C5507" s="1">
        <v>0.0</v>
      </c>
      <c r="D5507" s="1" t="s">
        <v>25</v>
      </c>
      <c r="E5507" s="1" t="s">
        <v>25</v>
      </c>
      <c r="F5507" s="1">
        <v>12.0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1">
        <v>30.25</v>
      </c>
      <c r="T5507" s="1">
        <v>368.85</v>
      </c>
      <c r="U5507" s="1">
        <v>0.0</v>
      </c>
      <c r="V5507" s="1">
        <v>0.0</v>
      </c>
      <c r="W5507" s="1" t="s">
        <v>26</v>
      </c>
    </row>
    <row r="5508" ht="15.75" customHeight="1">
      <c r="A5508" s="1" t="s">
        <v>5545</v>
      </c>
      <c r="B5508" s="1" t="s">
        <v>32</v>
      </c>
      <c r="C5508" s="1">
        <v>0.0</v>
      </c>
      <c r="D5508" s="1" t="s">
        <v>26</v>
      </c>
      <c r="E5508" s="1" t="s">
        <v>26</v>
      </c>
      <c r="F5508" s="1">
        <v>1.0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1">
        <v>20.2</v>
      </c>
      <c r="T5508" s="1">
        <v>20.2</v>
      </c>
      <c r="U5508" s="1">
        <v>0.0</v>
      </c>
      <c r="V5508" s="1">
        <v>0.0</v>
      </c>
      <c r="W5508" s="1" t="s">
        <v>26</v>
      </c>
    </row>
    <row r="5509" ht="15.75" customHeight="1">
      <c r="A5509" s="1" t="s">
        <v>5546</v>
      </c>
      <c r="B5509" s="1" t="s">
        <v>24</v>
      </c>
      <c r="C5509" s="1">
        <v>0.0</v>
      </c>
      <c r="D5509" s="1" t="s">
        <v>26</v>
      </c>
      <c r="E5509" s="1" t="s">
        <v>26</v>
      </c>
      <c r="F5509" s="1">
        <v>28.0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1">
        <v>59.9</v>
      </c>
      <c r="T5509" s="1">
        <v>1654.7</v>
      </c>
      <c r="U5509" s="1">
        <v>0.0</v>
      </c>
      <c r="V5509" s="1">
        <v>0.0</v>
      </c>
      <c r="W5509" s="1" t="s">
        <v>26</v>
      </c>
    </row>
    <row r="5510" ht="15.75" customHeight="1">
      <c r="A5510" s="1" t="s">
        <v>5547</v>
      </c>
      <c r="B5510" s="1" t="s">
        <v>32</v>
      </c>
      <c r="C5510" s="1">
        <v>0.0</v>
      </c>
      <c r="D5510" s="1" t="s">
        <v>25</v>
      </c>
      <c r="E5510" s="1" t="s">
        <v>26</v>
      </c>
      <c r="F5510" s="1">
        <v>70.0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1">
        <v>25.15</v>
      </c>
      <c r="T5510" s="1">
        <v>1940.85</v>
      </c>
      <c r="U5510" s="1">
        <v>0.0</v>
      </c>
      <c r="V5510" s="1">
        <v>0.0</v>
      </c>
      <c r="W5510" s="1" t="s">
        <v>26</v>
      </c>
    </row>
    <row r="5511" ht="15.75" customHeight="1">
      <c r="A5511" s="1" t="s">
        <v>5548</v>
      </c>
      <c r="B5511" s="1" t="s">
        <v>24</v>
      </c>
      <c r="C5511" s="1">
        <v>0.0</v>
      </c>
      <c r="D5511" s="1" t="s">
        <v>26</v>
      </c>
      <c r="E5511" s="1" t="s">
        <v>25</v>
      </c>
      <c r="F5511" s="1">
        <v>5.0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1">
        <v>46.0</v>
      </c>
      <c r="T5511" s="1">
        <v>221.7</v>
      </c>
      <c r="U5511" s="1">
        <v>0.0</v>
      </c>
      <c r="V5511" s="1">
        <v>0.0</v>
      </c>
      <c r="W5511" s="1" t="s">
        <v>25</v>
      </c>
    </row>
    <row r="5512" ht="15.75" customHeight="1">
      <c r="A5512" s="1" t="s">
        <v>5549</v>
      </c>
      <c r="B5512" s="1" t="s">
        <v>32</v>
      </c>
      <c r="C5512" s="1">
        <v>0.0</v>
      </c>
      <c r="D5512" s="1" t="s">
        <v>26</v>
      </c>
      <c r="E5512" s="1" t="s">
        <v>26</v>
      </c>
      <c r="F5512" s="1">
        <v>18.0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1">
        <v>101.3</v>
      </c>
      <c r="T5512" s="1">
        <v>1794.65</v>
      </c>
      <c r="U5512" s="1">
        <v>0.0</v>
      </c>
      <c r="V5512" s="1">
        <v>0.0</v>
      </c>
      <c r="W5512" s="1" t="s">
        <v>26</v>
      </c>
    </row>
    <row r="5513" ht="15.75" customHeight="1">
      <c r="A5513" s="1" t="s">
        <v>5550</v>
      </c>
      <c r="B5513" s="1" t="s">
        <v>32</v>
      </c>
      <c r="C5513" s="1">
        <v>0.0</v>
      </c>
      <c r="D5513" s="1" t="s">
        <v>25</v>
      </c>
      <c r="E5513" s="1" t="s">
        <v>26</v>
      </c>
      <c r="F5513" s="1">
        <v>70.0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1">
        <v>76.95</v>
      </c>
      <c r="T5513" s="1">
        <v>5289.8</v>
      </c>
      <c r="U5513" s="1">
        <v>0.0</v>
      </c>
      <c r="V5513" s="1">
        <v>0.0</v>
      </c>
      <c r="W5513" s="1" t="s">
        <v>26</v>
      </c>
    </row>
    <row r="5514" ht="15.75" customHeight="1">
      <c r="A5514" s="1" t="s">
        <v>5551</v>
      </c>
      <c r="B5514" s="1" t="s">
        <v>24</v>
      </c>
      <c r="C5514" s="1">
        <v>0.0</v>
      </c>
      <c r="D5514" s="1" t="s">
        <v>25</v>
      </c>
      <c r="E5514" s="1" t="s">
        <v>25</v>
      </c>
      <c r="F5514" s="1">
        <v>9.0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1">
        <v>55.3</v>
      </c>
      <c r="T5514" s="1">
        <v>501.2</v>
      </c>
      <c r="U5514" s="1">
        <v>0.0</v>
      </c>
      <c r="V5514" s="1">
        <v>0.0</v>
      </c>
      <c r="W5514" s="1" t="s">
        <v>26</v>
      </c>
    </row>
    <row r="5515" ht="15.75" customHeight="1">
      <c r="A5515" s="1" t="s">
        <v>5552</v>
      </c>
      <c r="B5515" s="1" t="s">
        <v>24</v>
      </c>
      <c r="C5515" s="1">
        <v>1.0</v>
      </c>
      <c r="D5515" s="1" t="s">
        <v>26</v>
      </c>
      <c r="E5515" s="1" t="s">
        <v>26</v>
      </c>
      <c r="F5515" s="1">
        <v>67.0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1">
        <v>92.45</v>
      </c>
      <c r="T5515" s="1">
        <v>6140.85</v>
      </c>
      <c r="U5515" s="1">
        <v>0.0</v>
      </c>
      <c r="V5515" s="1">
        <v>0.0</v>
      </c>
      <c r="W5515" s="1" t="s">
        <v>26</v>
      </c>
    </row>
    <row r="5516" ht="15.75" customHeight="1">
      <c r="A5516" s="1" t="s">
        <v>5553</v>
      </c>
      <c r="B5516" s="1" t="s">
        <v>24</v>
      </c>
      <c r="C5516" s="1">
        <v>0.0</v>
      </c>
      <c r="D5516" s="1" t="s">
        <v>26</v>
      </c>
      <c r="E5516" s="1" t="s">
        <v>26</v>
      </c>
      <c r="F5516" s="1">
        <v>1.0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1">
        <v>48.45</v>
      </c>
      <c r="T5516" s="1">
        <v>48.45</v>
      </c>
      <c r="U5516" s="1">
        <v>0.0</v>
      </c>
      <c r="V5516" s="1">
        <v>0.0</v>
      </c>
      <c r="W5516" s="1" t="s">
        <v>26</v>
      </c>
    </row>
    <row r="5517" ht="15.75" customHeight="1">
      <c r="A5517" s="1" t="s">
        <v>5554</v>
      </c>
      <c r="B5517" s="1" t="s">
        <v>24</v>
      </c>
      <c r="C5517" s="1">
        <v>0.0</v>
      </c>
      <c r="D5517" s="1" t="s">
        <v>25</v>
      </c>
      <c r="E5517" s="1" t="s">
        <v>25</v>
      </c>
      <c r="F5517" s="1">
        <v>18.0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1">
        <v>19.35</v>
      </c>
      <c r="T5517" s="1">
        <v>309.25</v>
      </c>
      <c r="U5517" s="1">
        <v>0.0</v>
      </c>
      <c r="V5517" s="1">
        <v>0.0</v>
      </c>
      <c r="W5517" s="1" t="s">
        <v>26</v>
      </c>
    </row>
    <row r="5518" ht="15.75" customHeight="1">
      <c r="A5518" s="1" t="s">
        <v>5555</v>
      </c>
      <c r="B5518" s="1" t="s">
        <v>32</v>
      </c>
      <c r="C5518" s="1">
        <v>0.0</v>
      </c>
      <c r="D5518" s="1" t="s">
        <v>26</v>
      </c>
      <c r="E5518" s="1" t="s">
        <v>26</v>
      </c>
      <c r="F5518" s="1">
        <v>4.0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1">
        <v>51.75</v>
      </c>
      <c r="T5518" s="1">
        <v>201.1</v>
      </c>
      <c r="U5518" s="1">
        <v>0.0</v>
      </c>
      <c r="V5518" s="1">
        <v>0.0</v>
      </c>
      <c r="W5518" s="1" t="s">
        <v>25</v>
      </c>
    </row>
    <row r="5519" ht="15.75" customHeight="1">
      <c r="A5519" s="1" t="s">
        <v>5556</v>
      </c>
      <c r="B5519" s="1" t="s">
        <v>32</v>
      </c>
      <c r="C5519" s="1">
        <v>1.0</v>
      </c>
      <c r="D5519" s="1" t="s">
        <v>25</v>
      </c>
      <c r="E5519" s="1" t="s">
        <v>25</v>
      </c>
      <c r="F5519" s="1">
        <v>71.0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1">
        <v>86.7</v>
      </c>
      <c r="T5519" s="1">
        <v>6179.35</v>
      </c>
      <c r="U5519" s="1">
        <v>0.0</v>
      </c>
      <c r="V5519" s="1">
        <v>0.0</v>
      </c>
      <c r="W5519" s="1" t="s">
        <v>26</v>
      </c>
    </row>
    <row r="5520" ht="15.75" customHeight="1">
      <c r="A5520" s="1" t="s">
        <v>5557</v>
      </c>
      <c r="B5520" s="1" t="s">
        <v>32</v>
      </c>
      <c r="C5520" s="1">
        <v>0.0</v>
      </c>
      <c r="D5520" s="1" t="s">
        <v>25</v>
      </c>
      <c r="E5520" s="1" t="s">
        <v>25</v>
      </c>
      <c r="F5520" s="1">
        <v>30.0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1">
        <v>94.4</v>
      </c>
      <c r="T5520" s="1">
        <v>2838.7</v>
      </c>
      <c r="U5520" s="1">
        <v>0.0</v>
      </c>
      <c r="V5520" s="1">
        <v>4.0</v>
      </c>
      <c r="W5520" s="1" t="s">
        <v>25</v>
      </c>
    </row>
    <row r="5521" ht="15.75" customHeight="1">
      <c r="A5521" s="1" t="s">
        <v>5558</v>
      </c>
      <c r="B5521" s="1" t="s">
        <v>32</v>
      </c>
      <c r="C5521" s="1">
        <v>0.0</v>
      </c>
      <c r="D5521" s="1" t="s">
        <v>25</v>
      </c>
      <c r="E5521" s="1" t="s">
        <v>26</v>
      </c>
      <c r="F5521" s="1">
        <v>1.0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1">
        <v>55.7</v>
      </c>
      <c r="T5521" s="1">
        <v>55.7</v>
      </c>
      <c r="U5521" s="1">
        <v>0.0</v>
      </c>
      <c r="V5521" s="1">
        <v>0.0</v>
      </c>
      <c r="W5521" s="1" t="s">
        <v>26</v>
      </c>
    </row>
    <row r="5522" ht="15.75" customHeight="1">
      <c r="A5522" s="1" t="s">
        <v>5559</v>
      </c>
      <c r="B5522" s="1" t="s">
        <v>24</v>
      </c>
      <c r="C5522" s="1">
        <v>0.0</v>
      </c>
      <c r="D5522" s="1" t="s">
        <v>26</v>
      </c>
      <c r="E5522" s="1" t="s">
        <v>26</v>
      </c>
      <c r="F5522" s="1">
        <v>55.0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1">
        <v>84.25</v>
      </c>
      <c r="T5522" s="1">
        <v>4589.85</v>
      </c>
      <c r="U5522" s="1">
        <v>0.0</v>
      </c>
      <c r="V5522" s="1">
        <v>0.0</v>
      </c>
      <c r="W5522" s="1" t="s">
        <v>26</v>
      </c>
    </row>
    <row r="5523" ht="15.75" customHeight="1">
      <c r="A5523" s="1" t="s">
        <v>5560</v>
      </c>
      <c r="B5523" s="1" t="s">
        <v>32</v>
      </c>
      <c r="C5523" s="1">
        <v>0.0</v>
      </c>
      <c r="D5523" s="1" t="s">
        <v>26</v>
      </c>
      <c r="E5523" s="1" t="s">
        <v>26</v>
      </c>
      <c r="F5523" s="1">
        <v>59.0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1">
        <v>64.65</v>
      </c>
      <c r="T5523" s="1">
        <v>3735.45</v>
      </c>
      <c r="U5523" s="1">
        <v>0.0</v>
      </c>
      <c r="V5523" s="1">
        <v>0.0</v>
      </c>
      <c r="W5523" s="1" t="s">
        <v>26</v>
      </c>
    </row>
    <row r="5524" ht="15.75" customHeight="1">
      <c r="A5524" s="1" t="s">
        <v>5561</v>
      </c>
      <c r="B5524" s="1" t="s">
        <v>24</v>
      </c>
      <c r="C5524" s="1">
        <v>0.0</v>
      </c>
      <c r="D5524" s="1" t="s">
        <v>26</v>
      </c>
      <c r="E5524" s="1" t="s">
        <v>26</v>
      </c>
      <c r="F5524" s="1">
        <v>1.0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1">
        <v>70.15</v>
      </c>
      <c r="T5524" s="1">
        <v>70.15</v>
      </c>
      <c r="U5524" s="1">
        <v>1.0</v>
      </c>
      <c r="V5524" s="1">
        <v>0.0</v>
      </c>
      <c r="W5524" s="1" t="s">
        <v>25</v>
      </c>
    </row>
    <row r="5525" ht="15.75" customHeight="1">
      <c r="A5525" s="1" t="s">
        <v>5562</v>
      </c>
      <c r="B5525" s="1" t="s">
        <v>24</v>
      </c>
      <c r="C5525" s="1">
        <v>0.0</v>
      </c>
      <c r="D5525" s="1" t="s">
        <v>25</v>
      </c>
      <c r="E5525" s="1" t="s">
        <v>26</v>
      </c>
      <c r="F5525" s="1">
        <v>7.0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1">
        <v>69.2</v>
      </c>
      <c r="T5525" s="1">
        <v>477.55</v>
      </c>
      <c r="U5525" s="1">
        <v>0.0</v>
      </c>
      <c r="V5525" s="1">
        <v>0.0</v>
      </c>
      <c r="W5525" s="1" t="s">
        <v>26</v>
      </c>
    </row>
    <row r="5526" ht="15.75" customHeight="1">
      <c r="A5526" s="1" t="s">
        <v>5563</v>
      </c>
      <c r="B5526" s="1" t="s">
        <v>32</v>
      </c>
      <c r="C5526" s="1">
        <v>0.0</v>
      </c>
      <c r="D5526" s="1" t="s">
        <v>25</v>
      </c>
      <c r="E5526" s="1" t="s">
        <v>25</v>
      </c>
      <c r="F5526" s="1">
        <v>45.0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1">
        <v>54.65</v>
      </c>
      <c r="T5526" s="1">
        <v>2553.7</v>
      </c>
      <c r="U5526" s="1">
        <v>0.0</v>
      </c>
      <c r="V5526" s="1">
        <v>0.0</v>
      </c>
      <c r="W5526" s="1" t="s">
        <v>26</v>
      </c>
    </row>
    <row r="5527" ht="15.75" customHeight="1">
      <c r="A5527" s="1" t="s">
        <v>5564</v>
      </c>
      <c r="B5527" s="1" t="s">
        <v>24</v>
      </c>
      <c r="C5527" s="1">
        <v>0.0</v>
      </c>
      <c r="D5527" s="1" t="s">
        <v>25</v>
      </c>
      <c r="E5527" s="1" t="s">
        <v>25</v>
      </c>
      <c r="F5527" s="1">
        <v>54.0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1">
        <v>24.75</v>
      </c>
      <c r="T5527" s="1">
        <v>1342.15</v>
      </c>
      <c r="U5527" s="1">
        <v>4.0</v>
      </c>
      <c r="V5527" s="1">
        <v>0.0</v>
      </c>
      <c r="W5527" s="1" t="s">
        <v>26</v>
      </c>
    </row>
    <row r="5528" ht="15.75" customHeight="1">
      <c r="A5528" s="1" t="s">
        <v>5565</v>
      </c>
      <c r="B5528" s="1" t="s">
        <v>32</v>
      </c>
      <c r="C5528" s="1">
        <v>0.0</v>
      </c>
      <c r="D5528" s="1" t="s">
        <v>25</v>
      </c>
      <c r="E5528" s="1" t="s">
        <v>25</v>
      </c>
      <c r="F5528" s="1">
        <v>51.0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1">
        <v>23.95</v>
      </c>
      <c r="T5528" s="1">
        <v>1216.35</v>
      </c>
      <c r="U5528" s="1">
        <v>0.0</v>
      </c>
      <c r="V5528" s="1">
        <v>0.0</v>
      </c>
      <c r="W5528" s="1" t="s">
        <v>26</v>
      </c>
    </row>
    <row r="5529" ht="15.75" customHeight="1">
      <c r="A5529" s="1" t="s">
        <v>5566</v>
      </c>
      <c r="B5529" s="1" t="s">
        <v>24</v>
      </c>
      <c r="C5529" s="1">
        <v>1.0</v>
      </c>
      <c r="D5529" s="1" t="s">
        <v>25</v>
      </c>
      <c r="E5529" s="1" t="s">
        <v>26</v>
      </c>
      <c r="F5529" s="1">
        <v>72.0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1">
        <v>105.0</v>
      </c>
      <c r="T5529" s="1">
        <v>7578.05</v>
      </c>
      <c r="U5529" s="1">
        <v>0.0</v>
      </c>
      <c r="V5529" s="1">
        <v>0.0</v>
      </c>
      <c r="W5529" s="1" t="s">
        <v>26</v>
      </c>
    </row>
    <row r="5530" ht="15.75" customHeight="1">
      <c r="A5530" s="1" t="s">
        <v>5567</v>
      </c>
      <c r="B5530" s="1" t="s">
        <v>32</v>
      </c>
      <c r="C5530" s="1">
        <v>0.0</v>
      </c>
      <c r="D5530" s="1" t="s">
        <v>25</v>
      </c>
      <c r="E5530" s="1" t="s">
        <v>26</v>
      </c>
      <c r="F5530" s="1">
        <v>44.0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1">
        <v>59.85</v>
      </c>
      <c r="T5530" s="1">
        <v>2603.95</v>
      </c>
      <c r="U5530" s="1">
        <v>0.0</v>
      </c>
      <c r="V5530" s="1">
        <v>0.0</v>
      </c>
      <c r="W5530" s="1" t="s">
        <v>26</v>
      </c>
    </row>
    <row r="5531" ht="15.75" customHeight="1">
      <c r="A5531" s="1" t="s">
        <v>5568</v>
      </c>
      <c r="B5531" s="1" t="s">
        <v>32</v>
      </c>
      <c r="C5531" s="1">
        <v>0.0</v>
      </c>
      <c r="D5531" s="1" t="s">
        <v>26</v>
      </c>
      <c r="E5531" s="1" t="s">
        <v>26</v>
      </c>
      <c r="F5531" s="1">
        <v>2.0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1">
        <v>20.05</v>
      </c>
      <c r="T5531" s="1">
        <v>42.7</v>
      </c>
      <c r="U5531" s="1">
        <v>0.0</v>
      </c>
      <c r="V5531" s="1">
        <v>0.0</v>
      </c>
      <c r="W5531" s="1" t="s">
        <v>26</v>
      </c>
    </row>
    <row r="5532" ht="15.75" customHeight="1">
      <c r="A5532" s="1" t="s">
        <v>5569</v>
      </c>
      <c r="B5532" s="1" t="s">
        <v>24</v>
      </c>
      <c r="C5532" s="1">
        <v>0.0</v>
      </c>
      <c r="D5532" s="1" t="s">
        <v>26</v>
      </c>
      <c r="E5532" s="1" t="s">
        <v>26</v>
      </c>
      <c r="F5532" s="1">
        <v>66.0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1">
        <v>92.15</v>
      </c>
      <c r="T5532" s="1">
        <v>6056.9</v>
      </c>
      <c r="U5532" s="1">
        <v>0.0</v>
      </c>
      <c r="V5532" s="1">
        <v>0.0</v>
      </c>
      <c r="W5532" s="1" t="s">
        <v>26</v>
      </c>
    </row>
    <row r="5533" ht="15.75" customHeight="1">
      <c r="A5533" s="1" t="s">
        <v>5570</v>
      </c>
      <c r="B5533" s="1" t="s">
        <v>32</v>
      </c>
      <c r="C5533" s="1">
        <v>0.0</v>
      </c>
      <c r="D5533" s="1" t="s">
        <v>25</v>
      </c>
      <c r="E5533" s="1" t="s">
        <v>25</v>
      </c>
      <c r="F5533" s="1">
        <v>68.0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1">
        <v>44.8</v>
      </c>
      <c r="T5533" s="1">
        <v>2983.65</v>
      </c>
      <c r="U5533" s="1">
        <v>0.0</v>
      </c>
      <c r="V5533" s="1">
        <v>0.0</v>
      </c>
      <c r="W5533" s="1" t="s">
        <v>26</v>
      </c>
    </row>
    <row r="5534" ht="15.75" customHeight="1">
      <c r="A5534" s="1" t="s">
        <v>5571</v>
      </c>
      <c r="B5534" s="1" t="s">
        <v>24</v>
      </c>
      <c r="C5534" s="1">
        <v>0.0</v>
      </c>
      <c r="D5534" s="1" t="s">
        <v>26</v>
      </c>
      <c r="E5534" s="1" t="s">
        <v>26</v>
      </c>
      <c r="F5534" s="1">
        <v>31.0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1">
        <v>20.9</v>
      </c>
      <c r="T5534" s="1">
        <v>689.35</v>
      </c>
      <c r="U5534" s="1">
        <v>0.0</v>
      </c>
      <c r="V5534" s="1">
        <v>0.0</v>
      </c>
      <c r="W5534" s="1" t="s">
        <v>26</v>
      </c>
    </row>
    <row r="5535" ht="15.75" customHeight="1">
      <c r="A5535" s="1" t="s">
        <v>5572</v>
      </c>
      <c r="B5535" s="1" t="s">
        <v>24</v>
      </c>
      <c r="C5535" s="1">
        <v>1.0</v>
      </c>
      <c r="D5535" s="1" t="s">
        <v>26</v>
      </c>
      <c r="E5535" s="1" t="s">
        <v>26</v>
      </c>
      <c r="F5535" s="1">
        <v>21.0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1">
        <v>95.4</v>
      </c>
      <c r="T5535" s="1">
        <v>2025.1</v>
      </c>
      <c r="U5535" s="1">
        <v>0.0</v>
      </c>
      <c r="V5535" s="1">
        <v>0.0</v>
      </c>
      <c r="W5535" s="1" t="s">
        <v>26</v>
      </c>
    </row>
    <row r="5536" ht="15.75" customHeight="1">
      <c r="A5536" s="1" t="s">
        <v>5573</v>
      </c>
      <c r="B5536" s="1" t="s">
        <v>32</v>
      </c>
      <c r="C5536" s="1">
        <v>0.0</v>
      </c>
      <c r="D5536" s="1" t="s">
        <v>26</v>
      </c>
      <c r="E5536" s="1" t="s">
        <v>25</v>
      </c>
      <c r="F5536" s="1">
        <v>21.0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1">
        <v>80.35</v>
      </c>
      <c r="T5536" s="1">
        <v>1747.2</v>
      </c>
      <c r="U5536" s="1">
        <v>0.0</v>
      </c>
      <c r="V5536" s="1">
        <v>0.0</v>
      </c>
      <c r="W5536" s="1" t="s">
        <v>26</v>
      </c>
    </row>
    <row r="5537" ht="15.75" customHeight="1">
      <c r="A5537" s="1" t="s">
        <v>5574</v>
      </c>
      <c r="B5537" s="1" t="s">
        <v>24</v>
      </c>
      <c r="C5537" s="1">
        <v>0.0</v>
      </c>
      <c r="D5537" s="1" t="s">
        <v>25</v>
      </c>
      <c r="E5537" s="1" t="s">
        <v>25</v>
      </c>
      <c r="F5537" s="1">
        <v>55.0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1">
        <v>85.1</v>
      </c>
      <c r="T5537" s="1">
        <v>4657.95</v>
      </c>
      <c r="U5537" s="1">
        <v>0.0</v>
      </c>
      <c r="V5537" s="1">
        <v>0.0</v>
      </c>
      <c r="W5537" s="1" t="s">
        <v>26</v>
      </c>
    </row>
    <row r="5538" ht="15.75" customHeight="1">
      <c r="A5538" s="1" t="s">
        <v>5575</v>
      </c>
      <c r="B5538" s="1" t="s">
        <v>32</v>
      </c>
      <c r="C5538" s="1">
        <v>0.0</v>
      </c>
      <c r="D5538" s="1" t="s">
        <v>26</v>
      </c>
      <c r="E5538" s="1" t="s">
        <v>26</v>
      </c>
      <c r="F5538" s="1">
        <v>9.0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1">
        <v>34.7</v>
      </c>
      <c r="T5538" s="1">
        <v>296.1</v>
      </c>
      <c r="U5538" s="1">
        <v>0.0</v>
      </c>
      <c r="V5538" s="1">
        <v>0.0</v>
      </c>
      <c r="W5538" s="1" t="s">
        <v>25</v>
      </c>
    </row>
    <row r="5539" ht="15.75" customHeight="1">
      <c r="A5539" s="1" t="s">
        <v>5576</v>
      </c>
      <c r="B5539" s="1" t="s">
        <v>32</v>
      </c>
      <c r="C5539" s="1">
        <v>1.0</v>
      </c>
      <c r="D5539" s="1" t="s">
        <v>25</v>
      </c>
      <c r="E5539" s="1" t="s">
        <v>26</v>
      </c>
      <c r="F5539" s="1">
        <v>71.0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1">
        <v>115.05</v>
      </c>
      <c r="T5539" s="1">
        <v>8016.6</v>
      </c>
      <c r="U5539" s="1">
        <v>0.0</v>
      </c>
      <c r="V5539" s="1">
        <v>3.0</v>
      </c>
      <c r="W5539" s="1" t="s">
        <v>26</v>
      </c>
    </row>
    <row r="5540" ht="15.75" customHeight="1">
      <c r="A5540" s="1" t="s">
        <v>5577</v>
      </c>
      <c r="B5540" s="1" t="s">
        <v>24</v>
      </c>
      <c r="C5540" s="1">
        <v>0.0</v>
      </c>
      <c r="D5540" s="1" t="s">
        <v>26</v>
      </c>
      <c r="E5540" s="1" t="s">
        <v>26</v>
      </c>
      <c r="F5540" s="1">
        <v>1.0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1">
        <v>81.1</v>
      </c>
      <c r="T5540" s="1">
        <v>81.1</v>
      </c>
      <c r="U5540" s="1">
        <v>0.0</v>
      </c>
      <c r="V5540" s="1">
        <v>0.0</v>
      </c>
      <c r="W5540" s="1" t="s">
        <v>25</v>
      </c>
    </row>
    <row r="5541" ht="15.75" customHeight="1">
      <c r="A5541" s="1" t="s">
        <v>5578</v>
      </c>
      <c r="B5541" s="1" t="s">
        <v>32</v>
      </c>
      <c r="C5541" s="1">
        <v>0.0</v>
      </c>
      <c r="D5541" s="1" t="s">
        <v>25</v>
      </c>
      <c r="E5541" s="1" t="s">
        <v>25</v>
      </c>
      <c r="F5541" s="1">
        <v>22.0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1">
        <v>19.95</v>
      </c>
      <c r="T5541" s="1">
        <v>433.5</v>
      </c>
      <c r="U5541" s="1">
        <v>0.0</v>
      </c>
      <c r="V5541" s="1">
        <v>0.0</v>
      </c>
      <c r="W5541" s="1" t="s">
        <v>26</v>
      </c>
    </row>
    <row r="5542" ht="15.75" customHeight="1">
      <c r="A5542" s="1" t="s">
        <v>5579</v>
      </c>
      <c r="B5542" s="1" t="s">
        <v>24</v>
      </c>
      <c r="C5542" s="1">
        <v>0.0</v>
      </c>
      <c r="D5542" s="1" t="s">
        <v>25</v>
      </c>
      <c r="E5542" s="1" t="s">
        <v>25</v>
      </c>
      <c r="F5542" s="1">
        <v>1.0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1">
        <v>20.55</v>
      </c>
      <c r="T5542" s="1">
        <v>20.55</v>
      </c>
      <c r="U5542" s="1">
        <v>0.0</v>
      </c>
      <c r="V5542" s="1">
        <v>0.0</v>
      </c>
      <c r="W5542" s="1" t="s">
        <v>25</v>
      </c>
    </row>
    <row r="5543" ht="15.75" customHeight="1">
      <c r="A5543" s="1" t="s">
        <v>5580</v>
      </c>
      <c r="B5543" s="1" t="s">
        <v>24</v>
      </c>
      <c r="C5543" s="1">
        <v>0.0</v>
      </c>
      <c r="D5543" s="1" t="s">
        <v>26</v>
      </c>
      <c r="E5543" s="1" t="s">
        <v>26</v>
      </c>
      <c r="F5543" s="1">
        <v>61.0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1">
        <v>106.6</v>
      </c>
      <c r="T5543" s="1">
        <v>6428.4</v>
      </c>
      <c r="U5543" s="1">
        <v>0.0</v>
      </c>
      <c r="V5543" s="1">
        <v>6.0</v>
      </c>
      <c r="W5543" s="1" t="s">
        <v>25</v>
      </c>
    </row>
    <row r="5544" ht="15.75" customHeight="1">
      <c r="A5544" s="1" t="s">
        <v>5581</v>
      </c>
      <c r="B5544" s="1" t="s">
        <v>24</v>
      </c>
      <c r="C5544" s="1">
        <v>0.0</v>
      </c>
      <c r="D5544" s="1" t="s">
        <v>25</v>
      </c>
      <c r="E5544" s="1" t="s">
        <v>26</v>
      </c>
      <c r="F5544" s="1">
        <v>67.0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1">
        <v>86.15</v>
      </c>
      <c r="T5544" s="1">
        <v>5883.85</v>
      </c>
      <c r="U5544" s="1">
        <v>0.0</v>
      </c>
      <c r="V5544" s="1">
        <v>0.0</v>
      </c>
      <c r="W5544" s="1" t="s">
        <v>26</v>
      </c>
    </row>
    <row r="5545" ht="15.75" customHeight="1">
      <c r="A5545" s="1" t="s">
        <v>5582</v>
      </c>
      <c r="B5545" s="1" t="s">
        <v>24</v>
      </c>
      <c r="C5545" s="1">
        <v>1.0</v>
      </c>
      <c r="D5545" s="1" t="s">
        <v>26</v>
      </c>
      <c r="E5545" s="1" t="s">
        <v>26</v>
      </c>
      <c r="F5545" s="1">
        <v>14.0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1">
        <v>78.85</v>
      </c>
      <c r="T5545" s="1">
        <v>1043.8</v>
      </c>
      <c r="U5545" s="1">
        <v>0.0</v>
      </c>
      <c r="V5545" s="1">
        <v>0.0</v>
      </c>
      <c r="W5545" s="1" t="s">
        <v>26</v>
      </c>
    </row>
    <row r="5546" ht="15.75" customHeight="1">
      <c r="A5546" s="1" t="s">
        <v>5583</v>
      </c>
      <c r="B5546" s="1" t="s">
        <v>32</v>
      </c>
      <c r="C5546" s="1">
        <v>0.0</v>
      </c>
      <c r="D5546" s="1" t="s">
        <v>25</v>
      </c>
      <c r="E5546" s="1" t="s">
        <v>26</v>
      </c>
      <c r="F5546" s="1">
        <v>59.0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1">
        <v>106.75</v>
      </c>
      <c r="T5546" s="1">
        <v>6252.9</v>
      </c>
      <c r="U5546" s="1">
        <v>0.0</v>
      </c>
      <c r="V5546" s="1">
        <v>5.0</v>
      </c>
      <c r="W5546" s="1" t="s">
        <v>25</v>
      </c>
    </row>
    <row r="5547" ht="15.75" customHeight="1">
      <c r="A5547" s="1" t="s">
        <v>5584</v>
      </c>
      <c r="B5547" s="1" t="s">
        <v>32</v>
      </c>
      <c r="C5547" s="1">
        <v>1.0</v>
      </c>
      <c r="D5547" s="1" t="s">
        <v>25</v>
      </c>
      <c r="E5547" s="1" t="s">
        <v>26</v>
      </c>
      <c r="F5547" s="1">
        <v>21.0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1">
        <v>86.55</v>
      </c>
      <c r="T5547" s="1">
        <v>1857.25</v>
      </c>
      <c r="U5547" s="1">
        <v>0.0</v>
      </c>
      <c r="V5547" s="1">
        <v>0.0</v>
      </c>
      <c r="W5547" s="1" t="s">
        <v>26</v>
      </c>
    </row>
    <row r="5548" ht="15.75" customHeight="1">
      <c r="A5548" s="1" t="s">
        <v>5585</v>
      </c>
      <c r="B5548" s="1" t="s">
        <v>32</v>
      </c>
      <c r="C5548" s="1">
        <v>0.0</v>
      </c>
      <c r="D5548" s="1" t="s">
        <v>26</v>
      </c>
      <c r="E5548" s="1" t="s">
        <v>26</v>
      </c>
      <c r="F5548" s="1">
        <v>4.0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1">
        <v>42.4</v>
      </c>
      <c r="T5548" s="1">
        <v>146.4</v>
      </c>
      <c r="U5548" s="1">
        <v>0.0</v>
      </c>
      <c r="V5548" s="1">
        <v>0.0</v>
      </c>
      <c r="W5548" s="1" t="s">
        <v>26</v>
      </c>
    </row>
    <row r="5549" ht="15.75" customHeight="1">
      <c r="A5549" s="1" t="s">
        <v>5586</v>
      </c>
      <c r="B5549" s="1" t="s">
        <v>24</v>
      </c>
      <c r="C5549" s="1">
        <v>0.0</v>
      </c>
      <c r="D5549" s="1" t="s">
        <v>26</v>
      </c>
      <c r="E5549" s="1" t="s">
        <v>26</v>
      </c>
      <c r="F5549" s="1">
        <v>3.0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1">
        <v>89.45</v>
      </c>
      <c r="T5549" s="1">
        <v>240.45</v>
      </c>
      <c r="U5549" s="1">
        <v>2.0</v>
      </c>
      <c r="V5549" s="1">
        <v>0.0</v>
      </c>
      <c r="W5549" s="1" t="s">
        <v>25</v>
      </c>
    </row>
    <row r="5550" ht="15.75" customHeight="1">
      <c r="A5550" s="1" t="s">
        <v>5587</v>
      </c>
      <c r="B5550" s="1" t="s">
        <v>32</v>
      </c>
      <c r="C5550" s="1">
        <v>0.0</v>
      </c>
      <c r="D5550" s="1" t="s">
        <v>25</v>
      </c>
      <c r="E5550" s="1" t="s">
        <v>26</v>
      </c>
      <c r="F5550" s="1">
        <v>70.0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1">
        <v>24.25</v>
      </c>
      <c r="T5550" s="1">
        <v>1724.15</v>
      </c>
      <c r="U5550" s="1">
        <v>0.0</v>
      </c>
      <c r="V5550" s="1">
        <v>0.0</v>
      </c>
      <c r="W5550" s="1" t="s">
        <v>26</v>
      </c>
    </row>
    <row r="5551" ht="15.75" customHeight="1">
      <c r="A5551" s="1" t="s">
        <v>5588</v>
      </c>
      <c r="B5551" s="1" t="s">
        <v>24</v>
      </c>
      <c r="C5551" s="1">
        <v>0.0</v>
      </c>
      <c r="D5551" s="1" t="s">
        <v>26</v>
      </c>
      <c r="E5551" s="1" t="s">
        <v>26</v>
      </c>
      <c r="F5551" s="1">
        <v>3.0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1">
        <v>97.9</v>
      </c>
      <c r="T5551" s="1">
        <v>315.3</v>
      </c>
      <c r="U5551" s="1">
        <v>0.0</v>
      </c>
      <c r="V5551" s="1">
        <v>2.0</v>
      </c>
      <c r="W5551" s="1" t="s">
        <v>25</v>
      </c>
    </row>
    <row r="5552" ht="15.75" customHeight="1">
      <c r="A5552" s="1" t="s">
        <v>5589</v>
      </c>
      <c r="B5552" s="1" t="s">
        <v>32</v>
      </c>
      <c r="C5552" s="1">
        <v>1.0</v>
      </c>
      <c r="D5552" s="1" t="s">
        <v>26</v>
      </c>
      <c r="E5552" s="1" t="s">
        <v>26</v>
      </c>
      <c r="F5552" s="1">
        <v>21.0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1">
        <v>20.5</v>
      </c>
      <c r="T5552" s="1">
        <v>429.55</v>
      </c>
      <c r="U5552" s="1">
        <v>0.0</v>
      </c>
      <c r="V5552" s="1">
        <v>0.0</v>
      </c>
      <c r="W5552" s="1" t="s">
        <v>26</v>
      </c>
    </row>
    <row r="5553" ht="15.75" customHeight="1">
      <c r="A5553" s="1" t="s">
        <v>5590</v>
      </c>
      <c r="B5553" s="1" t="s">
        <v>32</v>
      </c>
      <c r="C5553" s="1">
        <v>0.0</v>
      </c>
      <c r="D5553" s="1" t="s">
        <v>26</v>
      </c>
      <c r="E5553" s="1" t="s">
        <v>26</v>
      </c>
      <c r="F5553" s="1">
        <v>20.0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1">
        <v>19.6</v>
      </c>
      <c r="T5553" s="1">
        <v>356.15</v>
      </c>
      <c r="U5553" s="1">
        <v>0.0</v>
      </c>
      <c r="V5553" s="1">
        <v>0.0</v>
      </c>
      <c r="W5553" s="1" t="s">
        <v>26</v>
      </c>
    </row>
    <row r="5554" ht="15.75" customHeight="1">
      <c r="A5554" s="1" t="s">
        <v>5591</v>
      </c>
      <c r="B5554" s="1" t="s">
        <v>32</v>
      </c>
      <c r="C5554" s="1">
        <v>0.0</v>
      </c>
      <c r="D5554" s="1" t="s">
        <v>25</v>
      </c>
      <c r="E5554" s="1" t="s">
        <v>25</v>
      </c>
      <c r="F5554" s="1">
        <v>22.0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1">
        <v>20.25</v>
      </c>
      <c r="T5554" s="1">
        <v>488.25</v>
      </c>
      <c r="U5554" s="1">
        <v>0.0</v>
      </c>
      <c r="V5554" s="1">
        <v>0.0</v>
      </c>
      <c r="W5554" s="1" t="s">
        <v>26</v>
      </c>
    </row>
    <row r="5555" ht="15.75" customHeight="1">
      <c r="A5555" s="1" t="s">
        <v>5592</v>
      </c>
      <c r="B5555" s="1" t="s">
        <v>32</v>
      </c>
      <c r="C5555" s="1">
        <v>0.0</v>
      </c>
      <c r="D5555" s="1" t="s">
        <v>26</v>
      </c>
      <c r="E5555" s="1" t="s">
        <v>26</v>
      </c>
      <c r="F5555" s="1">
        <v>1.0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1">
        <v>55.7</v>
      </c>
      <c r="T5555" s="1">
        <v>55.7</v>
      </c>
      <c r="U5555" s="1">
        <v>3.0</v>
      </c>
      <c r="V5555" s="1">
        <v>0.0</v>
      </c>
      <c r="W5555" s="1" t="s">
        <v>25</v>
      </c>
    </row>
    <row r="5556" ht="15.75" customHeight="1">
      <c r="A5556" s="1" t="s">
        <v>5593</v>
      </c>
      <c r="B5556" s="1" t="s">
        <v>24</v>
      </c>
      <c r="C5556" s="1">
        <v>0.0</v>
      </c>
      <c r="D5556" s="1" t="s">
        <v>26</v>
      </c>
      <c r="E5556" s="1" t="s">
        <v>26</v>
      </c>
      <c r="F5556" s="1">
        <v>63.0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1">
        <v>20.6</v>
      </c>
      <c r="T5556" s="1">
        <v>1298.7</v>
      </c>
      <c r="U5556" s="1">
        <v>0.0</v>
      </c>
      <c r="V5556" s="1">
        <v>0.0</v>
      </c>
      <c r="W5556" s="1" t="s">
        <v>26</v>
      </c>
    </row>
    <row r="5557" ht="15.75" customHeight="1">
      <c r="A5557" s="1" t="s">
        <v>5594</v>
      </c>
      <c r="B5557" s="1" t="s">
        <v>24</v>
      </c>
      <c r="C5557" s="1">
        <v>0.0</v>
      </c>
      <c r="D5557" s="1" t="s">
        <v>25</v>
      </c>
      <c r="E5557" s="1" t="s">
        <v>25</v>
      </c>
      <c r="F5557" s="1">
        <v>70.0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1">
        <v>19.8</v>
      </c>
      <c r="T5557" s="1">
        <v>1378.75</v>
      </c>
      <c r="U5557" s="1">
        <v>0.0</v>
      </c>
      <c r="V5557" s="1">
        <v>0.0</v>
      </c>
      <c r="W5557" s="1" t="s">
        <v>26</v>
      </c>
    </row>
    <row r="5558" ht="15.75" customHeight="1">
      <c r="A5558" s="1" t="s">
        <v>5595</v>
      </c>
      <c r="B5558" s="1" t="s">
        <v>32</v>
      </c>
      <c r="C5558" s="1">
        <v>0.0</v>
      </c>
      <c r="D5558" s="1" t="s">
        <v>26</v>
      </c>
      <c r="E5558" s="1" t="s">
        <v>26</v>
      </c>
      <c r="F5558" s="1">
        <v>13.0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1">
        <v>79.8</v>
      </c>
      <c r="T5558" s="1">
        <v>973.45</v>
      </c>
      <c r="U5558" s="1">
        <v>0.0</v>
      </c>
      <c r="V5558" s="1">
        <v>2.0</v>
      </c>
      <c r="W5558" s="1" t="s">
        <v>25</v>
      </c>
    </row>
    <row r="5559" ht="15.75" customHeight="1">
      <c r="A5559" s="1" t="s">
        <v>5596</v>
      </c>
      <c r="B5559" s="1" t="s">
        <v>24</v>
      </c>
      <c r="C5559" s="1">
        <v>0.0</v>
      </c>
      <c r="D5559" s="1" t="s">
        <v>26</v>
      </c>
      <c r="E5559" s="1" t="s">
        <v>26</v>
      </c>
      <c r="F5559" s="1">
        <v>5.0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1">
        <v>80.2</v>
      </c>
      <c r="T5559" s="1">
        <v>384.25</v>
      </c>
      <c r="U5559" s="1">
        <v>4.0</v>
      </c>
      <c r="V5559" s="1">
        <v>0.0</v>
      </c>
      <c r="W5559" s="1" t="s">
        <v>26</v>
      </c>
    </row>
    <row r="5560" ht="15.75" customHeight="1">
      <c r="A5560" s="1" t="s">
        <v>5597</v>
      </c>
      <c r="B5560" s="1" t="s">
        <v>24</v>
      </c>
      <c r="C5560" s="1">
        <v>0.0</v>
      </c>
      <c r="D5560" s="1" t="s">
        <v>25</v>
      </c>
      <c r="E5560" s="1" t="s">
        <v>25</v>
      </c>
      <c r="F5560" s="1">
        <v>72.0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1">
        <v>116.4</v>
      </c>
      <c r="T5560" s="1">
        <v>8543.25</v>
      </c>
      <c r="U5560" s="1">
        <v>0.0</v>
      </c>
      <c r="V5560" s="1">
        <v>0.0</v>
      </c>
      <c r="W5560" s="1" t="s">
        <v>26</v>
      </c>
    </row>
    <row r="5561" ht="15.75" customHeight="1">
      <c r="A5561" s="1" t="s">
        <v>5598</v>
      </c>
      <c r="B5561" s="1" t="s">
        <v>24</v>
      </c>
      <c r="C5561" s="1">
        <v>0.0</v>
      </c>
      <c r="D5561" s="1" t="s">
        <v>26</v>
      </c>
      <c r="E5561" s="1" t="s">
        <v>26</v>
      </c>
      <c r="F5561" s="1">
        <v>13.0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1">
        <v>31.65</v>
      </c>
      <c r="T5561" s="1">
        <v>389.95</v>
      </c>
      <c r="U5561" s="1">
        <v>0.0</v>
      </c>
      <c r="V5561" s="1">
        <v>0.0</v>
      </c>
      <c r="W5561" s="1" t="s">
        <v>26</v>
      </c>
    </row>
    <row r="5562" ht="15.75" customHeight="1">
      <c r="A5562" s="1" t="s">
        <v>5599</v>
      </c>
      <c r="B5562" s="1" t="s">
        <v>32</v>
      </c>
      <c r="C5562" s="1">
        <v>0.0</v>
      </c>
      <c r="D5562" s="1" t="s">
        <v>25</v>
      </c>
      <c r="E5562" s="1" t="s">
        <v>26</v>
      </c>
      <c r="F5562" s="1">
        <v>61.0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1">
        <v>94.15</v>
      </c>
      <c r="T5562" s="1">
        <v>5731.85</v>
      </c>
      <c r="U5562" s="1">
        <v>0.0</v>
      </c>
      <c r="V5562" s="1">
        <v>0.0</v>
      </c>
      <c r="W5562" s="1" t="s">
        <v>26</v>
      </c>
    </row>
    <row r="5563" ht="15.75" customHeight="1">
      <c r="A5563" s="1" t="s">
        <v>5600</v>
      </c>
      <c r="B5563" s="1" t="s">
        <v>32</v>
      </c>
      <c r="C5563" s="1">
        <v>0.0</v>
      </c>
      <c r="D5563" s="1" t="s">
        <v>26</v>
      </c>
      <c r="E5563" s="1" t="s">
        <v>26</v>
      </c>
      <c r="F5563" s="1">
        <v>1.0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1">
        <v>20.65</v>
      </c>
      <c r="T5563" s="1">
        <v>20.65</v>
      </c>
      <c r="U5563" s="1">
        <v>0.0</v>
      </c>
      <c r="V5563" s="1">
        <v>0.0</v>
      </c>
      <c r="W5563" s="1" t="s">
        <v>26</v>
      </c>
    </row>
    <row r="5564" ht="15.75" customHeight="1">
      <c r="A5564" s="1" t="s">
        <v>5601</v>
      </c>
      <c r="B5564" s="1" t="s">
        <v>24</v>
      </c>
      <c r="C5564" s="1">
        <v>1.0</v>
      </c>
      <c r="D5564" s="1" t="s">
        <v>25</v>
      </c>
      <c r="E5564" s="1" t="s">
        <v>26</v>
      </c>
      <c r="F5564" s="1">
        <v>56.0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1">
        <v>76.85</v>
      </c>
      <c r="T5564" s="1">
        <v>4275.75</v>
      </c>
      <c r="U5564" s="1">
        <v>0.0</v>
      </c>
      <c r="V5564" s="1">
        <v>0.0</v>
      </c>
      <c r="W5564" s="1" t="s">
        <v>26</v>
      </c>
    </row>
    <row r="5565" ht="15.75" customHeight="1">
      <c r="A5565" s="1" t="s">
        <v>5602</v>
      </c>
      <c r="B5565" s="1" t="s">
        <v>24</v>
      </c>
      <c r="C5565" s="1">
        <v>0.0</v>
      </c>
      <c r="D5565" s="1" t="s">
        <v>26</v>
      </c>
      <c r="E5565" s="1" t="s">
        <v>26</v>
      </c>
      <c r="F5565" s="1">
        <v>4.0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1">
        <v>20.15</v>
      </c>
      <c r="T5565" s="1">
        <v>84.5</v>
      </c>
      <c r="U5565" s="1">
        <v>0.0</v>
      </c>
      <c r="V5565" s="1">
        <v>0.0</v>
      </c>
      <c r="W5565" s="1" t="s">
        <v>26</v>
      </c>
    </row>
    <row r="5566" ht="15.75" customHeight="1">
      <c r="A5566" s="1" t="s">
        <v>5603</v>
      </c>
      <c r="B5566" s="1" t="s">
        <v>32</v>
      </c>
      <c r="C5566" s="1">
        <v>0.0</v>
      </c>
      <c r="D5566" s="1" t="s">
        <v>26</v>
      </c>
      <c r="E5566" s="1" t="s">
        <v>26</v>
      </c>
      <c r="F5566" s="1">
        <v>35.0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1">
        <v>55.25</v>
      </c>
      <c r="T5566" s="1">
        <v>1924.1</v>
      </c>
      <c r="U5566" s="1">
        <v>0.0</v>
      </c>
      <c r="V5566" s="1">
        <v>0.0</v>
      </c>
      <c r="W5566" s="1" t="s">
        <v>26</v>
      </c>
    </row>
    <row r="5567" ht="15.75" customHeight="1">
      <c r="A5567" s="1" t="s">
        <v>5604</v>
      </c>
      <c r="B5567" s="1" t="s">
        <v>24</v>
      </c>
      <c r="C5567" s="1">
        <v>0.0</v>
      </c>
      <c r="D5567" s="1" t="s">
        <v>25</v>
      </c>
      <c r="E5567" s="1" t="s">
        <v>26</v>
      </c>
      <c r="F5567" s="1">
        <v>18.0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1">
        <v>39.05</v>
      </c>
      <c r="T5567" s="1">
        <v>669.85</v>
      </c>
      <c r="U5567" s="1">
        <v>0.0</v>
      </c>
      <c r="V5567" s="1">
        <v>2.0</v>
      </c>
      <c r="W5567" s="1" t="s">
        <v>25</v>
      </c>
    </row>
    <row r="5568" ht="15.75" customHeight="1">
      <c r="A5568" s="1" t="s">
        <v>5605</v>
      </c>
      <c r="B5568" s="1" t="s">
        <v>32</v>
      </c>
      <c r="C5568" s="1">
        <v>0.0</v>
      </c>
      <c r="D5568" s="1" t="s">
        <v>25</v>
      </c>
      <c r="E5568" s="1" t="s">
        <v>26</v>
      </c>
      <c r="F5568" s="1">
        <v>72.0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1">
        <v>82.15</v>
      </c>
      <c r="T5568" s="1">
        <v>5784.3</v>
      </c>
      <c r="U5568" s="1">
        <v>0.0</v>
      </c>
      <c r="V5568" s="1">
        <v>0.0</v>
      </c>
      <c r="W5568" s="1" t="s">
        <v>26</v>
      </c>
    </row>
    <row r="5569" ht="15.75" customHeight="1">
      <c r="A5569" s="1" t="s">
        <v>5606</v>
      </c>
      <c r="B5569" s="1" t="s">
        <v>24</v>
      </c>
      <c r="C5569" s="1">
        <v>1.0</v>
      </c>
      <c r="D5569" s="1" t="s">
        <v>26</v>
      </c>
      <c r="E5569" s="1" t="s">
        <v>26</v>
      </c>
      <c r="F5569" s="1">
        <v>49.0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1">
        <v>103.0</v>
      </c>
      <c r="T5569" s="1">
        <v>5166.2</v>
      </c>
      <c r="U5569" s="1">
        <v>0.0</v>
      </c>
      <c r="V5569" s="1">
        <v>0.0</v>
      </c>
      <c r="W5569" s="1" t="s">
        <v>26</v>
      </c>
    </row>
    <row r="5570" ht="15.75" customHeight="1">
      <c r="A5570" s="1" t="s">
        <v>5607</v>
      </c>
      <c r="B5570" s="1" t="s">
        <v>24</v>
      </c>
      <c r="C5570" s="1">
        <v>0.0</v>
      </c>
      <c r="D5570" s="1" t="s">
        <v>25</v>
      </c>
      <c r="E5570" s="1" t="s">
        <v>26</v>
      </c>
      <c r="F5570" s="1">
        <v>44.0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1">
        <v>95.1</v>
      </c>
      <c r="T5570" s="1">
        <v>4060.55</v>
      </c>
      <c r="U5570" s="1">
        <v>0.0</v>
      </c>
      <c r="V5570" s="1">
        <v>0.0</v>
      </c>
      <c r="W5570" s="1" t="s">
        <v>26</v>
      </c>
    </row>
    <row r="5571" ht="15.75" customHeight="1">
      <c r="A5571" s="1" t="s">
        <v>5608</v>
      </c>
      <c r="B5571" s="1" t="s">
        <v>24</v>
      </c>
      <c r="C5571" s="1">
        <v>1.0</v>
      </c>
      <c r="D5571" s="1" t="s">
        <v>25</v>
      </c>
      <c r="E5571" s="1" t="s">
        <v>26</v>
      </c>
      <c r="F5571" s="1">
        <v>3.0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1">
        <v>83.9</v>
      </c>
      <c r="T5571" s="1">
        <v>267.4</v>
      </c>
      <c r="U5571" s="1">
        <v>0.0</v>
      </c>
      <c r="V5571" s="1">
        <v>0.0</v>
      </c>
      <c r="W5571" s="1" t="s">
        <v>25</v>
      </c>
    </row>
    <row r="5572" ht="15.75" customHeight="1">
      <c r="A5572" s="1" t="s">
        <v>5609</v>
      </c>
      <c r="B5572" s="1" t="s">
        <v>24</v>
      </c>
      <c r="C5572" s="1">
        <v>0.0</v>
      </c>
      <c r="D5572" s="1" t="s">
        <v>25</v>
      </c>
      <c r="E5572" s="1" t="s">
        <v>25</v>
      </c>
      <c r="F5572" s="1">
        <v>37.0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1">
        <v>95.15</v>
      </c>
      <c r="T5572" s="1">
        <v>3532.85</v>
      </c>
      <c r="U5572" s="1">
        <v>0.0</v>
      </c>
      <c r="V5572" s="1">
        <v>0.0</v>
      </c>
      <c r="W5572" s="1" t="s">
        <v>26</v>
      </c>
    </row>
    <row r="5573" ht="15.75" customHeight="1">
      <c r="A5573" s="1" t="s">
        <v>5610</v>
      </c>
      <c r="B5573" s="1" t="s">
        <v>32</v>
      </c>
      <c r="C5573" s="1">
        <v>0.0</v>
      </c>
      <c r="D5573" s="1" t="s">
        <v>25</v>
      </c>
      <c r="E5573" s="1" t="s">
        <v>26</v>
      </c>
      <c r="F5573" s="1">
        <v>61.0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1">
        <v>79.8</v>
      </c>
      <c r="T5573" s="1">
        <v>4914.8</v>
      </c>
      <c r="U5573" s="1">
        <v>0.0</v>
      </c>
      <c r="V5573" s="1">
        <v>0.0</v>
      </c>
      <c r="W5573" s="1" t="s">
        <v>26</v>
      </c>
    </row>
    <row r="5574" ht="15.75" customHeight="1">
      <c r="A5574" s="1" t="s">
        <v>5611</v>
      </c>
      <c r="B5574" s="1" t="s">
        <v>32</v>
      </c>
      <c r="C5574" s="1">
        <v>0.0</v>
      </c>
      <c r="D5574" s="1" t="s">
        <v>25</v>
      </c>
      <c r="E5574" s="1" t="s">
        <v>26</v>
      </c>
      <c r="F5574" s="1">
        <v>70.0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1">
        <v>74.8</v>
      </c>
      <c r="T5574" s="1">
        <v>5315.8</v>
      </c>
      <c r="U5574" s="1">
        <v>0.0</v>
      </c>
      <c r="V5574" s="1">
        <v>0.0</v>
      </c>
      <c r="W5574" s="1" t="s">
        <v>26</v>
      </c>
    </row>
    <row r="5575" ht="15.75" customHeight="1">
      <c r="A5575" s="1" t="s">
        <v>5612</v>
      </c>
      <c r="B5575" s="1" t="s">
        <v>24</v>
      </c>
      <c r="C5575" s="1">
        <v>1.0</v>
      </c>
      <c r="D5575" s="1" t="s">
        <v>26</v>
      </c>
      <c r="E5575" s="1" t="s">
        <v>26</v>
      </c>
      <c r="F5575" s="1">
        <v>1.0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1">
        <v>69.85</v>
      </c>
      <c r="T5575" s="1">
        <v>69.85</v>
      </c>
      <c r="U5575" s="1">
        <v>0.0</v>
      </c>
      <c r="V5575" s="1">
        <v>0.0</v>
      </c>
      <c r="W5575" s="1" t="s">
        <v>25</v>
      </c>
    </row>
    <row r="5576" ht="15.75" customHeight="1">
      <c r="A5576" s="1" t="s">
        <v>5613</v>
      </c>
      <c r="B5576" s="1" t="s">
        <v>24</v>
      </c>
      <c r="C5576" s="1">
        <v>0.0</v>
      </c>
      <c r="D5576" s="1" t="s">
        <v>26</v>
      </c>
      <c r="E5576" s="1" t="s">
        <v>26</v>
      </c>
      <c r="F5576" s="1">
        <v>41.0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1">
        <v>20.45</v>
      </c>
      <c r="T5576" s="1">
        <v>775.6</v>
      </c>
      <c r="U5576" s="1">
        <v>0.0</v>
      </c>
      <c r="V5576" s="1">
        <v>0.0</v>
      </c>
      <c r="W5576" s="1" t="s">
        <v>26</v>
      </c>
    </row>
    <row r="5577" ht="15.75" customHeight="1">
      <c r="A5577" s="1" t="s">
        <v>5614</v>
      </c>
      <c r="B5577" s="1" t="s">
        <v>32</v>
      </c>
      <c r="C5577" s="1">
        <v>0.0</v>
      </c>
      <c r="D5577" s="1" t="s">
        <v>25</v>
      </c>
      <c r="E5577" s="1" t="s">
        <v>25</v>
      </c>
      <c r="F5577" s="1">
        <v>70.0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1">
        <v>78.35</v>
      </c>
      <c r="T5577" s="1">
        <v>5445.95</v>
      </c>
      <c r="U5577" s="1">
        <v>0.0</v>
      </c>
      <c r="V5577" s="1">
        <v>2.0</v>
      </c>
      <c r="W5577" s="1" t="s">
        <v>26</v>
      </c>
    </row>
    <row r="5578" ht="15.75" customHeight="1">
      <c r="A5578" s="1" t="s">
        <v>5615</v>
      </c>
      <c r="B5578" s="1" t="s">
        <v>24</v>
      </c>
      <c r="C5578" s="1">
        <v>0.0</v>
      </c>
      <c r="D5578" s="1" t="s">
        <v>26</v>
      </c>
      <c r="E5578" s="1" t="s">
        <v>26</v>
      </c>
      <c r="F5578" s="1">
        <v>1.0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1">
        <v>53.55</v>
      </c>
      <c r="T5578" s="1">
        <v>53.55</v>
      </c>
      <c r="U5578" s="1">
        <v>0.0</v>
      </c>
      <c r="V5578" s="1">
        <v>0.0</v>
      </c>
      <c r="W5578" s="1" t="s">
        <v>25</v>
      </c>
    </row>
    <row r="5579" ht="15.75" customHeight="1">
      <c r="A5579" s="1" t="s">
        <v>5616</v>
      </c>
      <c r="B5579" s="1" t="s">
        <v>32</v>
      </c>
      <c r="C5579" s="1">
        <v>0.0</v>
      </c>
      <c r="D5579" s="1" t="s">
        <v>26</v>
      </c>
      <c r="E5579" s="1" t="s">
        <v>26</v>
      </c>
      <c r="F5579" s="1">
        <v>51.0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1">
        <v>19.1</v>
      </c>
      <c r="T5579" s="1">
        <v>1007.8</v>
      </c>
      <c r="U5579" s="1">
        <v>0.0</v>
      </c>
      <c r="V5579" s="1">
        <v>1.0</v>
      </c>
      <c r="W5579" s="1" t="s">
        <v>26</v>
      </c>
    </row>
    <row r="5580" ht="15.75" customHeight="1">
      <c r="A5580" s="1" t="s">
        <v>5617</v>
      </c>
      <c r="B5580" s="1" t="s">
        <v>24</v>
      </c>
      <c r="C5580" s="1">
        <v>0.0</v>
      </c>
      <c r="D5580" s="1" t="s">
        <v>25</v>
      </c>
      <c r="E5580" s="1" t="s">
        <v>25</v>
      </c>
      <c r="F5580" s="1">
        <v>42.0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1">
        <v>20.0</v>
      </c>
      <c r="T5580" s="1">
        <v>833.55</v>
      </c>
      <c r="U5580" s="1">
        <v>0.0</v>
      </c>
      <c r="V5580" s="1">
        <v>0.0</v>
      </c>
      <c r="W5580" s="1" t="s">
        <v>26</v>
      </c>
    </row>
    <row r="5581" ht="15.75" customHeight="1">
      <c r="A5581" s="1" t="s">
        <v>5618</v>
      </c>
      <c r="B5581" s="1" t="s">
        <v>24</v>
      </c>
      <c r="C5581" s="1">
        <v>0.0</v>
      </c>
      <c r="D5581" s="1" t="s">
        <v>25</v>
      </c>
      <c r="E5581" s="1" t="s">
        <v>25</v>
      </c>
      <c r="F5581" s="1">
        <v>70.0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1">
        <v>93.9</v>
      </c>
      <c r="T5581" s="1">
        <v>6579.05</v>
      </c>
      <c r="U5581" s="1">
        <v>0.0</v>
      </c>
      <c r="V5581" s="1">
        <v>7.0</v>
      </c>
      <c r="W5581" s="1" t="s">
        <v>25</v>
      </c>
    </row>
    <row r="5582" ht="15.75" customHeight="1">
      <c r="A5582" s="1" t="s">
        <v>5619</v>
      </c>
      <c r="B5582" s="1" t="s">
        <v>32</v>
      </c>
      <c r="C5582" s="1">
        <v>0.0</v>
      </c>
      <c r="D5582" s="1" t="s">
        <v>26</v>
      </c>
      <c r="E5582" s="1" t="s">
        <v>26</v>
      </c>
      <c r="F5582" s="1">
        <v>48.0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1">
        <v>19.95</v>
      </c>
      <c r="T5582" s="1">
        <v>1004.5</v>
      </c>
      <c r="U5582" s="1">
        <v>0.0</v>
      </c>
      <c r="V5582" s="1">
        <v>0.0</v>
      </c>
      <c r="W5582" s="1" t="s">
        <v>26</v>
      </c>
    </row>
    <row r="5583" ht="15.75" customHeight="1">
      <c r="A5583" s="1" t="s">
        <v>5620</v>
      </c>
      <c r="B5583" s="1" t="s">
        <v>32</v>
      </c>
      <c r="C5583" s="1">
        <v>0.0</v>
      </c>
      <c r="D5583" s="1" t="s">
        <v>25</v>
      </c>
      <c r="E5583" s="1" t="s">
        <v>25</v>
      </c>
      <c r="F5583" s="1">
        <v>68.0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1">
        <v>113.15</v>
      </c>
      <c r="T5583" s="1">
        <v>7856.0</v>
      </c>
      <c r="U5583" s="1">
        <v>0.0</v>
      </c>
      <c r="V5583" s="1">
        <v>8.0</v>
      </c>
      <c r="W5583" s="1" t="s">
        <v>25</v>
      </c>
    </row>
    <row r="5584" ht="15.75" customHeight="1">
      <c r="A5584" s="1" t="s">
        <v>5621</v>
      </c>
      <c r="B5584" s="1" t="s">
        <v>24</v>
      </c>
      <c r="C5584" s="1">
        <v>0.0</v>
      </c>
      <c r="D5584" s="1" t="s">
        <v>26</v>
      </c>
      <c r="E5584" s="1" t="s">
        <v>26</v>
      </c>
      <c r="F5584" s="1">
        <v>48.0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1">
        <v>24.0</v>
      </c>
      <c r="T5584" s="1">
        <v>1183.05</v>
      </c>
      <c r="U5584" s="1">
        <v>0.0</v>
      </c>
      <c r="V5584" s="1">
        <v>3.0</v>
      </c>
      <c r="W5584" s="1" t="s">
        <v>26</v>
      </c>
    </row>
    <row r="5585" ht="15.75" customHeight="1">
      <c r="A5585" s="1" t="s">
        <v>5622</v>
      </c>
      <c r="B5585" s="1" t="s">
        <v>24</v>
      </c>
      <c r="C5585" s="1">
        <v>1.0</v>
      </c>
      <c r="D5585" s="1" t="s">
        <v>25</v>
      </c>
      <c r="E5585" s="1" t="s">
        <v>26</v>
      </c>
      <c r="F5585" s="1">
        <v>26.0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1">
        <v>84.95</v>
      </c>
      <c r="T5585" s="1">
        <v>2169.75</v>
      </c>
      <c r="U5585" s="1">
        <v>0.0</v>
      </c>
      <c r="V5585" s="1">
        <v>4.0</v>
      </c>
      <c r="W5585" s="1" t="s">
        <v>25</v>
      </c>
    </row>
    <row r="5586" ht="15.75" customHeight="1">
      <c r="A5586" s="1" t="s">
        <v>5623</v>
      </c>
      <c r="B5586" s="1" t="s">
        <v>32</v>
      </c>
      <c r="C5586" s="1">
        <v>0.0</v>
      </c>
      <c r="D5586" s="1" t="s">
        <v>25</v>
      </c>
      <c r="E5586" s="1" t="s">
        <v>26</v>
      </c>
      <c r="F5586" s="1">
        <v>11.0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1">
        <v>80.5</v>
      </c>
      <c r="T5586" s="1">
        <v>896.9</v>
      </c>
      <c r="U5586" s="1">
        <v>0.0</v>
      </c>
      <c r="V5586" s="1">
        <v>0.0</v>
      </c>
      <c r="W5586" s="1" t="s">
        <v>25</v>
      </c>
    </row>
    <row r="5587" ht="15.75" customHeight="1">
      <c r="A5587" s="1" t="s">
        <v>5624</v>
      </c>
      <c r="B5587" s="1" t="s">
        <v>32</v>
      </c>
      <c r="C5587" s="1">
        <v>0.0</v>
      </c>
      <c r="D5587" s="1" t="s">
        <v>26</v>
      </c>
      <c r="E5587" s="1" t="s">
        <v>26</v>
      </c>
      <c r="F5587" s="1">
        <v>1.0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1">
        <v>19.3</v>
      </c>
      <c r="T5587" s="1">
        <v>19.3</v>
      </c>
      <c r="U5587" s="1">
        <v>0.0</v>
      </c>
      <c r="V5587" s="1">
        <v>0.0</v>
      </c>
      <c r="W5587" s="1" t="s">
        <v>25</v>
      </c>
    </row>
    <row r="5588" ht="15.75" customHeight="1">
      <c r="A5588" s="1" t="s">
        <v>5625</v>
      </c>
      <c r="B5588" s="1" t="s">
        <v>24</v>
      </c>
      <c r="C5588" s="1">
        <v>0.0</v>
      </c>
      <c r="D5588" s="1" t="s">
        <v>26</v>
      </c>
      <c r="E5588" s="1" t="s">
        <v>26</v>
      </c>
      <c r="F5588" s="1">
        <v>27.0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1">
        <v>19.15</v>
      </c>
      <c r="T5588" s="1">
        <v>501.35</v>
      </c>
      <c r="U5588" s="1">
        <v>0.0</v>
      </c>
      <c r="V5588" s="1">
        <v>0.0</v>
      </c>
      <c r="W5588" s="1" t="s">
        <v>26</v>
      </c>
    </row>
    <row r="5589" ht="15.75" customHeight="1">
      <c r="A5589" s="1" t="s">
        <v>5626</v>
      </c>
      <c r="B5589" s="1" t="s">
        <v>24</v>
      </c>
      <c r="C5589" s="1">
        <v>1.0</v>
      </c>
      <c r="D5589" s="1" t="s">
        <v>26</v>
      </c>
      <c r="E5589" s="1" t="s">
        <v>26</v>
      </c>
      <c r="F5589" s="1">
        <v>46.0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1">
        <v>91.3</v>
      </c>
      <c r="T5589" s="1">
        <v>4126.35</v>
      </c>
      <c r="U5589" s="1">
        <v>0.0</v>
      </c>
      <c r="V5589" s="1">
        <v>0.0</v>
      </c>
      <c r="W5589" s="1" t="s">
        <v>26</v>
      </c>
    </row>
    <row r="5590" ht="15.75" customHeight="1">
      <c r="A5590" s="1" t="s">
        <v>5627</v>
      </c>
      <c r="B5590" s="1" t="s">
        <v>32</v>
      </c>
      <c r="C5590" s="1">
        <v>0.0</v>
      </c>
      <c r="D5590" s="1" t="s">
        <v>26</v>
      </c>
      <c r="E5590" s="1" t="s">
        <v>26</v>
      </c>
      <c r="F5590" s="1">
        <v>1.0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1">
        <v>49.65</v>
      </c>
      <c r="T5590" s="1">
        <v>49.65</v>
      </c>
      <c r="U5590" s="1">
        <v>0.0</v>
      </c>
      <c r="V5590" s="1">
        <v>0.0</v>
      </c>
      <c r="W5590" s="1" t="s">
        <v>25</v>
      </c>
    </row>
    <row r="5591" ht="15.75" customHeight="1">
      <c r="A5591" s="1" t="s">
        <v>5628</v>
      </c>
      <c r="B5591" s="1" t="s">
        <v>24</v>
      </c>
      <c r="C5591" s="1">
        <v>0.0</v>
      </c>
      <c r="D5591" s="1" t="s">
        <v>26</v>
      </c>
      <c r="E5591" s="1" t="s">
        <v>26</v>
      </c>
      <c r="F5591" s="1">
        <v>46.0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1">
        <v>54.35</v>
      </c>
      <c r="T5591" s="1">
        <v>2460.15</v>
      </c>
      <c r="U5591" s="1">
        <v>1.0</v>
      </c>
      <c r="V5591" s="1">
        <v>0.0</v>
      </c>
      <c r="W5591" s="1" t="s">
        <v>25</v>
      </c>
    </row>
    <row r="5592" ht="15.75" customHeight="1">
      <c r="A5592" s="1" t="s">
        <v>5629</v>
      </c>
      <c r="B5592" s="1" t="s">
        <v>32</v>
      </c>
      <c r="C5592" s="1">
        <v>0.0</v>
      </c>
      <c r="D5592" s="1" t="s">
        <v>25</v>
      </c>
      <c r="E5592" s="1" t="s">
        <v>25</v>
      </c>
      <c r="F5592" s="1">
        <v>25.0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1">
        <v>19.15</v>
      </c>
      <c r="T5592" s="1">
        <v>477.6</v>
      </c>
      <c r="U5592" s="1">
        <v>0.0</v>
      </c>
      <c r="V5592" s="1">
        <v>0.0</v>
      </c>
      <c r="W5592" s="1" t="s">
        <v>26</v>
      </c>
    </row>
    <row r="5593" ht="15.75" customHeight="1">
      <c r="A5593" s="1" t="s">
        <v>5630</v>
      </c>
      <c r="B5593" s="1" t="s">
        <v>32</v>
      </c>
      <c r="C5593" s="1">
        <v>0.0</v>
      </c>
      <c r="D5593" s="1" t="s">
        <v>26</v>
      </c>
      <c r="E5593" s="1" t="s">
        <v>26</v>
      </c>
      <c r="F5593" s="1">
        <v>4.0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1">
        <v>88.45</v>
      </c>
      <c r="T5593" s="1">
        <v>370.65</v>
      </c>
      <c r="U5593" s="1">
        <v>0.0</v>
      </c>
      <c r="V5593" s="1">
        <v>1.0</v>
      </c>
      <c r="W5593" s="1" t="s">
        <v>25</v>
      </c>
    </row>
    <row r="5594" ht="15.75" customHeight="1">
      <c r="A5594" s="1" t="s">
        <v>5631</v>
      </c>
      <c r="B5594" s="1" t="s">
        <v>32</v>
      </c>
      <c r="C5594" s="1">
        <v>0.0</v>
      </c>
      <c r="D5594" s="1" t="s">
        <v>26</v>
      </c>
      <c r="E5594" s="1" t="s">
        <v>26</v>
      </c>
      <c r="F5594" s="1">
        <v>13.0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1">
        <v>19.75</v>
      </c>
      <c r="T5594" s="1">
        <v>265.75</v>
      </c>
      <c r="U5594" s="1">
        <v>3.0</v>
      </c>
      <c r="V5594" s="1">
        <v>0.0</v>
      </c>
      <c r="W5594" s="1" t="s">
        <v>26</v>
      </c>
    </row>
    <row r="5595" ht="15.75" customHeight="1">
      <c r="A5595" s="1" t="s">
        <v>5632</v>
      </c>
      <c r="B5595" s="1" t="s">
        <v>32</v>
      </c>
      <c r="C5595" s="1">
        <v>0.0</v>
      </c>
      <c r="D5595" s="1" t="s">
        <v>25</v>
      </c>
      <c r="E5595" s="1" t="s">
        <v>26</v>
      </c>
      <c r="F5595" s="1">
        <v>31.0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1">
        <v>75.5</v>
      </c>
      <c r="T5595" s="1">
        <v>2424.45</v>
      </c>
      <c r="U5595" s="1">
        <v>0.0</v>
      </c>
      <c r="V5595" s="1">
        <v>0.0</v>
      </c>
      <c r="W5595" s="1" t="s">
        <v>26</v>
      </c>
    </row>
    <row r="5596" ht="15.75" customHeight="1">
      <c r="A5596" s="1" t="s">
        <v>5633</v>
      </c>
      <c r="B5596" s="1" t="s">
        <v>24</v>
      </c>
      <c r="C5596" s="1">
        <v>0.0</v>
      </c>
      <c r="D5596" s="1" t="s">
        <v>25</v>
      </c>
      <c r="E5596" s="1" t="s">
        <v>25</v>
      </c>
      <c r="F5596" s="1">
        <v>23.0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1">
        <v>83.75</v>
      </c>
      <c r="T5596" s="1">
        <v>1849.95</v>
      </c>
      <c r="U5596" s="1">
        <v>0.0</v>
      </c>
      <c r="V5596" s="1">
        <v>0.0</v>
      </c>
      <c r="W5596" s="1" t="s">
        <v>26</v>
      </c>
    </row>
    <row r="5597" ht="15.75" customHeight="1">
      <c r="A5597" s="1" t="s">
        <v>5634</v>
      </c>
      <c r="B5597" s="1" t="s">
        <v>24</v>
      </c>
      <c r="C5597" s="1">
        <v>0.0</v>
      </c>
      <c r="D5597" s="1" t="s">
        <v>26</v>
      </c>
      <c r="E5597" s="1" t="s">
        <v>26</v>
      </c>
      <c r="F5597" s="1">
        <v>2.0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1">
        <v>19.4</v>
      </c>
      <c r="T5597" s="1">
        <v>61.05</v>
      </c>
      <c r="U5597" s="1">
        <v>0.0</v>
      </c>
      <c r="V5597" s="1">
        <v>0.0</v>
      </c>
      <c r="W5597" s="1" t="s">
        <v>26</v>
      </c>
    </row>
    <row r="5598" ht="15.75" customHeight="1">
      <c r="A5598" s="1" t="s">
        <v>5635</v>
      </c>
      <c r="B5598" s="1" t="s">
        <v>24</v>
      </c>
      <c r="C5598" s="1">
        <v>0.0</v>
      </c>
      <c r="D5598" s="1" t="s">
        <v>26</v>
      </c>
      <c r="E5598" s="1" t="s">
        <v>26</v>
      </c>
      <c r="F5598" s="1">
        <v>65.0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1">
        <v>26.5</v>
      </c>
      <c r="T5598" s="1">
        <v>1698.55</v>
      </c>
      <c r="U5598" s="1">
        <v>1.0</v>
      </c>
      <c r="V5598" s="1">
        <v>0.0</v>
      </c>
      <c r="W5598" s="1" t="s">
        <v>26</v>
      </c>
    </row>
    <row r="5599" ht="15.75" customHeight="1">
      <c r="A5599" s="1" t="s">
        <v>5636</v>
      </c>
      <c r="B5599" s="1" t="s">
        <v>32</v>
      </c>
      <c r="C5599" s="1">
        <v>1.0</v>
      </c>
      <c r="D5599" s="1" t="s">
        <v>26</v>
      </c>
      <c r="E5599" s="1" t="s">
        <v>26</v>
      </c>
      <c r="F5599" s="1">
        <v>22.0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1">
        <v>90.5</v>
      </c>
      <c r="T5599" s="1">
        <v>1910.6</v>
      </c>
      <c r="U5599" s="1">
        <v>0.0</v>
      </c>
      <c r="V5599" s="1">
        <v>1.0</v>
      </c>
      <c r="W5599" s="1" t="s">
        <v>25</v>
      </c>
    </row>
    <row r="5600" ht="15.75" customHeight="1">
      <c r="A5600" s="1" t="s">
        <v>5637</v>
      </c>
      <c r="B5600" s="1" t="s">
        <v>24</v>
      </c>
      <c r="C5600" s="1">
        <v>0.0</v>
      </c>
      <c r="D5600" s="1" t="s">
        <v>25</v>
      </c>
      <c r="E5600" s="1" t="s">
        <v>25</v>
      </c>
      <c r="F5600" s="1">
        <v>55.0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1">
        <v>19.15</v>
      </c>
      <c r="T5600" s="1">
        <v>998.1</v>
      </c>
      <c r="U5600" s="1">
        <v>0.0</v>
      </c>
      <c r="V5600" s="1">
        <v>0.0</v>
      </c>
      <c r="W5600" s="1" t="s">
        <v>26</v>
      </c>
    </row>
    <row r="5601" ht="15.75" customHeight="1">
      <c r="A5601" s="1" t="s">
        <v>5638</v>
      </c>
      <c r="B5601" s="1" t="s">
        <v>32</v>
      </c>
      <c r="C5601" s="1">
        <v>0.0</v>
      </c>
      <c r="D5601" s="1" t="s">
        <v>25</v>
      </c>
      <c r="E5601" s="1" t="s">
        <v>26</v>
      </c>
      <c r="F5601" s="1">
        <v>9.0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1">
        <v>94.85</v>
      </c>
      <c r="T5601" s="1">
        <v>890.6</v>
      </c>
      <c r="U5601" s="1">
        <v>5.0</v>
      </c>
      <c r="V5601" s="1">
        <v>0.0</v>
      </c>
      <c r="W5601" s="1" t="s">
        <v>25</v>
      </c>
    </row>
    <row r="5602" ht="15.75" customHeight="1">
      <c r="A5602" s="1" t="s">
        <v>5639</v>
      </c>
      <c r="B5602" s="1" t="s">
        <v>32</v>
      </c>
      <c r="C5602" s="1">
        <v>0.0</v>
      </c>
      <c r="D5602" s="1" t="s">
        <v>25</v>
      </c>
      <c r="E5602" s="1" t="s">
        <v>25</v>
      </c>
      <c r="F5602" s="1">
        <v>7.0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1">
        <v>69.95</v>
      </c>
      <c r="T5602" s="1">
        <v>529.5</v>
      </c>
      <c r="U5602" s="1">
        <v>0.0</v>
      </c>
      <c r="V5602" s="1">
        <v>0.0</v>
      </c>
      <c r="W5602" s="1" t="s">
        <v>25</v>
      </c>
    </row>
    <row r="5603" ht="15.75" customHeight="1">
      <c r="A5603" s="1" t="s">
        <v>5640</v>
      </c>
      <c r="B5603" s="1" t="s">
        <v>24</v>
      </c>
      <c r="C5603" s="1">
        <v>0.0</v>
      </c>
      <c r="D5603" s="1" t="s">
        <v>25</v>
      </c>
      <c r="E5603" s="1" t="s">
        <v>25</v>
      </c>
      <c r="F5603" s="1">
        <v>35.0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1">
        <v>40.9</v>
      </c>
      <c r="T5603" s="1">
        <v>1383.6</v>
      </c>
      <c r="U5603" s="1">
        <v>0.0</v>
      </c>
      <c r="V5603" s="1">
        <v>0.0</v>
      </c>
      <c r="W5603" s="1" t="s">
        <v>26</v>
      </c>
    </row>
    <row r="5604" ht="15.75" customHeight="1">
      <c r="A5604" s="1" t="s">
        <v>5641</v>
      </c>
      <c r="B5604" s="1" t="s">
        <v>32</v>
      </c>
      <c r="C5604" s="1">
        <v>0.0</v>
      </c>
      <c r="D5604" s="1" t="s">
        <v>26</v>
      </c>
      <c r="E5604" s="1" t="s">
        <v>26</v>
      </c>
      <c r="F5604" s="1">
        <v>6.0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1">
        <v>80.25</v>
      </c>
      <c r="T5604" s="1">
        <v>493.4</v>
      </c>
      <c r="U5604" s="1">
        <v>0.0</v>
      </c>
      <c r="V5604" s="1">
        <v>0.0</v>
      </c>
      <c r="W5604" s="1" t="s">
        <v>26</v>
      </c>
    </row>
    <row r="5605" ht="15.75" customHeight="1">
      <c r="A5605" s="1" t="s">
        <v>5642</v>
      </c>
      <c r="B5605" s="1" t="s">
        <v>24</v>
      </c>
      <c r="C5605" s="1">
        <v>0.0</v>
      </c>
      <c r="D5605" s="1" t="s">
        <v>26</v>
      </c>
      <c r="E5605" s="1" t="s">
        <v>26</v>
      </c>
      <c r="F5605" s="1">
        <v>1.0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1">
        <v>48.6</v>
      </c>
      <c r="T5605" s="1">
        <v>48.6</v>
      </c>
      <c r="U5605" s="1">
        <v>0.0</v>
      </c>
      <c r="V5605" s="1">
        <v>0.0</v>
      </c>
      <c r="W5605" s="1" t="s">
        <v>25</v>
      </c>
    </row>
    <row r="5606" ht="15.75" customHeight="1">
      <c r="A5606" s="1" t="s">
        <v>5643</v>
      </c>
      <c r="B5606" s="1" t="s">
        <v>32</v>
      </c>
      <c r="C5606" s="1">
        <v>0.0</v>
      </c>
      <c r="D5606" s="1" t="s">
        <v>26</v>
      </c>
      <c r="E5606" s="1" t="s">
        <v>26</v>
      </c>
      <c r="F5606" s="1">
        <v>17.0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1">
        <v>70.8</v>
      </c>
      <c r="T5606" s="1">
        <v>1207.0</v>
      </c>
      <c r="U5606" s="1">
        <v>0.0</v>
      </c>
      <c r="V5606" s="1">
        <v>0.0</v>
      </c>
      <c r="W5606" s="1" t="s">
        <v>26</v>
      </c>
    </row>
    <row r="5607" ht="15.75" customHeight="1">
      <c r="A5607" s="1" t="s">
        <v>5644</v>
      </c>
      <c r="B5607" s="1" t="s">
        <v>32</v>
      </c>
      <c r="C5607" s="1">
        <v>0.0</v>
      </c>
      <c r="D5607" s="1" t="s">
        <v>25</v>
      </c>
      <c r="E5607" s="1" t="s">
        <v>25</v>
      </c>
      <c r="F5607" s="1">
        <v>10.0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1">
        <v>60.2</v>
      </c>
      <c r="T5607" s="1">
        <v>563.5</v>
      </c>
      <c r="U5607" s="1">
        <v>0.0</v>
      </c>
      <c r="V5607" s="1">
        <v>0.0</v>
      </c>
      <c r="W5607" s="1" t="s">
        <v>26</v>
      </c>
    </row>
    <row r="5608" ht="15.75" customHeight="1">
      <c r="A5608" s="1" t="s">
        <v>5645</v>
      </c>
      <c r="B5608" s="1" t="s">
        <v>32</v>
      </c>
      <c r="C5608" s="1">
        <v>0.0</v>
      </c>
      <c r="D5608" s="1" t="s">
        <v>26</v>
      </c>
      <c r="E5608" s="1" t="s">
        <v>25</v>
      </c>
      <c r="F5608" s="1">
        <v>15.0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1">
        <v>55.2</v>
      </c>
      <c r="T5608" s="1">
        <v>864.55</v>
      </c>
      <c r="U5608" s="1">
        <v>0.0</v>
      </c>
      <c r="V5608" s="1">
        <v>0.0</v>
      </c>
      <c r="W5608" s="1" t="s">
        <v>26</v>
      </c>
    </row>
    <row r="5609" ht="15.75" customHeight="1">
      <c r="A5609" s="1" t="s">
        <v>5646</v>
      </c>
      <c r="B5609" s="1" t="s">
        <v>24</v>
      </c>
      <c r="C5609" s="1">
        <v>1.0</v>
      </c>
      <c r="D5609" s="1" t="s">
        <v>26</v>
      </c>
      <c r="E5609" s="1" t="s">
        <v>26</v>
      </c>
      <c r="F5609" s="1">
        <v>40.0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1">
        <v>55.8</v>
      </c>
      <c r="T5609" s="1">
        <v>2109.35</v>
      </c>
      <c r="U5609" s="1">
        <v>0.0</v>
      </c>
      <c r="V5609" s="1">
        <v>4.0</v>
      </c>
      <c r="W5609" s="1" t="s">
        <v>25</v>
      </c>
    </row>
    <row r="5610" ht="15.75" customHeight="1">
      <c r="A5610" s="1" t="s">
        <v>5647</v>
      </c>
      <c r="B5610" s="1" t="s">
        <v>24</v>
      </c>
      <c r="C5610" s="1">
        <v>0.0</v>
      </c>
      <c r="D5610" s="1" t="s">
        <v>25</v>
      </c>
      <c r="E5610" s="1" t="s">
        <v>25</v>
      </c>
      <c r="F5610" s="1">
        <v>13.0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1">
        <v>54.15</v>
      </c>
      <c r="T5610" s="1">
        <v>701.05</v>
      </c>
      <c r="U5610" s="1">
        <v>0.0</v>
      </c>
      <c r="V5610" s="1">
        <v>0.0</v>
      </c>
      <c r="W5610" s="1" t="s">
        <v>26</v>
      </c>
    </row>
    <row r="5611" ht="15.75" customHeight="1">
      <c r="A5611" s="1" t="s">
        <v>5648</v>
      </c>
      <c r="B5611" s="1" t="s">
        <v>32</v>
      </c>
      <c r="C5611" s="1">
        <v>0.0</v>
      </c>
      <c r="D5611" s="1" t="s">
        <v>25</v>
      </c>
      <c r="E5611" s="1" t="s">
        <v>26</v>
      </c>
      <c r="F5611" s="1">
        <v>29.0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1">
        <v>80.15</v>
      </c>
      <c r="T5611" s="1">
        <v>2265.25</v>
      </c>
      <c r="U5611" s="1">
        <v>0.0</v>
      </c>
      <c r="V5611" s="1">
        <v>0.0</v>
      </c>
      <c r="W5611" s="1" t="s">
        <v>25</v>
      </c>
    </row>
    <row r="5612" ht="15.75" customHeight="1">
      <c r="A5612" s="1" t="s">
        <v>5649</v>
      </c>
      <c r="B5612" s="1" t="s">
        <v>24</v>
      </c>
      <c r="C5612" s="1">
        <v>0.0</v>
      </c>
      <c r="D5612" s="1" t="s">
        <v>26</v>
      </c>
      <c r="E5612" s="1" t="s">
        <v>26</v>
      </c>
      <c r="F5612" s="1">
        <v>3.0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1">
        <v>75.5</v>
      </c>
      <c r="T5612" s="1">
        <v>220.6</v>
      </c>
      <c r="U5612" s="1">
        <v>3.0</v>
      </c>
      <c r="V5612" s="1">
        <v>0.0</v>
      </c>
      <c r="W5612" s="1" t="s">
        <v>25</v>
      </c>
    </row>
    <row r="5613" ht="15.75" customHeight="1">
      <c r="A5613" s="1" t="s">
        <v>5650</v>
      </c>
      <c r="B5613" s="1" t="s">
        <v>24</v>
      </c>
      <c r="C5613" s="1">
        <v>1.0</v>
      </c>
      <c r="D5613" s="1" t="s">
        <v>25</v>
      </c>
      <c r="E5613" s="1" t="s">
        <v>26</v>
      </c>
      <c r="F5613" s="1">
        <v>58.0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1">
        <v>100.4</v>
      </c>
      <c r="T5613" s="1">
        <v>5749.8</v>
      </c>
      <c r="U5613" s="1">
        <v>0.0</v>
      </c>
      <c r="V5613" s="1">
        <v>0.0</v>
      </c>
      <c r="W5613" s="1" t="s">
        <v>26</v>
      </c>
    </row>
    <row r="5614" ht="15.75" customHeight="1">
      <c r="A5614" s="1" t="s">
        <v>5651</v>
      </c>
      <c r="B5614" s="1" t="s">
        <v>24</v>
      </c>
      <c r="C5614" s="1">
        <v>0.0</v>
      </c>
      <c r="D5614" s="1" t="s">
        <v>26</v>
      </c>
      <c r="E5614" s="1" t="s">
        <v>26</v>
      </c>
      <c r="F5614" s="1">
        <v>45.0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1">
        <v>62.55</v>
      </c>
      <c r="T5614" s="1">
        <v>2796.45</v>
      </c>
      <c r="U5614" s="1">
        <v>4.0</v>
      </c>
      <c r="V5614" s="1">
        <v>0.0</v>
      </c>
      <c r="W5614" s="1" t="s">
        <v>26</v>
      </c>
    </row>
    <row r="5615" ht="15.75" customHeight="1">
      <c r="A5615" s="1" t="s">
        <v>5652</v>
      </c>
      <c r="B5615" s="1" t="s">
        <v>24</v>
      </c>
      <c r="C5615" s="1">
        <v>0.0</v>
      </c>
      <c r="D5615" s="1" t="s">
        <v>25</v>
      </c>
      <c r="E5615" s="1" t="s">
        <v>25</v>
      </c>
      <c r="F5615" s="1">
        <v>72.0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1">
        <v>70.45</v>
      </c>
      <c r="T5615" s="1">
        <v>5165.7</v>
      </c>
      <c r="U5615" s="1">
        <v>0.0</v>
      </c>
      <c r="V5615" s="1">
        <v>0.0</v>
      </c>
      <c r="W5615" s="1" t="s">
        <v>26</v>
      </c>
    </row>
    <row r="5616" ht="15.75" customHeight="1">
      <c r="A5616" s="1" t="s">
        <v>5653</v>
      </c>
      <c r="B5616" s="1" t="s">
        <v>32</v>
      </c>
      <c r="C5616" s="1">
        <v>0.0</v>
      </c>
      <c r="D5616" s="1" t="s">
        <v>25</v>
      </c>
      <c r="E5616" s="1" t="s">
        <v>25</v>
      </c>
      <c r="F5616" s="1">
        <v>68.0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1">
        <v>85.5</v>
      </c>
      <c r="T5616" s="1">
        <v>5696.6</v>
      </c>
      <c r="U5616" s="1">
        <v>5.0</v>
      </c>
      <c r="V5616" s="1">
        <v>0.0</v>
      </c>
      <c r="W5616" s="1" t="s">
        <v>26</v>
      </c>
    </row>
    <row r="5617" ht="15.75" customHeight="1">
      <c r="A5617" s="1" t="s">
        <v>5654</v>
      </c>
      <c r="B5617" s="1" t="s">
        <v>32</v>
      </c>
      <c r="C5617" s="1">
        <v>0.0</v>
      </c>
      <c r="D5617" s="1" t="s">
        <v>26</v>
      </c>
      <c r="E5617" s="1" t="s">
        <v>26</v>
      </c>
      <c r="F5617" s="1">
        <v>1.0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1">
        <v>20.2</v>
      </c>
      <c r="T5617" s="1">
        <v>20.2</v>
      </c>
      <c r="U5617" s="1">
        <v>0.0</v>
      </c>
      <c r="V5617" s="1">
        <v>0.0</v>
      </c>
      <c r="W5617" s="1" t="s">
        <v>25</v>
      </c>
    </row>
    <row r="5618" ht="15.75" customHeight="1">
      <c r="A5618" s="1" t="s">
        <v>5655</v>
      </c>
      <c r="B5618" s="1" t="s">
        <v>24</v>
      </c>
      <c r="C5618" s="1">
        <v>0.0</v>
      </c>
      <c r="D5618" s="1" t="s">
        <v>25</v>
      </c>
      <c r="E5618" s="1" t="s">
        <v>25</v>
      </c>
      <c r="F5618" s="1">
        <v>38.0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1">
        <v>54.5</v>
      </c>
      <c r="T5618" s="1">
        <v>2076.05</v>
      </c>
      <c r="U5618" s="1">
        <v>0.0</v>
      </c>
      <c r="V5618" s="1">
        <v>0.0</v>
      </c>
      <c r="W5618" s="1" t="s">
        <v>26</v>
      </c>
    </row>
    <row r="5619" ht="15.75" customHeight="1">
      <c r="A5619" s="1" t="s">
        <v>5656</v>
      </c>
      <c r="B5619" s="1" t="s">
        <v>32</v>
      </c>
      <c r="C5619" s="1">
        <v>0.0</v>
      </c>
      <c r="D5619" s="1" t="s">
        <v>26</v>
      </c>
      <c r="E5619" s="1" t="s">
        <v>26</v>
      </c>
      <c r="F5619" s="1">
        <v>2.0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1">
        <v>20.75</v>
      </c>
      <c r="T5619" s="1">
        <v>44.2</v>
      </c>
      <c r="U5619" s="1">
        <v>0.0</v>
      </c>
      <c r="V5619" s="1">
        <v>0.0</v>
      </c>
      <c r="W5619" s="1" t="s">
        <v>26</v>
      </c>
    </row>
    <row r="5620" ht="15.75" customHeight="1">
      <c r="A5620" s="1" t="s">
        <v>5657</v>
      </c>
      <c r="B5620" s="1" t="s">
        <v>32</v>
      </c>
      <c r="C5620" s="1">
        <v>0.0</v>
      </c>
      <c r="D5620" s="1" t="s">
        <v>26</v>
      </c>
      <c r="E5620" s="1" t="s">
        <v>26</v>
      </c>
      <c r="F5620" s="1">
        <v>11.0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1">
        <v>20.35</v>
      </c>
      <c r="T5620" s="1">
        <v>215.25</v>
      </c>
      <c r="U5620" s="1">
        <v>0.0</v>
      </c>
      <c r="V5620" s="1">
        <v>0.0</v>
      </c>
      <c r="W5620" s="1" t="s">
        <v>26</v>
      </c>
    </row>
    <row r="5621" ht="15.75" customHeight="1">
      <c r="A5621" s="1" t="s">
        <v>5658</v>
      </c>
      <c r="B5621" s="1" t="s">
        <v>24</v>
      </c>
      <c r="C5621" s="1">
        <v>1.0</v>
      </c>
      <c r="D5621" s="1" t="s">
        <v>25</v>
      </c>
      <c r="E5621" s="1" t="s">
        <v>26</v>
      </c>
      <c r="F5621" s="1">
        <v>20.0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1">
        <v>91.0</v>
      </c>
      <c r="T5621" s="1">
        <v>1859.5</v>
      </c>
      <c r="U5621" s="1">
        <v>0.0</v>
      </c>
      <c r="V5621" s="1">
        <v>0.0</v>
      </c>
      <c r="W5621" s="1" t="s">
        <v>26</v>
      </c>
    </row>
    <row r="5622" ht="15.75" customHeight="1">
      <c r="A5622" s="1" t="s">
        <v>5659</v>
      </c>
      <c r="B5622" s="1" t="s">
        <v>32</v>
      </c>
      <c r="C5622" s="1">
        <v>0.0</v>
      </c>
      <c r="D5622" s="1" t="s">
        <v>25</v>
      </c>
      <c r="E5622" s="1" t="s">
        <v>26</v>
      </c>
      <c r="F5622" s="1">
        <v>72.0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1">
        <v>104.8</v>
      </c>
      <c r="T5622" s="1">
        <v>7470.1</v>
      </c>
      <c r="U5622" s="1">
        <v>5.0</v>
      </c>
      <c r="V5622" s="1">
        <v>0.0</v>
      </c>
      <c r="W5622" s="1" t="s">
        <v>26</v>
      </c>
    </row>
    <row r="5623" ht="15.75" customHeight="1">
      <c r="A5623" s="1" t="s">
        <v>5660</v>
      </c>
      <c r="B5623" s="1" t="s">
        <v>24</v>
      </c>
      <c r="C5623" s="1">
        <v>0.0</v>
      </c>
      <c r="D5623" s="1" t="s">
        <v>25</v>
      </c>
      <c r="E5623" s="1" t="s">
        <v>26</v>
      </c>
      <c r="F5623" s="1">
        <v>3.0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1">
        <v>74.75</v>
      </c>
      <c r="T5623" s="1">
        <v>229.5</v>
      </c>
      <c r="U5623" s="1">
        <v>1.0</v>
      </c>
      <c r="V5623" s="1">
        <v>0.0</v>
      </c>
      <c r="W5623" s="1" t="s">
        <v>25</v>
      </c>
    </row>
    <row r="5624" ht="15.75" customHeight="1">
      <c r="A5624" s="1" t="s">
        <v>5661</v>
      </c>
      <c r="B5624" s="1" t="s">
        <v>32</v>
      </c>
      <c r="C5624" s="1">
        <v>0.0</v>
      </c>
      <c r="D5624" s="1" t="s">
        <v>26</v>
      </c>
      <c r="E5624" s="1" t="s">
        <v>26</v>
      </c>
      <c r="F5624" s="1">
        <v>23.0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1">
        <v>104.05</v>
      </c>
      <c r="T5624" s="1">
        <v>2470.1</v>
      </c>
      <c r="U5624" s="1">
        <v>0.0</v>
      </c>
      <c r="V5624" s="1">
        <v>3.0</v>
      </c>
      <c r="W5624" s="1" t="s">
        <v>25</v>
      </c>
    </row>
    <row r="5625" ht="15.75" customHeight="1">
      <c r="A5625" s="1" t="s">
        <v>5662</v>
      </c>
      <c r="B5625" s="1" t="s">
        <v>32</v>
      </c>
      <c r="C5625" s="1">
        <v>0.0</v>
      </c>
      <c r="D5625" s="1" t="s">
        <v>26</v>
      </c>
      <c r="E5625" s="1" t="s">
        <v>26</v>
      </c>
      <c r="F5625" s="1">
        <v>40.0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1">
        <v>51.1</v>
      </c>
      <c r="T5625" s="1">
        <v>2092.9</v>
      </c>
      <c r="U5625" s="1">
        <v>0.0</v>
      </c>
      <c r="V5625" s="1">
        <v>0.0</v>
      </c>
      <c r="W5625" s="1" t="s">
        <v>26</v>
      </c>
    </row>
    <row r="5626" ht="15.75" customHeight="1">
      <c r="A5626" s="1" t="s">
        <v>5663</v>
      </c>
      <c r="B5626" s="1" t="s">
        <v>32</v>
      </c>
      <c r="C5626" s="1">
        <v>1.0</v>
      </c>
      <c r="D5626" s="1" t="s">
        <v>25</v>
      </c>
      <c r="E5626" s="1" t="s">
        <v>26</v>
      </c>
      <c r="F5626" s="1">
        <v>62.0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1">
        <v>89.8</v>
      </c>
      <c r="T5626" s="1">
        <v>5629.55</v>
      </c>
      <c r="U5626" s="1">
        <v>0.0</v>
      </c>
      <c r="V5626" s="1">
        <v>0.0</v>
      </c>
      <c r="W5626" s="1" t="s">
        <v>26</v>
      </c>
    </row>
    <row r="5627" ht="15.75" customHeight="1">
      <c r="A5627" s="1" t="s">
        <v>5664</v>
      </c>
      <c r="B5627" s="1" t="s">
        <v>24</v>
      </c>
      <c r="C5627" s="1">
        <v>0.0</v>
      </c>
      <c r="D5627" s="1" t="s">
        <v>26</v>
      </c>
      <c r="E5627" s="1" t="s">
        <v>25</v>
      </c>
      <c r="F5627" s="1">
        <v>22.0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1">
        <v>20.55</v>
      </c>
      <c r="T5627" s="1">
        <v>469.85</v>
      </c>
      <c r="U5627" s="1">
        <v>5.0</v>
      </c>
      <c r="V5627" s="1">
        <v>0.0</v>
      </c>
      <c r="W5627" s="1" t="s">
        <v>26</v>
      </c>
    </row>
    <row r="5628" ht="15.75" customHeight="1">
      <c r="A5628" s="1" t="s">
        <v>5665</v>
      </c>
      <c r="B5628" s="1" t="s">
        <v>24</v>
      </c>
      <c r="C5628" s="1">
        <v>0.0</v>
      </c>
      <c r="D5628" s="1" t="s">
        <v>26</v>
      </c>
      <c r="E5628" s="1" t="s">
        <v>26</v>
      </c>
      <c r="F5628" s="1">
        <v>11.0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1">
        <v>64.05</v>
      </c>
      <c r="T5628" s="1">
        <v>733.95</v>
      </c>
      <c r="U5628" s="1">
        <v>0.0</v>
      </c>
      <c r="V5628" s="1">
        <v>0.0</v>
      </c>
      <c r="W5628" s="1" t="s">
        <v>26</v>
      </c>
    </row>
    <row r="5629" ht="15.75" customHeight="1">
      <c r="A5629" s="1" t="s">
        <v>5666</v>
      </c>
      <c r="B5629" s="1" t="s">
        <v>32</v>
      </c>
      <c r="C5629" s="1">
        <v>1.0</v>
      </c>
      <c r="D5629" s="1" t="s">
        <v>25</v>
      </c>
      <c r="E5629" s="1" t="s">
        <v>26</v>
      </c>
      <c r="F5629" s="1">
        <v>7.0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1">
        <v>74.85</v>
      </c>
      <c r="T5629" s="1">
        <v>485.25</v>
      </c>
      <c r="U5629" s="1">
        <v>0.0</v>
      </c>
      <c r="V5629" s="1">
        <v>0.0</v>
      </c>
      <c r="W5629" s="1" t="s">
        <v>26</v>
      </c>
    </row>
    <row r="5630" ht="15.75" customHeight="1">
      <c r="A5630" s="1" t="s">
        <v>5667</v>
      </c>
      <c r="B5630" s="1" t="s">
        <v>24</v>
      </c>
      <c r="C5630" s="1">
        <v>0.0</v>
      </c>
      <c r="D5630" s="1" t="s">
        <v>26</v>
      </c>
      <c r="E5630" s="1" t="s">
        <v>26</v>
      </c>
      <c r="F5630" s="1">
        <v>13.0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1">
        <v>96.65</v>
      </c>
      <c r="T5630" s="1">
        <v>1244.5</v>
      </c>
      <c r="U5630" s="1">
        <v>0.0</v>
      </c>
      <c r="V5630" s="1">
        <v>0.0</v>
      </c>
      <c r="W5630" s="1" t="s">
        <v>25</v>
      </c>
    </row>
    <row r="5631" ht="15.75" customHeight="1">
      <c r="A5631" s="1" t="s">
        <v>5668</v>
      </c>
      <c r="B5631" s="1" t="s">
        <v>32</v>
      </c>
      <c r="C5631" s="1">
        <v>1.0</v>
      </c>
      <c r="D5631" s="1" t="s">
        <v>26</v>
      </c>
      <c r="E5631" s="1" t="s">
        <v>26</v>
      </c>
      <c r="F5631" s="1">
        <v>1.0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1">
        <v>20.05</v>
      </c>
      <c r="T5631" s="1">
        <v>20.05</v>
      </c>
      <c r="U5631" s="1">
        <v>0.0</v>
      </c>
      <c r="V5631" s="1">
        <v>0.0</v>
      </c>
      <c r="W5631" s="1" t="s">
        <v>25</v>
      </c>
    </row>
    <row r="5632" ht="15.75" customHeight="1">
      <c r="A5632" s="1" t="s">
        <v>5669</v>
      </c>
      <c r="B5632" s="1" t="s">
        <v>24</v>
      </c>
      <c r="C5632" s="1">
        <v>0.0</v>
      </c>
      <c r="D5632" s="1" t="s">
        <v>26</v>
      </c>
      <c r="E5632" s="1" t="s">
        <v>26</v>
      </c>
      <c r="F5632" s="1">
        <v>39.0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1">
        <v>103.45</v>
      </c>
      <c r="T5632" s="1">
        <v>3994.45</v>
      </c>
      <c r="U5632" s="1">
        <v>0.0</v>
      </c>
      <c r="V5632" s="1">
        <v>2.0</v>
      </c>
      <c r="W5632" s="1" t="s">
        <v>25</v>
      </c>
    </row>
    <row r="5633" ht="15.75" customHeight="1">
      <c r="A5633" s="1" t="s">
        <v>5670</v>
      </c>
      <c r="B5633" s="1" t="s">
        <v>32</v>
      </c>
      <c r="C5633" s="1">
        <v>0.0</v>
      </c>
      <c r="D5633" s="1" t="s">
        <v>25</v>
      </c>
      <c r="E5633" s="1" t="s">
        <v>26</v>
      </c>
      <c r="F5633" s="1">
        <v>3.0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1">
        <v>25.0</v>
      </c>
      <c r="T5633" s="1">
        <v>78.25</v>
      </c>
      <c r="U5633" s="1">
        <v>0.0</v>
      </c>
      <c r="V5633" s="1">
        <v>0.0</v>
      </c>
      <c r="W5633" s="1" t="s">
        <v>26</v>
      </c>
    </row>
    <row r="5634" ht="15.75" customHeight="1">
      <c r="A5634" s="1" t="s">
        <v>5671</v>
      </c>
      <c r="B5634" s="1" t="s">
        <v>32</v>
      </c>
      <c r="C5634" s="1">
        <v>0.0</v>
      </c>
      <c r="D5634" s="1" t="s">
        <v>26</v>
      </c>
      <c r="E5634" s="1" t="s">
        <v>26</v>
      </c>
      <c r="F5634" s="1">
        <v>58.0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1">
        <v>20.3</v>
      </c>
      <c r="T5634" s="1">
        <v>1131.5</v>
      </c>
      <c r="U5634" s="1">
        <v>0.0</v>
      </c>
      <c r="V5634" s="1">
        <v>1.0</v>
      </c>
      <c r="W5634" s="1" t="s">
        <v>26</v>
      </c>
    </row>
    <row r="5635" ht="15.75" customHeight="1">
      <c r="A5635" s="1" t="s">
        <v>5672</v>
      </c>
      <c r="B5635" s="1" t="s">
        <v>32</v>
      </c>
      <c r="C5635" s="1">
        <v>0.0</v>
      </c>
      <c r="D5635" s="1" t="s">
        <v>26</v>
      </c>
      <c r="E5635" s="1" t="s">
        <v>25</v>
      </c>
      <c r="F5635" s="1">
        <v>6.0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1">
        <v>26.35</v>
      </c>
      <c r="T5635" s="1">
        <v>184.05</v>
      </c>
      <c r="U5635" s="1">
        <v>0.0</v>
      </c>
      <c r="V5635" s="1">
        <v>0.0</v>
      </c>
      <c r="W5635" s="1" t="s">
        <v>26</v>
      </c>
    </row>
    <row r="5636" ht="15.75" customHeight="1">
      <c r="A5636" s="1" t="s">
        <v>5673</v>
      </c>
      <c r="B5636" s="1" t="s">
        <v>24</v>
      </c>
      <c r="C5636" s="1">
        <v>0.0</v>
      </c>
      <c r="D5636" s="1" t="s">
        <v>25</v>
      </c>
      <c r="E5636" s="1" t="s">
        <v>25</v>
      </c>
      <c r="F5636" s="1">
        <v>1.0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1">
        <v>19.9</v>
      </c>
      <c r="T5636" s="1">
        <v>19.9</v>
      </c>
      <c r="U5636" s="1">
        <v>5.0</v>
      </c>
      <c r="V5636" s="1">
        <v>0.0</v>
      </c>
      <c r="W5636" s="1" t="s">
        <v>25</v>
      </c>
    </row>
    <row r="5637" ht="15.75" customHeight="1">
      <c r="A5637" s="1" t="s">
        <v>5674</v>
      </c>
      <c r="B5637" s="1" t="s">
        <v>24</v>
      </c>
      <c r="C5637" s="1">
        <v>0.0</v>
      </c>
      <c r="D5637" s="1" t="s">
        <v>25</v>
      </c>
      <c r="E5637" s="1" t="s">
        <v>26</v>
      </c>
      <c r="F5637" s="1">
        <v>22.0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1">
        <v>54.7</v>
      </c>
      <c r="T5637" s="1">
        <v>1178.75</v>
      </c>
      <c r="U5637" s="1">
        <v>0.0</v>
      </c>
      <c r="V5637" s="1">
        <v>0.0</v>
      </c>
      <c r="W5637" s="1" t="s">
        <v>26</v>
      </c>
    </row>
    <row r="5638" ht="15.75" customHeight="1">
      <c r="A5638" s="1" t="s">
        <v>5675</v>
      </c>
      <c r="B5638" s="1" t="s">
        <v>32</v>
      </c>
      <c r="C5638" s="1">
        <v>0.0</v>
      </c>
      <c r="D5638" s="1" t="s">
        <v>25</v>
      </c>
      <c r="E5638" s="1" t="s">
        <v>26</v>
      </c>
      <c r="F5638" s="1">
        <v>14.0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1">
        <v>46.35</v>
      </c>
      <c r="T5638" s="1">
        <v>667.7</v>
      </c>
      <c r="U5638" s="1">
        <v>0.0</v>
      </c>
      <c r="V5638" s="1">
        <v>0.0</v>
      </c>
      <c r="W5638" s="1" t="s">
        <v>25</v>
      </c>
    </row>
    <row r="5639" ht="15.75" customHeight="1">
      <c r="A5639" s="1" t="s">
        <v>5676</v>
      </c>
      <c r="B5639" s="1" t="s">
        <v>32</v>
      </c>
      <c r="C5639" s="1">
        <v>0.0</v>
      </c>
      <c r="D5639" s="1" t="s">
        <v>25</v>
      </c>
      <c r="E5639" s="1" t="s">
        <v>25</v>
      </c>
      <c r="F5639" s="1">
        <v>64.0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1">
        <v>90.25</v>
      </c>
      <c r="T5639" s="1">
        <v>5629.15</v>
      </c>
      <c r="U5639" s="1">
        <v>0.0</v>
      </c>
      <c r="V5639" s="1">
        <v>0.0</v>
      </c>
      <c r="W5639" s="1" t="s">
        <v>26</v>
      </c>
    </row>
    <row r="5640" ht="15.75" customHeight="1">
      <c r="A5640" s="1" t="s">
        <v>5677</v>
      </c>
      <c r="B5640" s="1" t="s">
        <v>32</v>
      </c>
      <c r="C5640" s="1">
        <v>0.0</v>
      </c>
      <c r="D5640" s="1" t="s">
        <v>26</v>
      </c>
      <c r="E5640" s="1" t="s">
        <v>26</v>
      </c>
      <c r="F5640" s="1">
        <v>1.0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1">
        <v>19.95</v>
      </c>
      <c r="T5640" s="1">
        <v>19.95</v>
      </c>
      <c r="U5640" s="1">
        <v>0.0</v>
      </c>
      <c r="V5640" s="1">
        <v>0.0</v>
      </c>
      <c r="W5640" s="1" t="s">
        <v>25</v>
      </c>
    </row>
    <row r="5641" ht="15.75" customHeight="1">
      <c r="A5641" s="1" t="s">
        <v>5678</v>
      </c>
      <c r="B5641" s="1" t="s">
        <v>32</v>
      </c>
      <c r="C5641" s="1">
        <v>0.0</v>
      </c>
      <c r="D5641" s="1" t="s">
        <v>26</v>
      </c>
      <c r="E5641" s="1" t="s">
        <v>26</v>
      </c>
      <c r="F5641" s="1">
        <v>6.0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1">
        <v>20.65</v>
      </c>
      <c r="T5641" s="1">
        <v>109.3</v>
      </c>
      <c r="U5641" s="1">
        <v>0.0</v>
      </c>
      <c r="V5641" s="1">
        <v>0.0</v>
      </c>
      <c r="W5641" s="1" t="s">
        <v>26</v>
      </c>
    </row>
    <row r="5642" ht="15.75" customHeight="1">
      <c r="A5642" s="1" t="s">
        <v>5679</v>
      </c>
      <c r="B5642" s="1" t="s">
        <v>32</v>
      </c>
      <c r="C5642" s="1">
        <v>0.0</v>
      </c>
      <c r="D5642" s="1" t="s">
        <v>26</v>
      </c>
      <c r="E5642" s="1" t="s">
        <v>26</v>
      </c>
      <c r="F5642" s="1">
        <v>1.0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1">
        <v>79.6</v>
      </c>
      <c r="T5642" s="1">
        <v>79.6</v>
      </c>
      <c r="U5642" s="1">
        <v>5.0</v>
      </c>
      <c r="V5642" s="1">
        <v>0.0</v>
      </c>
      <c r="W5642" s="1" t="s">
        <v>25</v>
      </c>
    </row>
    <row r="5643" ht="15.75" customHeight="1">
      <c r="A5643" s="1" t="s">
        <v>5680</v>
      </c>
      <c r="B5643" s="1" t="s">
        <v>32</v>
      </c>
      <c r="C5643" s="1">
        <v>0.0</v>
      </c>
      <c r="D5643" s="1" t="s">
        <v>26</v>
      </c>
      <c r="E5643" s="1" t="s">
        <v>25</v>
      </c>
      <c r="F5643" s="1">
        <v>39.0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1">
        <v>25.45</v>
      </c>
      <c r="T5643" s="1">
        <v>958.45</v>
      </c>
      <c r="U5643" s="1">
        <v>0.0</v>
      </c>
      <c r="V5643" s="1">
        <v>0.0</v>
      </c>
      <c r="W5643" s="1" t="s">
        <v>26</v>
      </c>
    </row>
    <row r="5644" ht="15.75" customHeight="1">
      <c r="A5644" s="1" t="s">
        <v>5681</v>
      </c>
      <c r="B5644" s="1" t="s">
        <v>24</v>
      </c>
      <c r="C5644" s="1">
        <v>0.0</v>
      </c>
      <c r="D5644" s="1" t="s">
        <v>26</v>
      </c>
      <c r="E5644" s="1" t="s">
        <v>26</v>
      </c>
      <c r="F5644" s="1">
        <v>20.0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1">
        <v>19.5</v>
      </c>
      <c r="T5644" s="1">
        <v>403.15</v>
      </c>
      <c r="U5644" s="1">
        <v>0.0</v>
      </c>
      <c r="V5644" s="1">
        <v>0.0</v>
      </c>
      <c r="W5644" s="1" t="s">
        <v>26</v>
      </c>
    </row>
    <row r="5645" ht="15.75" customHeight="1">
      <c r="A5645" s="1" t="s">
        <v>5682</v>
      </c>
      <c r="B5645" s="1" t="s">
        <v>32</v>
      </c>
      <c r="C5645" s="1">
        <v>0.0</v>
      </c>
      <c r="D5645" s="1" t="s">
        <v>26</v>
      </c>
      <c r="E5645" s="1" t="s">
        <v>26</v>
      </c>
      <c r="F5645" s="1">
        <v>1.0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1">
        <v>75.9</v>
      </c>
      <c r="T5645" s="1">
        <v>75.9</v>
      </c>
      <c r="U5645" s="1">
        <v>3.0</v>
      </c>
      <c r="V5645" s="1">
        <v>0.0</v>
      </c>
      <c r="W5645" s="1" t="s">
        <v>25</v>
      </c>
    </row>
    <row r="5646" ht="15.75" customHeight="1">
      <c r="A5646" s="1" t="s">
        <v>5683</v>
      </c>
      <c r="B5646" s="1" t="s">
        <v>32</v>
      </c>
      <c r="C5646" s="1">
        <v>0.0</v>
      </c>
      <c r="D5646" s="1" t="s">
        <v>25</v>
      </c>
      <c r="E5646" s="1" t="s">
        <v>26</v>
      </c>
      <c r="F5646" s="1">
        <v>1.0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1">
        <v>76.2</v>
      </c>
      <c r="T5646" s="1">
        <v>76.2</v>
      </c>
      <c r="U5646" s="1">
        <v>0.0</v>
      </c>
      <c r="V5646" s="1">
        <v>0.0</v>
      </c>
      <c r="W5646" s="1" t="s">
        <v>25</v>
      </c>
    </row>
    <row r="5647" ht="15.75" customHeight="1">
      <c r="A5647" s="1" t="s">
        <v>5684</v>
      </c>
      <c r="B5647" s="1" t="s">
        <v>32</v>
      </c>
      <c r="C5647" s="1">
        <v>0.0</v>
      </c>
      <c r="D5647" s="1" t="s">
        <v>25</v>
      </c>
      <c r="E5647" s="1" t="s">
        <v>26</v>
      </c>
      <c r="F5647" s="1">
        <v>64.0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1">
        <v>66.15</v>
      </c>
      <c r="T5647" s="1">
        <v>4392.5</v>
      </c>
      <c r="U5647" s="1">
        <v>0.0</v>
      </c>
      <c r="V5647" s="1">
        <v>0.0</v>
      </c>
      <c r="W5647" s="1" t="s">
        <v>26</v>
      </c>
    </row>
    <row r="5648" ht="15.75" customHeight="1">
      <c r="A5648" s="1" t="s">
        <v>5685</v>
      </c>
      <c r="B5648" s="1" t="s">
        <v>32</v>
      </c>
      <c r="C5648" s="1">
        <v>0.0</v>
      </c>
      <c r="D5648" s="1" t="s">
        <v>26</v>
      </c>
      <c r="E5648" s="1" t="s">
        <v>25</v>
      </c>
      <c r="F5648" s="1">
        <v>1.0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1">
        <v>19.25</v>
      </c>
      <c r="T5648" s="1">
        <v>19.25</v>
      </c>
      <c r="U5648" s="1">
        <v>0.0</v>
      </c>
      <c r="V5648" s="1">
        <v>0.0</v>
      </c>
      <c r="W5648" s="1" t="s">
        <v>25</v>
      </c>
    </row>
    <row r="5649" ht="15.75" customHeight="1">
      <c r="A5649" s="1" t="s">
        <v>5686</v>
      </c>
      <c r="B5649" s="1" t="s">
        <v>24</v>
      </c>
      <c r="C5649" s="1">
        <v>0.0</v>
      </c>
      <c r="D5649" s="1" t="s">
        <v>25</v>
      </c>
      <c r="E5649" s="1" t="s">
        <v>26</v>
      </c>
      <c r="F5649" s="1">
        <v>46.0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1">
        <v>69.1</v>
      </c>
      <c r="T5649" s="1">
        <v>3168.0</v>
      </c>
      <c r="U5649" s="1">
        <v>0.0</v>
      </c>
      <c r="V5649" s="1">
        <v>0.0</v>
      </c>
      <c r="W5649" s="1" t="s">
        <v>26</v>
      </c>
    </row>
    <row r="5650" ht="15.75" customHeight="1">
      <c r="A5650" s="1" t="s">
        <v>5687</v>
      </c>
      <c r="B5650" s="1" t="s">
        <v>24</v>
      </c>
      <c r="C5650" s="1">
        <v>1.0</v>
      </c>
      <c r="D5650" s="1" t="s">
        <v>25</v>
      </c>
      <c r="E5650" s="1" t="s">
        <v>25</v>
      </c>
      <c r="F5650" s="1">
        <v>28.0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1">
        <v>39.1</v>
      </c>
      <c r="T5650" s="1">
        <v>1096.6</v>
      </c>
      <c r="U5650" s="1">
        <v>4.0</v>
      </c>
      <c r="V5650" s="1">
        <v>0.0</v>
      </c>
      <c r="W5650" s="1" t="s">
        <v>26</v>
      </c>
    </row>
    <row r="5651" ht="15.75" customHeight="1">
      <c r="A5651" s="1" t="s">
        <v>5688</v>
      </c>
      <c r="B5651" s="1" t="s">
        <v>24</v>
      </c>
      <c r="C5651" s="1">
        <v>0.0</v>
      </c>
      <c r="D5651" s="1" t="s">
        <v>25</v>
      </c>
      <c r="E5651" s="1" t="s">
        <v>26</v>
      </c>
      <c r="F5651" s="1">
        <v>33.0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1">
        <v>20.05</v>
      </c>
      <c r="T5651" s="1">
        <v>669.45</v>
      </c>
      <c r="U5651" s="1">
        <v>0.0</v>
      </c>
      <c r="V5651" s="1">
        <v>0.0</v>
      </c>
      <c r="W5651" s="1" t="s">
        <v>26</v>
      </c>
    </row>
    <row r="5652" ht="15.75" customHeight="1">
      <c r="A5652" s="1" t="s">
        <v>5689</v>
      </c>
      <c r="B5652" s="1" t="s">
        <v>32</v>
      </c>
      <c r="C5652" s="1">
        <v>0.0</v>
      </c>
      <c r="D5652" s="1" t="s">
        <v>25</v>
      </c>
      <c r="E5652" s="1" t="s">
        <v>25</v>
      </c>
      <c r="F5652" s="1">
        <v>39.0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1">
        <v>59.8</v>
      </c>
      <c r="T5652" s="1">
        <v>2343.85</v>
      </c>
      <c r="U5652" s="1">
        <v>0.0</v>
      </c>
      <c r="V5652" s="1">
        <v>0.0</v>
      </c>
      <c r="W5652" s="1" t="s">
        <v>26</v>
      </c>
    </row>
    <row r="5653" ht="15.75" customHeight="1">
      <c r="A5653" s="1" t="s">
        <v>5690</v>
      </c>
      <c r="B5653" s="1" t="s">
        <v>24</v>
      </c>
      <c r="C5653" s="1">
        <v>0.0</v>
      </c>
      <c r="D5653" s="1" t="s">
        <v>25</v>
      </c>
      <c r="E5653" s="1" t="s">
        <v>26</v>
      </c>
      <c r="F5653" s="1">
        <v>42.0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1">
        <v>84.3</v>
      </c>
      <c r="T5653" s="1">
        <v>3588.4</v>
      </c>
      <c r="U5653" s="1">
        <v>0.0</v>
      </c>
      <c r="V5653" s="1">
        <v>0.0</v>
      </c>
      <c r="W5653" s="1" t="s">
        <v>25</v>
      </c>
    </row>
    <row r="5654" ht="15.75" customHeight="1">
      <c r="A5654" s="1" t="s">
        <v>5691</v>
      </c>
      <c r="B5654" s="1" t="s">
        <v>24</v>
      </c>
      <c r="C5654" s="1">
        <v>0.0</v>
      </c>
      <c r="D5654" s="1" t="s">
        <v>26</v>
      </c>
      <c r="E5654" s="1" t="s">
        <v>26</v>
      </c>
      <c r="F5654" s="1">
        <v>1.0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1">
        <v>48.6</v>
      </c>
      <c r="T5654" s="1">
        <v>48.6</v>
      </c>
      <c r="U5654" s="1">
        <v>0.0</v>
      </c>
      <c r="V5654" s="1">
        <v>0.0</v>
      </c>
      <c r="W5654" s="1" t="s">
        <v>26</v>
      </c>
    </row>
    <row r="5655" ht="15.75" customHeight="1">
      <c r="A5655" s="1" t="s">
        <v>5692</v>
      </c>
      <c r="B5655" s="1" t="s">
        <v>24</v>
      </c>
      <c r="C5655" s="1">
        <v>0.0</v>
      </c>
      <c r="D5655" s="1" t="s">
        <v>26</v>
      </c>
      <c r="E5655" s="1" t="s">
        <v>26</v>
      </c>
      <c r="F5655" s="1">
        <v>7.0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1">
        <v>79.0</v>
      </c>
      <c r="T5655" s="1">
        <v>522.95</v>
      </c>
      <c r="U5655" s="1">
        <v>0.0</v>
      </c>
      <c r="V5655" s="1">
        <v>0.0</v>
      </c>
      <c r="W5655" s="1" t="s">
        <v>25</v>
      </c>
    </row>
    <row r="5656" ht="15.75" customHeight="1">
      <c r="A5656" s="1" t="s">
        <v>5693</v>
      </c>
      <c r="B5656" s="1" t="s">
        <v>32</v>
      </c>
      <c r="C5656" s="1">
        <v>1.0</v>
      </c>
      <c r="D5656" s="1" t="s">
        <v>25</v>
      </c>
      <c r="E5656" s="1" t="s">
        <v>26</v>
      </c>
      <c r="F5656" s="1">
        <v>70.0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1">
        <v>105.35</v>
      </c>
      <c r="T5656" s="1">
        <v>7511.9</v>
      </c>
      <c r="U5656" s="1">
        <v>0.0</v>
      </c>
      <c r="V5656" s="1">
        <v>0.0</v>
      </c>
      <c r="W5656" s="1" t="s">
        <v>26</v>
      </c>
    </row>
    <row r="5657" ht="15.75" customHeight="1">
      <c r="A5657" s="1" t="s">
        <v>5694</v>
      </c>
      <c r="B5657" s="1" t="s">
        <v>32</v>
      </c>
      <c r="C5657" s="1">
        <v>0.0</v>
      </c>
      <c r="D5657" s="1" t="s">
        <v>26</v>
      </c>
      <c r="E5657" s="1" t="s">
        <v>26</v>
      </c>
      <c r="F5657" s="1">
        <v>65.0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1">
        <v>25.1</v>
      </c>
      <c r="T5657" s="1">
        <v>1725.0</v>
      </c>
      <c r="U5657" s="1">
        <v>0.0</v>
      </c>
      <c r="V5657" s="1">
        <v>0.0</v>
      </c>
      <c r="W5657" s="1" t="s">
        <v>26</v>
      </c>
    </row>
    <row r="5658" ht="15.75" customHeight="1">
      <c r="A5658" s="1" t="s">
        <v>5695</v>
      </c>
      <c r="B5658" s="1" t="s">
        <v>32</v>
      </c>
      <c r="C5658" s="1">
        <v>0.0</v>
      </c>
      <c r="D5658" s="1" t="s">
        <v>26</v>
      </c>
      <c r="E5658" s="1" t="s">
        <v>26</v>
      </c>
      <c r="F5658" s="1">
        <v>1.0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1">
        <v>49.75</v>
      </c>
      <c r="T5658" s="1">
        <v>49.75</v>
      </c>
      <c r="U5658" s="1">
        <v>2.0</v>
      </c>
      <c r="V5658" s="1">
        <v>0.0</v>
      </c>
      <c r="W5658" s="1" t="s">
        <v>26</v>
      </c>
    </row>
    <row r="5659" ht="15.75" customHeight="1">
      <c r="A5659" s="1" t="s">
        <v>5696</v>
      </c>
      <c r="B5659" s="1" t="s">
        <v>32</v>
      </c>
      <c r="C5659" s="1">
        <v>0.0</v>
      </c>
      <c r="D5659" s="1" t="s">
        <v>25</v>
      </c>
      <c r="E5659" s="1" t="s">
        <v>26</v>
      </c>
      <c r="F5659" s="1">
        <v>18.0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1">
        <v>94.75</v>
      </c>
      <c r="T5659" s="1">
        <v>1691.9</v>
      </c>
      <c r="U5659" s="1">
        <v>0.0</v>
      </c>
      <c r="V5659" s="1">
        <v>0.0</v>
      </c>
      <c r="W5659" s="1" t="s">
        <v>26</v>
      </c>
    </row>
    <row r="5660" ht="15.75" customHeight="1">
      <c r="A5660" s="1" t="s">
        <v>5697</v>
      </c>
      <c r="B5660" s="1" t="s">
        <v>32</v>
      </c>
      <c r="C5660" s="1">
        <v>0.0</v>
      </c>
      <c r="D5660" s="1" t="s">
        <v>25</v>
      </c>
      <c r="E5660" s="1" t="s">
        <v>26</v>
      </c>
      <c r="F5660" s="1">
        <v>24.0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1">
        <v>93.0</v>
      </c>
      <c r="T5660" s="1">
        <v>2248.05</v>
      </c>
      <c r="U5660" s="1">
        <v>4.0</v>
      </c>
      <c r="V5660" s="1">
        <v>0.0</v>
      </c>
      <c r="W5660" s="1" t="s">
        <v>26</v>
      </c>
    </row>
    <row r="5661" ht="15.75" customHeight="1">
      <c r="A5661" s="1" t="s">
        <v>5698</v>
      </c>
      <c r="B5661" s="1" t="s">
        <v>32</v>
      </c>
      <c r="C5661" s="1">
        <v>0.0</v>
      </c>
      <c r="D5661" s="1" t="s">
        <v>26</v>
      </c>
      <c r="E5661" s="1" t="s">
        <v>26</v>
      </c>
      <c r="F5661" s="1">
        <v>63.0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1">
        <v>71.9</v>
      </c>
      <c r="T5661" s="1">
        <v>4479.2</v>
      </c>
      <c r="U5661" s="1">
        <v>0.0</v>
      </c>
      <c r="V5661" s="1">
        <v>0.0</v>
      </c>
      <c r="W5661" s="1" t="s">
        <v>26</v>
      </c>
    </row>
    <row r="5662" ht="15.75" customHeight="1">
      <c r="A5662" s="1" t="s">
        <v>5699</v>
      </c>
      <c r="B5662" s="1" t="s">
        <v>24</v>
      </c>
      <c r="C5662" s="1">
        <v>0.0</v>
      </c>
      <c r="D5662" s="1" t="s">
        <v>26</v>
      </c>
      <c r="E5662" s="1" t="s">
        <v>25</v>
      </c>
      <c r="F5662" s="1">
        <v>44.0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1">
        <v>77.55</v>
      </c>
      <c r="T5662" s="1">
        <v>3471.1</v>
      </c>
      <c r="U5662" s="1">
        <v>0.0</v>
      </c>
      <c r="V5662" s="1">
        <v>3.0</v>
      </c>
      <c r="W5662" s="1" t="s">
        <v>26</v>
      </c>
    </row>
    <row r="5663" ht="15.75" customHeight="1">
      <c r="A5663" s="1" t="s">
        <v>5700</v>
      </c>
      <c r="B5663" s="1" t="s">
        <v>32</v>
      </c>
      <c r="C5663" s="1">
        <v>0.0</v>
      </c>
      <c r="D5663" s="1" t="s">
        <v>26</v>
      </c>
      <c r="E5663" s="1" t="s">
        <v>26</v>
      </c>
      <c r="F5663" s="1">
        <v>4.0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1">
        <v>19.85</v>
      </c>
      <c r="T5663" s="1">
        <v>63.0</v>
      </c>
      <c r="U5663" s="1">
        <v>0.0</v>
      </c>
      <c r="V5663" s="1">
        <v>0.0</v>
      </c>
      <c r="W5663" s="1" t="s">
        <v>26</v>
      </c>
    </row>
    <row r="5664" ht="15.75" customHeight="1">
      <c r="A5664" s="1" t="s">
        <v>5701</v>
      </c>
      <c r="B5664" s="1" t="s">
        <v>24</v>
      </c>
      <c r="C5664" s="1">
        <v>0.0</v>
      </c>
      <c r="D5664" s="1" t="s">
        <v>26</v>
      </c>
      <c r="E5664" s="1" t="s">
        <v>26</v>
      </c>
      <c r="F5664" s="1">
        <v>1.0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1">
        <v>70.25</v>
      </c>
      <c r="T5664" s="1">
        <v>70.25</v>
      </c>
      <c r="U5664" s="1">
        <v>0.0</v>
      </c>
      <c r="V5664" s="1">
        <v>0.0</v>
      </c>
      <c r="W5664" s="1" t="s">
        <v>25</v>
      </c>
    </row>
    <row r="5665" ht="15.75" customHeight="1">
      <c r="A5665" s="1" t="s">
        <v>5702</v>
      </c>
      <c r="B5665" s="1" t="s">
        <v>24</v>
      </c>
      <c r="C5665" s="1">
        <v>0.0</v>
      </c>
      <c r="D5665" s="1" t="s">
        <v>25</v>
      </c>
      <c r="E5665" s="1" t="s">
        <v>25</v>
      </c>
      <c r="F5665" s="1">
        <v>37.0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1">
        <v>95.25</v>
      </c>
      <c r="T5665" s="1">
        <v>3314.15</v>
      </c>
      <c r="U5665" s="1">
        <v>0.0</v>
      </c>
      <c r="V5665" s="1">
        <v>0.0</v>
      </c>
      <c r="W5665" s="1" t="s">
        <v>26</v>
      </c>
    </row>
    <row r="5666" ht="15.75" customHeight="1">
      <c r="A5666" s="1" t="s">
        <v>5703</v>
      </c>
      <c r="B5666" s="1" t="s">
        <v>24</v>
      </c>
      <c r="C5666" s="1">
        <v>1.0</v>
      </c>
      <c r="D5666" s="1" t="s">
        <v>26</v>
      </c>
      <c r="E5666" s="1" t="s">
        <v>26</v>
      </c>
      <c r="F5666" s="1">
        <v>10.0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1">
        <v>84.6</v>
      </c>
      <c r="T5666" s="1">
        <v>865.55</v>
      </c>
      <c r="U5666" s="1">
        <v>0.0</v>
      </c>
      <c r="V5666" s="1">
        <v>1.0</v>
      </c>
      <c r="W5666" s="1" t="s">
        <v>25</v>
      </c>
    </row>
    <row r="5667" ht="15.75" customHeight="1">
      <c r="A5667" s="1" t="s">
        <v>5704</v>
      </c>
      <c r="B5667" s="1" t="s">
        <v>32</v>
      </c>
      <c r="C5667" s="1">
        <v>0.0</v>
      </c>
      <c r="D5667" s="1" t="s">
        <v>26</v>
      </c>
      <c r="E5667" s="1" t="s">
        <v>26</v>
      </c>
      <c r="F5667" s="1">
        <v>34.0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1">
        <v>25.05</v>
      </c>
      <c r="T5667" s="1">
        <v>852.7</v>
      </c>
      <c r="U5667" s="1">
        <v>3.0</v>
      </c>
      <c r="V5667" s="1">
        <v>0.0</v>
      </c>
      <c r="W5667" s="1" t="s">
        <v>26</v>
      </c>
    </row>
    <row r="5668" ht="15.75" customHeight="1">
      <c r="A5668" s="1" t="s">
        <v>5705</v>
      </c>
      <c r="B5668" s="1" t="s">
        <v>32</v>
      </c>
      <c r="C5668" s="1">
        <v>0.0</v>
      </c>
      <c r="D5668" s="1" t="s">
        <v>25</v>
      </c>
      <c r="E5668" s="1" t="s">
        <v>26</v>
      </c>
      <c r="F5668" s="1">
        <v>35.0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1">
        <v>53.15</v>
      </c>
      <c r="T5668" s="1">
        <v>1930.9</v>
      </c>
      <c r="U5668" s="1">
        <v>0.0</v>
      </c>
      <c r="V5668" s="1">
        <v>0.0</v>
      </c>
      <c r="W5668" s="1" t="s">
        <v>26</v>
      </c>
    </row>
    <row r="5669" ht="15.75" customHeight="1">
      <c r="A5669" s="1" t="s">
        <v>5706</v>
      </c>
      <c r="B5669" s="1" t="s">
        <v>24</v>
      </c>
      <c r="C5669" s="1">
        <v>0.0</v>
      </c>
      <c r="D5669" s="1" t="s">
        <v>25</v>
      </c>
      <c r="E5669" s="1" t="s">
        <v>26</v>
      </c>
      <c r="F5669" s="1">
        <v>4.0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1">
        <v>20.15</v>
      </c>
      <c r="T5669" s="1">
        <v>91.4</v>
      </c>
      <c r="U5669" s="1">
        <v>0.0</v>
      </c>
      <c r="V5669" s="1">
        <v>0.0</v>
      </c>
      <c r="W5669" s="1" t="s">
        <v>26</v>
      </c>
    </row>
    <row r="5670" ht="15.75" customHeight="1">
      <c r="A5670" s="1" t="s">
        <v>5707</v>
      </c>
      <c r="B5670" s="1" t="s">
        <v>24</v>
      </c>
      <c r="C5670" s="1">
        <v>1.0</v>
      </c>
      <c r="D5670" s="1" t="s">
        <v>25</v>
      </c>
      <c r="E5670" s="1" t="s">
        <v>26</v>
      </c>
      <c r="F5670" s="1">
        <v>39.0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1">
        <v>101.25</v>
      </c>
      <c r="T5670" s="1">
        <v>3949.15</v>
      </c>
      <c r="U5670" s="1">
        <v>0.0</v>
      </c>
      <c r="V5670" s="1">
        <v>0.0</v>
      </c>
      <c r="W5670" s="1" t="s">
        <v>26</v>
      </c>
    </row>
    <row r="5671" ht="15.75" customHeight="1">
      <c r="A5671" s="1" t="s">
        <v>5708</v>
      </c>
      <c r="B5671" s="1" t="s">
        <v>32</v>
      </c>
      <c r="C5671" s="1">
        <v>1.0</v>
      </c>
      <c r="D5671" s="1" t="s">
        <v>25</v>
      </c>
      <c r="E5671" s="1" t="s">
        <v>26</v>
      </c>
      <c r="F5671" s="1">
        <v>43.0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1">
        <v>100.55</v>
      </c>
      <c r="T5671" s="1">
        <v>4304.0</v>
      </c>
      <c r="U5671" s="1">
        <v>0.0</v>
      </c>
      <c r="V5671" s="1">
        <v>0.0</v>
      </c>
      <c r="W5671" s="1" t="s">
        <v>26</v>
      </c>
    </row>
    <row r="5672" ht="15.75" customHeight="1">
      <c r="A5672" s="1" t="s">
        <v>5709</v>
      </c>
      <c r="B5672" s="1" t="s">
        <v>24</v>
      </c>
      <c r="C5672" s="1">
        <v>0.0</v>
      </c>
      <c r="D5672" s="1" t="s">
        <v>25</v>
      </c>
      <c r="E5672" s="1" t="s">
        <v>25</v>
      </c>
      <c r="F5672" s="1">
        <v>17.0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1">
        <v>24.1</v>
      </c>
      <c r="T5672" s="1">
        <v>409.9</v>
      </c>
      <c r="U5672" s="1">
        <v>0.0</v>
      </c>
      <c r="V5672" s="1">
        <v>0.0</v>
      </c>
      <c r="W5672" s="1" t="s">
        <v>25</v>
      </c>
    </row>
    <row r="5673" ht="15.75" customHeight="1">
      <c r="A5673" s="1" t="s">
        <v>5710</v>
      </c>
      <c r="B5673" s="1" t="s">
        <v>24</v>
      </c>
      <c r="C5673" s="1">
        <v>0.0</v>
      </c>
      <c r="D5673" s="1" t="s">
        <v>25</v>
      </c>
      <c r="E5673" s="1" t="s">
        <v>26</v>
      </c>
      <c r="F5673" s="1">
        <v>61.0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1">
        <v>25.3</v>
      </c>
      <c r="T5673" s="1">
        <v>1554.9</v>
      </c>
      <c r="U5673" s="1">
        <v>0.0</v>
      </c>
      <c r="V5673" s="1">
        <v>0.0</v>
      </c>
      <c r="W5673" s="1" t="s">
        <v>26</v>
      </c>
    </row>
    <row r="5674" ht="15.75" customHeight="1">
      <c r="A5674" s="1" t="s">
        <v>5711</v>
      </c>
      <c r="B5674" s="1" t="s">
        <v>24</v>
      </c>
      <c r="C5674" s="1">
        <v>0.0</v>
      </c>
      <c r="D5674" s="1" t="s">
        <v>25</v>
      </c>
      <c r="E5674" s="1" t="s">
        <v>26</v>
      </c>
      <c r="F5674" s="1">
        <v>49.0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1">
        <v>71.8</v>
      </c>
      <c r="T5674" s="1">
        <v>3472.05</v>
      </c>
      <c r="U5674" s="1">
        <v>0.0</v>
      </c>
      <c r="V5674" s="1">
        <v>4.0</v>
      </c>
      <c r="W5674" s="1" t="s">
        <v>26</v>
      </c>
    </row>
    <row r="5675" ht="15.75" customHeight="1">
      <c r="A5675" s="1" t="s">
        <v>5712</v>
      </c>
      <c r="B5675" s="1" t="s">
        <v>32</v>
      </c>
      <c r="C5675" s="1">
        <v>0.0</v>
      </c>
      <c r="D5675" s="1" t="s">
        <v>26</v>
      </c>
      <c r="E5675" s="1" t="s">
        <v>26</v>
      </c>
      <c r="F5675" s="1">
        <v>4.0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1">
        <v>19.7</v>
      </c>
      <c r="T5675" s="1">
        <v>117.8</v>
      </c>
      <c r="U5675" s="1">
        <v>0.0</v>
      </c>
      <c r="V5675" s="1">
        <v>0.0</v>
      </c>
      <c r="W5675" s="1" t="s">
        <v>26</v>
      </c>
    </row>
    <row r="5676" ht="15.75" customHeight="1">
      <c r="A5676" s="1" t="s">
        <v>5713</v>
      </c>
      <c r="B5676" s="1" t="s">
        <v>24</v>
      </c>
      <c r="C5676" s="1">
        <v>0.0</v>
      </c>
      <c r="D5676" s="1" t="s">
        <v>25</v>
      </c>
      <c r="E5676" s="1" t="s">
        <v>25</v>
      </c>
      <c r="F5676" s="1">
        <v>64.0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1">
        <v>49.85</v>
      </c>
      <c r="T5676" s="1">
        <v>3210.35</v>
      </c>
      <c r="U5676" s="1">
        <v>4.0</v>
      </c>
      <c r="V5676" s="1">
        <v>0.0</v>
      </c>
      <c r="W5676" s="1" t="s">
        <v>26</v>
      </c>
    </row>
    <row r="5677" ht="15.75" customHeight="1">
      <c r="A5677" s="1" t="s">
        <v>5714</v>
      </c>
      <c r="B5677" s="1" t="s">
        <v>32</v>
      </c>
      <c r="C5677" s="1">
        <v>0.0</v>
      </c>
      <c r="D5677" s="1" t="s">
        <v>26</v>
      </c>
      <c r="E5677" s="1" t="s">
        <v>26</v>
      </c>
      <c r="F5677" s="1">
        <v>3.0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1">
        <v>69.6</v>
      </c>
      <c r="T5677" s="1">
        <v>207.4</v>
      </c>
      <c r="U5677" s="1">
        <v>2.0</v>
      </c>
      <c r="V5677" s="1">
        <v>0.0</v>
      </c>
      <c r="W5677" s="1" t="s">
        <v>26</v>
      </c>
    </row>
    <row r="5678" ht="15.75" customHeight="1">
      <c r="A5678" s="1" t="s">
        <v>5715</v>
      </c>
      <c r="B5678" s="1" t="s">
        <v>32</v>
      </c>
      <c r="C5678" s="1">
        <v>0.0</v>
      </c>
      <c r="D5678" s="1" t="s">
        <v>25</v>
      </c>
      <c r="E5678" s="1" t="s">
        <v>25</v>
      </c>
      <c r="F5678" s="1">
        <v>1.0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1">
        <v>19.75</v>
      </c>
      <c r="T5678" s="1">
        <v>19.75</v>
      </c>
      <c r="U5678" s="1">
        <v>0.0</v>
      </c>
      <c r="V5678" s="1">
        <v>0.0</v>
      </c>
      <c r="W5678" s="1" t="s">
        <v>26</v>
      </c>
    </row>
    <row r="5679" ht="15.75" customHeight="1">
      <c r="A5679" s="1" t="s">
        <v>5716</v>
      </c>
      <c r="B5679" s="1" t="s">
        <v>32</v>
      </c>
      <c r="C5679" s="1">
        <v>0.0</v>
      </c>
      <c r="D5679" s="1" t="s">
        <v>25</v>
      </c>
      <c r="E5679" s="1" t="s">
        <v>26</v>
      </c>
      <c r="F5679" s="1">
        <v>40.0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1">
        <v>80.8</v>
      </c>
      <c r="T5679" s="1">
        <v>3132.75</v>
      </c>
      <c r="U5679" s="1">
        <v>0.0</v>
      </c>
      <c r="V5679" s="1">
        <v>0.0</v>
      </c>
      <c r="W5679" s="1" t="s">
        <v>26</v>
      </c>
    </row>
    <row r="5680" ht="15.75" customHeight="1">
      <c r="A5680" s="1" t="s">
        <v>5717</v>
      </c>
      <c r="B5680" s="1" t="s">
        <v>24</v>
      </c>
      <c r="C5680" s="1">
        <v>0.0</v>
      </c>
      <c r="D5680" s="1" t="s">
        <v>26</v>
      </c>
      <c r="E5680" s="1" t="s">
        <v>25</v>
      </c>
      <c r="F5680" s="1">
        <v>1.0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1">
        <v>60.0</v>
      </c>
      <c r="T5680" s="1">
        <v>60.0</v>
      </c>
      <c r="U5680" s="1">
        <v>0.0</v>
      </c>
      <c r="V5680" s="1">
        <v>0.0</v>
      </c>
      <c r="W5680" s="1" t="s">
        <v>25</v>
      </c>
    </row>
    <row r="5681" ht="15.75" customHeight="1">
      <c r="A5681" s="1" t="s">
        <v>5718</v>
      </c>
      <c r="B5681" s="1" t="s">
        <v>32</v>
      </c>
      <c r="C5681" s="1">
        <v>0.0</v>
      </c>
      <c r="D5681" s="1" t="s">
        <v>26</v>
      </c>
      <c r="E5681" s="1" t="s">
        <v>26</v>
      </c>
      <c r="F5681" s="1">
        <v>8.0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1">
        <v>86.55</v>
      </c>
      <c r="T5681" s="1">
        <v>649.65</v>
      </c>
      <c r="U5681" s="1">
        <v>0.0</v>
      </c>
      <c r="V5681" s="1">
        <v>0.0</v>
      </c>
      <c r="W5681" s="1" t="s">
        <v>25</v>
      </c>
    </row>
    <row r="5682" ht="15.75" customHeight="1">
      <c r="A5682" s="1" t="s">
        <v>5719</v>
      </c>
      <c r="B5682" s="1" t="s">
        <v>24</v>
      </c>
      <c r="C5682" s="1">
        <v>1.0</v>
      </c>
      <c r="D5682" s="1" t="s">
        <v>25</v>
      </c>
      <c r="E5682" s="1" t="s">
        <v>26</v>
      </c>
      <c r="F5682" s="1">
        <v>1.0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1">
        <v>20.85</v>
      </c>
      <c r="T5682" s="1">
        <v>20.85</v>
      </c>
      <c r="U5682" s="1">
        <v>0.0</v>
      </c>
      <c r="V5682" s="1">
        <v>0.0</v>
      </c>
      <c r="W5682" s="1" t="s">
        <v>25</v>
      </c>
    </row>
    <row r="5683" ht="15.75" customHeight="1">
      <c r="A5683" s="1" t="s">
        <v>5720</v>
      </c>
      <c r="B5683" s="1" t="s">
        <v>24</v>
      </c>
      <c r="C5683" s="1">
        <v>1.0</v>
      </c>
      <c r="D5683" s="1" t="s">
        <v>25</v>
      </c>
      <c r="E5683" s="1" t="s">
        <v>26</v>
      </c>
      <c r="F5683" s="1">
        <v>34.0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1">
        <v>64.2</v>
      </c>
      <c r="T5683" s="1">
        <v>2106.3</v>
      </c>
      <c r="U5683" s="1">
        <v>0.0</v>
      </c>
      <c r="V5683" s="1">
        <v>0.0</v>
      </c>
      <c r="W5683" s="1" t="s">
        <v>26</v>
      </c>
    </row>
    <row r="5684" ht="15.75" customHeight="1">
      <c r="A5684" s="1" t="s">
        <v>5721</v>
      </c>
      <c r="B5684" s="1" t="s">
        <v>24</v>
      </c>
      <c r="C5684" s="1">
        <v>0.0</v>
      </c>
      <c r="D5684" s="1" t="s">
        <v>25</v>
      </c>
      <c r="E5684" s="1" t="s">
        <v>26</v>
      </c>
      <c r="F5684" s="1">
        <v>1.0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1">
        <v>35.0</v>
      </c>
      <c r="T5684" s="1">
        <v>35.0</v>
      </c>
      <c r="U5684" s="1">
        <v>0.0</v>
      </c>
      <c r="V5684" s="1">
        <v>0.0</v>
      </c>
      <c r="W5684" s="1" t="s">
        <v>26</v>
      </c>
    </row>
    <row r="5685" ht="15.75" customHeight="1">
      <c r="A5685" s="1" t="s">
        <v>5722</v>
      </c>
      <c r="B5685" s="1" t="s">
        <v>24</v>
      </c>
      <c r="C5685" s="1">
        <v>0.0</v>
      </c>
      <c r="D5685" s="1" t="s">
        <v>26</v>
      </c>
      <c r="E5685" s="1" t="s">
        <v>26</v>
      </c>
      <c r="F5685" s="1">
        <v>39.0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1">
        <v>50.75</v>
      </c>
      <c r="T5685" s="1">
        <v>2011.4</v>
      </c>
      <c r="U5685" s="1">
        <v>0.0</v>
      </c>
      <c r="V5685" s="1">
        <v>3.0</v>
      </c>
      <c r="W5685" s="1" t="s">
        <v>25</v>
      </c>
    </row>
    <row r="5686" ht="15.75" customHeight="1">
      <c r="A5686" s="1" t="s">
        <v>5723</v>
      </c>
      <c r="B5686" s="1" t="s">
        <v>24</v>
      </c>
      <c r="C5686" s="1">
        <v>1.0</v>
      </c>
      <c r="D5686" s="1" t="s">
        <v>25</v>
      </c>
      <c r="E5686" s="1" t="s">
        <v>26</v>
      </c>
      <c r="F5686" s="1">
        <v>58.0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1">
        <v>105.5</v>
      </c>
      <c r="T5686" s="1">
        <v>6205.5</v>
      </c>
      <c r="U5686" s="1">
        <v>0.0</v>
      </c>
      <c r="V5686" s="1">
        <v>5.0</v>
      </c>
      <c r="W5686" s="1" t="s">
        <v>25</v>
      </c>
    </row>
    <row r="5687" ht="15.75" customHeight="1">
      <c r="A5687" s="1" t="s">
        <v>5724</v>
      </c>
      <c r="B5687" s="1" t="s">
        <v>32</v>
      </c>
      <c r="C5687" s="1">
        <v>0.0</v>
      </c>
      <c r="D5687" s="1" t="s">
        <v>25</v>
      </c>
      <c r="E5687" s="1" t="s">
        <v>25</v>
      </c>
      <c r="F5687" s="1">
        <v>45.0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1">
        <v>19.2</v>
      </c>
      <c r="T5687" s="1">
        <v>903.7</v>
      </c>
      <c r="U5687" s="1">
        <v>4.0</v>
      </c>
      <c r="V5687" s="1">
        <v>0.0</v>
      </c>
      <c r="W5687" s="1" t="s">
        <v>26</v>
      </c>
    </row>
    <row r="5688" ht="15.75" customHeight="1">
      <c r="A5688" s="1" t="s">
        <v>5725</v>
      </c>
      <c r="B5688" s="1" t="s">
        <v>32</v>
      </c>
      <c r="C5688" s="1">
        <v>1.0</v>
      </c>
      <c r="D5688" s="1" t="s">
        <v>26</v>
      </c>
      <c r="E5688" s="1" t="s">
        <v>26</v>
      </c>
      <c r="F5688" s="1">
        <v>6.0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1">
        <v>85.15</v>
      </c>
      <c r="T5688" s="1">
        <v>503.6</v>
      </c>
      <c r="U5688" s="1">
        <v>0.0</v>
      </c>
      <c r="V5688" s="1">
        <v>0.0</v>
      </c>
      <c r="W5688" s="1" t="s">
        <v>25</v>
      </c>
    </row>
    <row r="5689" ht="15.75" customHeight="1">
      <c r="A5689" s="1" t="s">
        <v>5726</v>
      </c>
      <c r="B5689" s="1" t="s">
        <v>32</v>
      </c>
      <c r="C5689" s="1">
        <v>0.0</v>
      </c>
      <c r="D5689" s="1" t="s">
        <v>26</v>
      </c>
      <c r="E5689" s="1" t="s">
        <v>26</v>
      </c>
      <c r="F5689" s="1">
        <v>43.0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1">
        <v>90.65</v>
      </c>
      <c r="T5689" s="1">
        <v>3882.3</v>
      </c>
      <c r="U5689" s="1">
        <v>0.0</v>
      </c>
      <c r="V5689" s="1">
        <v>0.0</v>
      </c>
      <c r="W5689" s="1" t="s">
        <v>26</v>
      </c>
    </row>
    <row r="5690" ht="15.75" customHeight="1">
      <c r="A5690" s="1" t="s">
        <v>5727</v>
      </c>
      <c r="B5690" s="1" t="s">
        <v>32</v>
      </c>
      <c r="C5690" s="1">
        <v>0.0</v>
      </c>
      <c r="D5690" s="1" t="s">
        <v>25</v>
      </c>
      <c r="E5690" s="1" t="s">
        <v>25</v>
      </c>
      <c r="F5690" s="1">
        <v>41.0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1">
        <v>20.0</v>
      </c>
      <c r="T5690" s="1">
        <v>879.8</v>
      </c>
      <c r="U5690" s="1">
        <v>0.0</v>
      </c>
      <c r="V5690" s="1">
        <v>0.0</v>
      </c>
      <c r="W5690" s="1" t="s">
        <v>26</v>
      </c>
    </row>
    <row r="5691" ht="15.75" customHeight="1">
      <c r="A5691" s="1" t="s">
        <v>5728</v>
      </c>
      <c r="B5691" s="1" t="s">
        <v>32</v>
      </c>
      <c r="C5691" s="1">
        <v>0.0</v>
      </c>
      <c r="D5691" s="1" t="s">
        <v>26</v>
      </c>
      <c r="E5691" s="1" t="s">
        <v>26</v>
      </c>
      <c r="F5691" s="1">
        <v>5.0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1">
        <v>74.65</v>
      </c>
      <c r="T5691" s="1">
        <v>383.65</v>
      </c>
      <c r="U5691" s="1">
        <v>4.0</v>
      </c>
      <c r="V5691" s="1">
        <v>0.0</v>
      </c>
      <c r="W5691" s="1" t="s">
        <v>26</v>
      </c>
    </row>
    <row r="5692" ht="15.75" customHeight="1">
      <c r="A5692" s="1" t="s">
        <v>5729</v>
      </c>
      <c r="B5692" s="1" t="s">
        <v>32</v>
      </c>
      <c r="C5692" s="1">
        <v>0.0</v>
      </c>
      <c r="D5692" s="1" t="s">
        <v>26</v>
      </c>
      <c r="E5692" s="1" t="s">
        <v>26</v>
      </c>
      <c r="F5692" s="1">
        <v>72.0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1">
        <v>61.2</v>
      </c>
      <c r="T5692" s="1">
        <v>4390.25</v>
      </c>
      <c r="U5692" s="1">
        <v>2.0</v>
      </c>
      <c r="V5692" s="1">
        <v>0.0</v>
      </c>
      <c r="W5692" s="1" t="s">
        <v>26</v>
      </c>
    </row>
    <row r="5693" ht="15.75" customHeight="1">
      <c r="A5693" s="1" t="s">
        <v>5730</v>
      </c>
      <c r="B5693" s="1" t="s">
        <v>32</v>
      </c>
      <c r="C5693" s="1">
        <v>0.0</v>
      </c>
      <c r="D5693" s="1" t="s">
        <v>26</v>
      </c>
      <c r="E5693" s="1" t="s">
        <v>26</v>
      </c>
      <c r="F5693" s="1">
        <v>4.0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1">
        <v>19.95</v>
      </c>
      <c r="T5693" s="1">
        <v>68.2</v>
      </c>
      <c r="U5693" s="1">
        <v>3.0</v>
      </c>
      <c r="V5693" s="1">
        <v>0.0</v>
      </c>
      <c r="W5693" s="1" t="s">
        <v>26</v>
      </c>
    </row>
    <row r="5694" ht="15.75" customHeight="1">
      <c r="A5694" s="1" t="s">
        <v>5731</v>
      </c>
      <c r="B5694" s="1" t="s">
        <v>32</v>
      </c>
      <c r="C5694" s="1">
        <v>0.0</v>
      </c>
      <c r="D5694" s="1" t="s">
        <v>25</v>
      </c>
      <c r="E5694" s="1" t="s">
        <v>25</v>
      </c>
      <c r="F5694" s="1">
        <v>9.0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1">
        <v>54.8</v>
      </c>
      <c r="T5694" s="1">
        <v>452.8</v>
      </c>
      <c r="U5694" s="1">
        <v>0.0</v>
      </c>
      <c r="V5694" s="1">
        <v>0.0</v>
      </c>
      <c r="W5694" s="1" t="s">
        <v>26</v>
      </c>
    </row>
    <row r="5695" ht="15.75" customHeight="1">
      <c r="A5695" s="1" t="s">
        <v>5732</v>
      </c>
      <c r="B5695" s="1" t="s">
        <v>32</v>
      </c>
      <c r="C5695" s="1">
        <v>1.0</v>
      </c>
      <c r="D5695" s="1" t="s">
        <v>25</v>
      </c>
      <c r="E5695" s="1" t="s">
        <v>26</v>
      </c>
      <c r="F5695" s="1">
        <v>72.0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1">
        <v>73.45</v>
      </c>
      <c r="T5695" s="1">
        <v>5329.0</v>
      </c>
      <c r="U5695" s="1">
        <v>1.0</v>
      </c>
      <c r="V5695" s="1">
        <v>0.0</v>
      </c>
      <c r="W5695" s="1" t="s">
        <v>26</v>
      </c>
    </row>
    <row r="5696" ht="15.75" customHeight="1">
      <c r="A5696" s="1" t="s">
        <v>5733</v>
      </c>
      <c r="B5696" s="1" t="s">
        <v>24</v>
      </c>
      <c r="C5696" s="1">
        <v>0.0</v>
      </c>
      <c r="D5696" s="1" t="s">
        <v>25</v>
      </c>
      <c r="E5696" s="1" t="s">
        <v>26</v>
      </c>
      <c r="F5696" s="1">
        <v>33.0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1">
        <v>51.45</v>
      </c>
      <c r="T5696" s="1">
        <v>1758.9</v>
      </c>
      <c r="U5696" s="1">
        <v>0.0</v>
      </c>
      <c r="V5696" s="1">
        <v>0.0</v>
      </c>
      <c r="W5696" s="1" t="s">
        <v>26</v>
      </c>
    </row>
    <row r="5697" ht="15.75" customHeight="1">
      <c r="A5697" s="1" t="s">
        <v>5734</v>
      </c>
      <c r="B5697" s="1" t="s">
        <v>24</v>
      </c>
      <c r="C5697" s="1">
        <v>0.0</v>
      </c>
      <c r="D5697" s="1" t="s">
        <v>25</v>
      </c>
      <c r="E5697" s="1" t="s">
        <v>26</v>
      </c>
      <c r="F5697" s="1">
        <v>72.0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1">
        <v>80.45</v>
      </c>
      <c r="T5697" s="1">
        <v>5737.6</v>
      </c>
      <c r="U5697" s="1">
        <v>0.0</v>
      </c>
      <c r="V5697" s="1">
        <v>0.0</v>
      </c>
      <c r="W5697" s="1" t="s">
        <v>26</v>
      </c>
    </row>
    <row r="5698" ht="15.75" customHeight="1">
      <c r="A5698" s="1" t="s">
        <v>5735</v>
      </c>
      <c r="B5698" s="1" t="s">
        <v>32</v>
      </c>
      <c r="C5698" s="1">
        <v>0.0</v>
      </c>
      <c r="D5698" s="1" t="s">
        <v>25</v>
      </c>
      <c r="E5698" s="1" t="s">
        <v>26</v>
      </c>
      <c r="F5698" s="1">
        <v>22.0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1">
        <v>54.2</v>
      </c>
      <c r="T5698" s="1">
        <v>1152.7</v>
      </c>
      <c r="U5698" s="1">
        <v>0.0</v>
      </c>
      <c r="V5698" s="1">
        <v>0.0</v>
      </c>
      <c r="W5698" s="1" t="s">
        <v>25</v>
      </c>
    </row>
    <row r="5699" ht="15.75" customHeight="1">
      <c r="A5699" s="1" t="s">
        <v>5736</v>
      </c>
      <c r="B5699" s="1" t="s">
        <v>24</v>
      </c>
      <c r="C5699" s="1">
        <v>0.0</v>
      </c>
      <c r="D5699" s="1" t="s">
        <v>25</v>
      </c>
      <c r="E5699" s="1" t="s">
        <v>26</v>
      </c>
      <c r="F5699" s="1">
        <v>70.0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1">
        <v>109.5</v>
      </c>
      <c r="T5699" s="1">
        <v>7674.55</v>
      </c>
      <c r="U5699" s="1">
        <v>0.0</v>
      </c>
      <c r="V5699" s="1">
        <v>7.0</v>
      </c>
      <c r="W5699" s="1" t="s">
        <v>25</v>
      </c>
    </row>
    <row r="5700" ht="15.75" customHeight="1">
      <c r="A5700" s="1" t="s">
        <v>5737</v>
      </c>
      <c r="B5700" s="1" t="s">
        <v>32</v>
      </c>
      <c r="C5700" s="1">
        <v>0.0</v>
      </c>
      <c r="D5700" s="1" t="s">
        <v>25</v>
      </c>
      <c r="E5700" s="1" t="s">
        <v>25</v>
      </c>
      <c r="F5700" s="1">
        <v>21.0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1">
        <v>104.4</v>
      </c>
      <c r="T5700" s="1">
        <v>2157.95</v>
      </c>
      <c r="U5700" s="1">
        <v>0.0</v>
      </c>
      <c r="V5700" s="1">
        <v>3.0</v>
      </c>
      <c r="W5700" s="1" t="s">
        <v>25</v>
      </c>
    </row>
    <row r="5701" ht="15.75" customHeight="1">
      <c r="A5701" s="1" t="s">
        <v>5738</v>
      </c>
      <c r="B5701" s="1" t="s">
        <v>32</v>
      </c>
      <c r="C5701" s="1">
        <v>0.0</v>
      </c>
      <c r="D5701" s="1" t="s">
        <v>26</v>
      </c>
      <c r="E5701" s="1" t="s">
        <v>26</v>
      </c>
      <c r="F5701" s="1">
        <v>15.0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1">
        <v>85.3</v>
      </c>
      <c r="T5701" s="1">
        <v>1219.85</v>
      </c>
      <c r="U5701" s="1">
        <v>0.0</v>
      </c>
      <c r="V5701" s="1">
        <v>0.0</v>
      </c>
      <c r="W5701" s="1" t="s">
        <v>26</v>
      </c>
    </row>
    <row r="5702" ht="15.75" customHeight="1">
      <c r="A5702" s="1" t="s">
        <v>5739</v>
      </c>
      <c r="B5702" s="1" t="s">
        <v>32</v>
      </c>
      <c r="C5702" s="1">
        <v>1.0</v>
      </c>
      <c r="D5702" s="1" t="s">
        <v>25</v>
      </c>
      <c r="E5702" s="1" t="s">
        <v>26</v>
      </c>
      <c r="F5702" s="1">
        <v>29.0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1">
        <v>79.3</v>
      </c>
      <c r="T5702" s="1">
        <v>2414.55</v>
      </c>
      <c r="U5702" s="1">
        <v>0.0</v>
      </c>
      <c r="V5702" s="1">
        <v>0.0</v>
      </c>
      <c r="W5702" s="1" t="s">
        <v>26</v>
      </c>
    </row>
    <row r="5703" ht="15.75" customHeight="1">
      <c r="A5703" s="1" t="s">
        <v>5740</v>
      </c>
      <c r="B5703" s="1" t="s">
        <v>24</v>
      </c>
      <c r="C5703" s="1">
        <v>0.0</v>
      </c>
      <c r="D5703" s="1" t="s">
        <v>25</v>
      </c>
      <c r="E5703" s="1" t="s">
        <v>25</v>
      </c>
      <c r="F5703" s="1">
        <v>15.0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1">
        <v>76.5</v>
      </c>
      <c r="T5703" s="1">
        <v>1155.6</v>
      </c>
      <c r="U5703" s="1">
        <v>0.0</v>
      </c>
      <c r="V5703" s="1">
        <v>0.0</v>
      </c>
      <c r="W5703" s="1" t="s">
        <v>26</v>
      </c>
    </row>
    <row r="5704" ht="15.75" customHeight="1">
      <c r="A5704" s="1" t="s">
        <v>5741</v>
      </c>
      <c r="B5704" s="1" t="s">
        <v>32</v>
      </c>
      <c r="C5704" s="1">
        <v>1.0</v>
      </c>
      <c r="D5704" s="1" t="s">
        <v>25</v>
      </c>
      <c r="E5704" s="1" t="s">
        <v>25</v>
      </c>
      <c r="F5704" s="1">
        <v>71.0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1">
        <v>105.1</v>
      </c>
      <c r="T5704" s="1">
        <v>7548.1</v>
      </c>
      <c r="U5704" s="1">
        <v>0.0</v>
      </c>
      <c r="V5704" s="1">
        <v>8.0</v>
      </c>
      <c r="W5704" s="1" t="s">
        <v>25</v>
      </c>
    </row>
    <row r="5705" ht="15.75" customHeight="1">
      <c r="A5705" s="1" t="s">
        <v>5742</v>
      </c>
      <c r="B5705" s="1" t="s">
        <v>32</v>
      </c>
      <c r="C5705" s="1">
        <v>1.0</v>
      </c>
      <c r="D5705" s="1" t="s">
        <v>26</v>
      </c>
      <c r="E5705" s="1" t="s">
        <v>26</v>
      </c>
      <c r="F5705" s="1">
        <v>72.0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1">
        <v>25.4</v>
      </c>
      <c r="T5705" s="1">
        <v>1809.35</v>
      </c>
      <c r="U5705" s="1">
        <v>0.0</v>
      </c>
      <c r="V5705" s="1">
        <v>0.0</v>
      </c>
      <c r="W5705" s="1" t="s">
        <v>26</v>
      </c>
    </row>
    <row r="5706" ht="15.75" customHeight="1">
      <c r="A5706" s="1" t="s">
        <v>5743</v>
      </c>
      <c r="B5706" s="1" t="s">
        <v>24</v>
      </c>
      <c r="C5706" s="1">
        <v>0.0</v>
      </c>
      <c r="D5706" s="1" t="s">
        <v>25</v>
      </c>
      <c r="E5706" s="1" t="s">
        <v>26</v>
      </c>
      <c r="F5706" s="1">
        <v>19.0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1">
        <v>86.85</v>
      </c>
      <c r="T5706" s="1">
        <v>1564.4</v>
      </c>
      <c r="U5706" s="1">
        <v>1.0</v>
      </c>
      <c r="V5706" s="1">
        <v>0.0</v>
      </c>
      <c r="W5706" s="1" t="s">
        <v>26</v>
      </c>
    </row>
    <row r="5707" ht="15.75" customHeight="1">
      <c r="A5707" s="1" t="s">
        <v>5744</v>
      </c>
      <c r="B5707" s="1" t="s">
        <v>32</v>
      </c>
      <c r="C5707" s="1">
        <v>0.0</v>
      </c>
      <c r="D5707" s="1" t="s">
        <v>26</v>
      </c>
      <c r="E5707" s="1" t="s">
        <v>26</v>
      </c>
      <c r="F5707" s="1">
        <v>1.0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1">
        <v>19.65</v>
      </c>
      <c r="T5707" s="1">
        <v>19.65</v>
      </c>
      <c r="U5707" s="1">
        <v>0.0</v>
      </c>
      <c r="V5707" s="1">
        <v>0.0</v>
      </c>
      <c r="W5707" s="1" t="s">
        <v>26</v>
      </c>
    </row>
    <row r="5708" ht="15.75" customHeight="1">
      <c r="A5708" s="1" t="s">
        <v>5745</v>
      </c>
      <c r="B5708" s="1" t="s">
        <v>24</v>
      </c>
      <c r="C5708" s="1">
        <v>0.0</v>
      </c>
      <c r="D5708" s="1" t="s">
        <v>26</v>
      </c>
      <c r="E5708" s="1" t="s">
        <v>26</v>
      </c>
      <c r="F5708" s="1">
        <v>1.0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1">
        <v>75.7</v>
      </c>
      <c r="T5708" s="1">
        <v>75.7</v>
      </c>
      <c r="U5708" s="1">
        <v>0.0</v>
      </c>
      <c r="V5708" s="1">
        <v>0.0</v>
      </c>
      <c r="W5708" s="1" t="s">
        <v>25</v>
      </c>
    </row>
    <row r="5709" ht="15.75" customHeight="1">
      <c r="A5709" s="1" t="s">
        <v>5746</v>
      </c>
      <c r="B5709" s="1" t="s">
        <v>24</v>
      </c>
      <c r="C5709" s="1">
        <v>0.0</v>
      </c>
      <c r="D5709" s="1" t="s">
        <v>26</v>
      </c>
      <c r="E5709" s="1" t="s">
        <v>26</v>
      </c>
      <c r="F5709" s="1">
        <v>2.0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1">
        <v>45.55</v>
      </c>
      <c r="T5709" s="1">
        <v>84.4</v>
      </c>
      <c r="U5709" s="1">
        <v>2.0</v>
      </c>
      <c r="V5709" s="1">
        <v>0.0</v>
      </c>
      <c r="W5709" s="1" t="s">
        <v>26</v>
      </c>
    </row>
    <row r="5710" ht="15.75" customHeight="1">
      <c r="A5710" s="1" t="s">
        <v>5747</v>
      </c>
      <c r="B5710" s="1" t="s">
        <v>24</v>
      </c>
      <c r="C5710" s="1">
        <v>1.0</v>
      </c>
      <c r="D5710" s="1" t="s">
        <v>25</v>
      </c>
      <c r="E5710" s="1" t="s">
        <v>25</v>
      </c>
      <c r="F5710" s="1">
        <v>11.0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1">
        <v>78.1</v>
      </c>
      <c r="T5710" s="1">
        <v>864.85</v>
      </c>
      <c r="U5710" s="1">
        <v>0.0</v>
      </c>
      <c r="V5710" s="1">
        <v>0.0</v>
      </c>
      <c r="W5710" s="1" t="s">
        <v>26</v>
      </c>
    </row>
    <row r="5711" ht="15.75" customHeight="1">
      <c r="A5711" s="1" t="s">
        <v>5748</v>
      </c>
      <c r="B5711" s="1" t="s">
        <v>24</v>
      </c>
      <c r="C5711" s="1">
        <v>0.0</v>
      </c>
      <c r="D5711" s="1" t="s">
        <v>26</v>
      </c>
      <c r="E5711" s="1" t="s">
        <v>26</v>
      </c>
      <c r="F5711" s="1">
        <v>12.0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1">
        <v>19.3</v>
      </c>
      <c r="T5711" s="1">
        <v>228.75</v>
      </c>
      <c r="U5711" s="1">
        <v>1.0</v>
      </c>
      <c r="V5711" s="1">
        <v>0.0</v>
      </c>
      <c r="W5711" s="1" t="s">
        <v>26</v>
      </c>
    </row>
    <row r="5712" ht="15.75" customHeight="1">
      <c r="A5712" s="1" t="s">
        <v>5749</v>
      </c>
      <c r="B5712" s="1" t="s">
        <v>24</v>
      </c>
      <c r="C5712" s="1">
        <v>0.0</v>
      </c>
      <c r="D5712" s="1" t="s">
        <v>25</v>
      </c>
      <c r="E5712" s="1" t="s">
        <v>26</v>
      </c>
      <c r="F5712" s="1">
        <v>70.0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1">
        <v>110.5</v>
      </c>
      <c r="T5712" s="1">
        <v>7752.05</v>
      </c>
      <c r="U5712" s="1">
        <v>0.0</v>
      </c>
      <c r="V5712" s="1">
        <v>0.0</v>
      </c>
      <c r="W5712" s="1" t="s">
        <v>26</v>
      </c>
    </row>
    <row r="5713" ht="15.75" customHeight="1">
      <c r="A5713" s="1" t="s">
        <v>5750</v>
      </c>
      <c r="B5713" s="1" t="s">
        <v>24</v>
      </c>
      <c r="C5713" s="1">
        <v>1.0</v>
      </c>
      <c r="D5713" s="1" t="s">
        <v>25</v>
      </c>
      <c r="E5713" s="1" t="s">
        <v>26</v>
      </c>
      <c r="F5713" s="1">
        <v>20.0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1">
        <v>90.8</v>
      </c>
      <c r="T5713" s="1">
        <v>1951.0</v>
      </c>
      <c r="U5713" s="1">
        <v>0.0</v>
      </c>
      <c r="V5713" s="1">
        <v>2.0</v>
      </c>
      <c r="W5713" s="1" t="s">
        <v>25</v>
      </c>
    </row>
    <row r="5714" ht="15.75" customHeight="1">
      <c r="A5714" s="1" t="s">
        <v>5751</v>
      </c>
      <c r="B5714" s="1" t="s">
        <v>24</v>
      </c>
      <c r="C5714" s="1">
        <v>0.0</v>
      </c>
      <c r="D5714" s="1" t="s">
        <v>26</v>
      </c>
      <c r="E5714" s="1" t="s">
        <v>26</v>
      </c>
      <c r="F5714" s="1">
        <v>23.0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1">
        <v>20.3</v>
      </c>
      <c r="T5714" s="1">
        <v>470.6</v>
      </c>
      <c r="U5714" s="1">
        <v>0.0</v>
      </c>
      <c r="V5714" s="1">
        <v>2.0</v>
      </c>
      <c r="W5714" s="1" t="s">
        <v>26</v>
      </c>
    </row>
    <row r="5715" ht="15.75" customHeight="1">
      <c r="A5715" s="1" t="s">
        <v>5752</v>
      </c>
      <c r="B5715" s="1" t="s">
        <v>32</v>
      </c>
      <c r="C5715" s="1">
        <v>1.0</v>
      </c>
      <c r="D5715" s="1" t="s">
        <v>26</v>
      </c>
      <c r="E5715" s="1" t="s">
        <v>26</v>
      </c>
      <c r="F5715" s="1">
        <v>49.0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1">
        <v>81.35</v>
      </c>
      <c r="T5715" s="1">
        <v>4060.9</v>
      </c>
      <c r="U5715" s="1">
        <v>0.0</v>
      </c>
      <c r="V5715" s="1">
        <v>0.0</v>
      </c>
      <c r="W5715" s="1" t="s">
        <v>26</v>
      </c>
    </row>
    <row r="5716" ht="15.75" customHeight="1">
      <c r="A5716" s="1" t="s">
        <v>5753</v>
      </c>
      <c r="B5716" s="1" t="s">
        <v>24</v>
      </c>
      <c r="C5716" s="1">
        <v>0.0</v>
      </c>
      <c r="D5716" s="1" t="s">
        <v>25</v>
      </c>
      <c r="E5716" s="1" t="s">
        <v>25</v>
      </c>
      <c r="F5716" s="1">
        <v>4.0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1">
        <v>97.95</v>
      </c>
      <c r="T5716" s="1">
        <v>384.5</v>
      </c>
      <c r="U5716" s="1">
        <v>0.0</v>
      </c>
      <c r="V5716" s="1">
        <v>0.0</v>
      </c>
      <c r="W5716" s="1" t="s">
        <v>25</v>
      </c>
    </row>
    <row r="5717" ht="15.75" customHeight="1">
      <c r="A5717" s="1" t="s">
        <v>5754</v>
      </c>
      <c r="B5717" s="1" t="s">
        <v>32</v>
      </c>
      <c r="C5717" s="1">
        <v>0.0</v>
      </c>
      <c r="D5717" s="1" t="s">
        <v>26</v>
      </c>
      <c r="E5717" s="1" t="s">
        <v>26</v>
      </c>
      <c r="F5717" s="1">
        <v>32.0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1">
        <v>108.15</v>
      </c>
      <c r="T5717" s="1">
        <v>3432.9</v>
      </c>
      <c r="U5717" s="1">
        <v>0.0</v>
      </c>
      <c r="V5717" s="1">
        <v>3.0</v>
      </c>
      <c r="W5717" s="1" t="s">
        <v>25</v>
      </c>
    </row>
    <row r="5718" ht="15.75" customHeight="1">
      <c r="A5718" s="1" t="s">
        <v>5755</v>
      </c>
      <c r="B5718" s="1" t="s">
        <v>32</v>
      </c>
      <c r="C5718" s="1">
        <v>0.0</v>
      </c>
      <c r="D5718" s="1" t="s">
        <v>26</v>
      </c>
      <c r="E5718" s="1" t="s">
        <v>25</v>
      </c>
      <c r="F5718" s="1">
        <v>2.0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1">
        <v>55.3</v>
      </c>
      <c r="T5718" s="1">
        <v>108.65</v>
      </c>
      <c r="U5718" s="1">
        <v>0.0</v>
      </c>
      <c r="V5718" s="1">
        <v>0.0</v>
      </c>
      <c r="W5718" s="1" t="s">
        <v>26</v>
      </c>
    </row>
    <row r="5719" ht="15.75" customHeight="1">
      <c r="A5719" s="1" t="s">
        <v>5756</v>
      </c>
      <c r="B5719" s="1" t="s">
        <v>32</v>
      </c>
      <c r="C5719" s="1">
        <v>1.0</v>
      </c>
      <c r="D5719" s="1" t="s">
        <v>25</v>
      </c>
      <c r="E5719" s="1" t="s">
        <v>26</v>
      </c>
      <c r="F5719" s="1">
        <v>69.0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1">
        <v>56.55</v>
      </c>
      <c r="T5719" s="1">
        <v>3952.65</v>
      </c>
      <c r="U5719" s="1">
        <v>0.0</v>
      </c>
      <c r="V5719" s="1">
        <v>0.0</v>
      </c>
      <c r="W5719" s="1" t="s">
        <v>26</v>
      </c>
    </row>
    <row r="5720" ht="15.75" customHeight="1">
      <c r="A5720" s="1" t="s">
        <v>5757</v>
      </c>
      <c r="B5720" s="1" t="s">
        <v>32</v>
      </c>
      <c r="C5720" s="1">
        <v>0.0</v>
      </c>
      <c r="D5720" s="1" t="s">
        <v>26</v>
      </c>
      <c r="E5720" s="1" t="s">
        <v>26</v>
      </c>
      <c r="F5720" s="1">
        <v>6.0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1">
        <v>80.5</v>
      </c>
      <c r="T5720" s="1">
        <v>463.05</v>
      </c>
      <c r="U5720" s="1">
        <v>0.0</v>
      </c>
      <c r="V5720" s="1">
        <v>0.0</v>
      </c>
      <c r="W5720" s="1" t="s">
        <v>25</v>
      </c>
    </row>
    <row r="5721" ht="15.75" customHeight="1">
      <c r="A5721" s="1" t="s">
        <v>5758</v>
      </c>
      <c r="B5721" s="1" t="s">
        <v>24</v>
      </c>
      <c r="C5721" s="1">
        <v>0.0</v>
      </c>
      <c r="D5721" s="1" t="s">
        <v>25</v>
      </c>
      <c r="E5721" s="1" t="s">
        <v>25</v>
      </c>
      <c r="F5721" s="1">
        <v>24.0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1">
        <v>19.7</v>
      </c>
      <c r="T5721" s="1">
        <v>494.05</v>
      </c>
      <c r="U5721" s="1">
        <v>2.0</v>
      </c>
      <c r="V5721" s="1">
        <v>1.0</v>
      </c>
      <c r="W5721" s="1" t="s">
        <v>26</v>
      </c>
    </row>
    <row r="5722" ht="15.75" customHeight="1">
      <c r="A5722" s="1" t="s">
        <v>5759</v>
      </c>
      <c r="B5722" s="1" t="s">
        <v>24</v>
      </c>
      <c r="C5722" s="1">
        <v>0.0</v>
      </c>
      <c r="D5722" s="1" t="s">
        <v>26</v>
      </c>
      <c r="E5722" s="1" t="s">
        <v>26</v>
      </c>
      <c r="F5722" s="1">
        <v>32.0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1">
        <v>104.05</v>
      </c>
      <c r="T5722" s="1">
        <v>3416.85</v>
      </c>
      <c r="U5722" s="1">
        <v>0.0</v>
      </c>
      <c r="V5722" s="1">
        <v>0.0</v>
      </c>
      <c r="W5722" s="1" t="s">
        <v>26</v>
      </c>
    </row>
    <row r="5723" ht="15.75" customHeight="1">
      <c r="A5723" s="1" t="s">
        <v>5760</v>
      </c>
      <c r="B5723" s="1" t="s">
        <v>24</v>
      </c>
      <c r="C5723" s="1">
        <v>0.0</v>
      </c>
      <c r="D5723" s="1" t="s">
        <v>26</v>
      </c>
      <c r="E5723" s="1" t="s">
        <v>26</v>
      </c>
      <c r="F5723" s="1">
        <v>27.0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1">
        <v>52.85</v>
      </c>
      <c r="T5723" s="1">
        <v>1498.65</v>
      </c>
      <c r="U5723" s="1">
        <v>0.0</v>
      </c>
      <c r="V5723" s="1">
        <v>1.0</v>
      </c>
      <c r="W5723" s="1" t="s">
        <v>26</v>
      </c>
    </row>
    <row r="5724" ht="15.75" customHeight="1">
      <c r="A5724" s="1" t="s">
        <v>5761</v>
      </c>
      <c r="B5724" s="1" t="s">
        <v>24</v>
      </c>
      <c r="C5724" s="1">
        <v>1.0</v>
      </c>
      <c r="D5724" s="1" t="s">
        <v>25</v>
      </c>
      <c r="E5724" s="1" t="s">
        <v>26</v>
      </c>
      <c r="F5724" s="1">
        <v>27.0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1">
        <v>104.3</v>
      </c>
      <c r="T5724" s="1">
        <v>2867.75</v>
      </c>
      <c r="U5724" s="1">
        <v>0.0</v>
      </c>
      <c r="V5724" s="1">
        <v>0.0</v>
      </c>
      <c r="W5724" s="1" t="s">
        <v>25</v>
      </c>
    </row>
    <row r="5725" ht="15.75" customHeight="1">
      <c r="A5725" s="1" t="s">
        <v>5762</v>
      </c>
      <c r="B5725" s="1" t="s">
        <v>32</v>
      </c>
      <c r="C5725" s="1">
        <v>0.0</v>
      </c>
      <c r="D5725" s="1" t="s">
        <v>26</v>
      </c>
      <c r="E5725" s="1" t="s">
        <v>26</v>
      </c>
      <c r="F5725" s="1">
        <v>58.0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1">
        <v>80.65</v>
      </c>
      <c r="T5725" s="1">
        <v>4807.35</v>
      </c>
      <c r="U5725" s="1">
        <v>0.0</v>
      </c>
      <c r="V5725" s="1">
        <v>0.0</v>
      </c>
      <c r="W5725" s="1" t="s">
        <v>26</v>
      </c>
    </row>
    <row r="5726" ht="15.75" customHeight="1">
      <c r="A5726" s="1" t="s">
        <v>5763</v>
      </c>
      <c r="B5726" s="1" t="s">
        <v>32</v>
      </c>
      <c r="C5726" s="1">
        <v>0.0</v>
      </c>
      <c r="D5726" s="1" t="s">
        <v>26</v>
      </c>
      <c r="E5726" s="1" t="s">
        <v>26</v>
      </c>
      <c r="F5726" s="1">
        <v>1.0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1">
        <v>71.35</v>
      </c>
      <c r="T5726" s="1">
        <v>71.35</v>
      </c>
      <c r="U5726" s="1">
        <v>3.0</v>
      </c>
      <c r="V5726" s="1">
        <v>0.0</v>
      </c>
      <c r="W5726" s="1" t="s">
        <v>25</v>
      </c>
    </row>
    <row r="5727" ht="15.75" customHeight="1">
      <c r="A5727" s="1" t="s">
        <v>5764</v>
      </c>
      <c r="B5727" s="1" t="s">
        <v>24</v>
      </c>
      <c r="C5727" s="1">
        <v>0.0</v>
      </c>
      <c r="D5727" s="1" t="s">
        <v>25</v>
      </c>
      <c r="E5727" s="1" t="s">
        <v>25</v>
      </c>
      <c r="F5727" s="1">
        <v>18.0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1">
        <v>24.65</v>
      </c>
      <c r="T5727" s="1">
        <v>471.35</v>
      </c>
      <c r="U5727" s="1">
        <v>0.0</v>
      </c>
      <c r="V5727" s="1">
        <v>0.0</v>
      </c>
      <c r="W5727" s="1" t="s">
        <v>26</v>
      </c>
    </row>
    <row r="5728" ht="15.75" customHeight="1">
      <c r="A5728" s="1" t="s">
        <v>5765</v>
      </c>
      <c r="B5728" s="1" t="s">
        <v>24</v>
      </c>
      <c r="C5728" s="1">
        <v>0.0</v>
      </c>
      <c r="D5728" s="1" t="s">
        <v>25</v>
      </c>
      <c r="E5728" s="1" t="s">
        <v>25</v>
      </c>
      <c r="F5728" s="1">
        <v>47.0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1">
        <v>21.3</v>
      </c>
      <c r="T5728" s="1">
        <v>1041.8</v>
      </c>
      <c r="U5728" s="1">
        <v>0.0</v>
      </c>
      <c r="V5728" s="1">
        <v>0.0</v>
      </c>
      <c r="W5728" s="1" t="s">
        <v>26</v>
      </c>
    </row>
    <row r="5729" ht="15.75" customHeight="1">
      <c r="A5729" s="1" t="s">
        <v>5766</v>
      </c>
      <c r="B5729" s="1" t="s">
        <v>24</v>
      </c>
      <c r="C5729" s="1">
        <v>0.0</v>
      </c>
      <c r="D5729" s="1" t="s">
        <v>25</v>
      </c>
      <c r="E5729" s="1" t="s">
        <v>25</v>
      </c>
      <c r="F5729" s="1">
        <v>70.0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1">
        <v>110.2</v>
      </c>
      <c r="T5729" s="1">
        <v>7689.8</v>
      </c>
      <c r="U5729" s="1">
        <v>0.0</v>
      </c>
      <c r="V5729" s="1">
        <v>0.0</v>
      </c>
      <c r="W5729" s="1" t="s">
        <v>26</v>
      </c>
    </row>
    <row r="5730" ht="15.75" customHeight="1">
      <c r="A5730" s="1" t="s">
        <v>5767</v>
      </c>
      <c r="B5730" s="1" t="s">
        <v>24</v>
      </c>
      <c r="C5730" s="1">
        <v>0.0</v>
      </c>
      <c r="D5730" s="1" t="s">
        <v>26</v>
      </c>
      <c r="E5730" s="1" t="s">
        <v>26</v>
      </c>
      <c r="F5730" s="1">
        <v>13.0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1">
        <v>89.4</v>
      </c>
      <c r="T5730" s="1">
        <v>1132.35</v>
      </c>
      <c r="U5730" s="1">
        <v>0.0</v>
      </c>
      <c r="V5730" s="1">
        <v>1.0</v>
      </c>
      <c r="W5730" s="1" t="s">
        <v>25</v>
      </c>
    </row>
    <row r="5731" ht="15.75" customHeight="1">
      <c r="A5731" s="1" t="s">
        <v>5768</v>
      </c>
      <c r="B5731" s="1" t="s">
        <v>24</v>
      </c>
      <c r="C5731" s="1">
        <v>0.0</v>
      </c>
      <c r="D5731" s="1" t="s">
        <v>25</v>
      </c>
      <c r="E5731" s="1" t="s">
        <v>25</v>
      </c>
      <c r="F5731" s="1">
        <v>36.0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1">
        <v>51.05</v>
      </c>
      <c r="T5731" s="1">
        <v>1815.0</v>
      </c>
      <c r="U5731" s="1">
        <v>0.0</v>
      </c>
      <c r="V5731" s="1">
        <v>2.0</v>
      </c>
      <c r="W5731" s="1" t="s">
        <v>26</v>
      </c>
    </row>
    <row r="5732" ht="15.75" customHeight="1">
      <c r="A5732" s="1" t="s">
        <v>5769</v>
      </c>
      <c r="B5732" s="1" t="s">
        <v>32</v>
      </c>
      <c r="C5732" s="1">
        <v>0.0</v>
      </c>
      <c r="D5732" s="1" t="s">
        <v>26</v>
      </c>
      <c r="E5732" s="1" t="s">
        <v>26</v>
      </c>
      <c r="F5732" s="1">
        <v>67.0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1">
        <v>19.8</v>
      </c>
      <c r="T5732" s="1">
        <v>1311.3</v>
      </c>
      <c r="U5732" s="1">
        <v>0.0</v>
      </c>
      <c r="V5732" s="1">
        <v>0.0</v>
      </c>
      <c r="W5732" s="1" t="s">
        <v>26</v>
      </c>
    </row>
    <row r="5733" ht="15.75" customHeight="1">
      <c r="A5733" s="1" t="s">
        <v>5770</v>
      </c>
      <c r="B5733" s="1" t="s">
        <v>24</v>
      </c>
      <c r="C5733" s="1">
        <v>0.0</v>
      </c>
      <c r="D5733" s="1" t="s">
        <v>26</v>
      </c>
      <c r="E5733" s="1" t="s">
        <v>26</v>
      </c>
      <c r="F5733" s="1">
        <v>10.0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1">
        <v>19.9</v>
      </c>
      <c r="T5733" s="1">
        <v>199.45</v>
      </c>
      <c r="U5733" s="1">
        <v>0.0</v>
      </c>
      <c r="V5733" s="1">
        <v>0.0</v>
      </c>
      <c r="W5733" s="1" t="s">
        <v>26</v>
      </c>
    </row>
    <row r="5734" ht="15.75" customHeight="1">
      <c r="A5734" s="1" t="s">
        <v>5771</v>
      </c>
      <c r="B5734" s="1" t="s">
        <v>32</v>
      </c>
      <c r="C5734" s="1">
        <v>1.0</v>
      </c>
      <c r="D5734" s="1" t="s">
        <v>26</v>
      </c>
      <c r="E5734" s="1" t="s">
        <v>26</v>
      </c>
      <c r="F5734" s="1">
        <v>19.0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1">
        <v>87.3</v>
      </c>
      <c r="T5734" s="1">
        <v>1637.3</v>
      </c>
      <c r="U5734" s="1">
        <v>0.0</v>
      </c>
      <c r="V5734" s="1">
        <v>0.0</v>
      </c>
      <c r="W5734" s="1" t="s">
        <v>26</v>
      </c>
    </row>
    <row r="5735" ht="15.75" customHeight="1">
      <c r="A5735" s="1" t="s">
        <v>5772</v>
      </c>
      <c r="B5735" s="1" t="s">
        <v>24</v>
      </c>
      <c r="C5735" s="1">
        <v>0.0</v>
      </c>
      <c r="D5735" s="1" t="s">
        <v>25</v>
      </c>
      <c r="E5735" s="1" t="s">
        <v>25</v>
      </c>
      <c r="F5735" s="1">
        <v>71.0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1">
        <v>19.85</v>
      </c>
      <c r="T5735" s="1">
        <v>1326.35</v>
      </c>
      <c r="U5735" s="1">
        <v>4.0</v>
      </c>
      <c r="V5735" s="1">
        <v>0.0</v>
      </c>
      <c r="W5735" s="1" t="s">
        <v>26</v>
      </c>
    </row>
    <row r="5736" ht="15.75" customHeight="1">
      <c r="A5736" s="1" t="s">
        <v>5773</v>
      </c>
      <c r="B5736" s="1" t="s">
        <v>32</v>
      </c>
      <c r="C5736" s="1">
        <v>0.0</v>
      </c>
      <c r="D5736" s="1" t="s">
        <v>25</v>
      </c>
      <c r="E5736" s="1" t="s">
        <v>25</v>
      </c>
      <c r="F5736" s="1">
        <v>72.0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1">
        <v>89.4</v>
      </c>
      <c r="T5736" s="1">
        <v>6376.55</v>
      </c>
      <c r="U5736" s="1">
        <v>0.0</v>
      </c>
      <c r="V5736" s="1">
        <v>0.0</v>
      </c>
      <c r="W5736" s="1" t="s">
        <v>26</v>
      </c>
    </row>
    <row r="5737" ht="15.75" customHeight="1">
      <c r="A5737" s="1" t="s">
        <v>5774</v>
      </c>
      <c r="B5737" s="1" t="s">
        <v>24</v>
      </c>
      <c r="C5737" s="1">
        <v>0.0</v>
      </c>
      <c r="D5737" s="1" t="s">
        <v>25</v>
      </c>
      <c r="E5737" s="1" t="s">
        <v>25</v>
      </c>
      <c r="F5737" s="1">
        <v>48.0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1">
        <v>20.0</v>
      </c>
      <c r="T5737" s="1">
        <v>935.9</v>
      </c>
      <c r="U5737" s="1">
        <v>0.0</v>
      </c>
      <c r="V5737" s="1">
        <v>0.0</v>
      </c>
      <c r="W5737" s="1" t="s">
        <v>26</v>
      </c>
    </row>
    <row r="5738" ht="15.75" customHeight="1">
      <c r="A5738" s="1" t="s">
        <v>5775</v>
      </c>
      <c r="B5738" s="1" t="s">
        <v>32</v>
      </c>
      <c r="C5738" s="1">
        <v>0.0</v>
      </c>
      <c r="D5738" s="1" t="s">
        <v>26</v>
      </c>
      <c r="E5738" s="1" t="s">
        <v>26</v>
      </c>
      <c r="F5738" s="1">
        <v>1.0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1">
        <v>20.05</v>
      </c>
      <c r="T5738" s="1">
        <v>20.05</v>
      </c>
      <c r="U5738" s="1">
        <v>0.0</v>
      </c>
      <c r="V5738" s="1">
        <v>0.0</v>
      </c>
      <c r="W5738" s="1" t="s">
        <v>26</v>
      </c>
    </row>
    <row r="5739" ht="15.75" customHeight="1">
      <c r="A5739" s="1" t="s">
        <v>5776</v>
      </c>
      <c r="B5739" s="1" t="s">
        <v>32</v>
      </c>
      <c r="C5739" s="1">
        <v>0.0</v>
      </c>
      <c r="D5739" s="1" t="s">
        <v>25</v>
      </c>
      <c r="E5739" s="1" t="s">
        <v>25</v>
      </c>
      <c r="F5739" s="1">
        <v>18.0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1">
        <v>83.25</v>
      </c>
      <c r="T5739" s="1">
        <v>1611.15</v>
      </c>
      <c r="U5739" s="1">
        <v>3.0</v>
      </c>
      <c r="V5739" s="1">
        <v>0.0</v>
      </c>
      <c r="W5739" s="1" t="s">
        <v>26</v>
      </c>
    </row>
    <row r="5740" ht="15.75" customHeight="1">
      <c r="A5740" s="1" t="s">
        <v>5777</v>
      </c>
      <c r="B5740" s="1" t="s">
        <v>32</v>
      </c>
      <c r="C5740" s="1">
        <v>0.0</v>
      </c>
      <c r="D5740" s="1" t="s">
        <v>26</v>
      </c>
      <c r="E5740" s="1" t="s">
        <v>26</v>
      </c>
      <c r="F5740" s="1">
        <v>1.0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1">
        <v>20.6</v>
      </c>
      <c r="T5740" s="1">
        <v>20.6</v>
      </c>
      <c r="U5740" s="1">
        <v>0.0</v>
      </c>
      <c r="V5740" s="1">
        <v>0.0</v>
      </c>
      <c r="W5740" s="1" t="s">
        <v>25</v>
      </c>
    </row>
    <row r="5741" ht="15.75" customHeight="1">
      <c r="A5741" s="1" t="s">
        <v>5778</v>
      </c>
      <c r="B5741" s="1" t="s">
        <v>32</v>
      </c>
      <c r="C5741" s="1">
        <v>1.0</v>
      </c>
      <c r="D5741" s="1" t="s">
        <v>25</v>
      </c>
      <c r="E5741" s="1" t="s">
        <v>26</v>
      </c>
      <c r="F5741" s="1">
        <v>67.0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1">
        <v>102.9</v>
      </c>
      <c r="T5741" s="1">
        <v>6989.7</v>
      </c>
      <c r="U5741" s="1">
        <v>0.0</v>
      </c>
      <c r="V5741" s="1">
        <v>0.0</v>
      </c>
      <c r="W5741" s="1" t="s">
        <v>26</v>
      </c>
    </row>
    <row r="5742" ht="15.75" customHeight="1">
      <c r="A5742" s="1" t="s">
        <v>5779</v>
      </c>
      <c r="B5742" s="1" t="s">
        <v>32</v>
      </c>
      <c r="C5742" s="1">
        <v>0.0</v>
      </c>
      <c r="D5742" s="1" t="s">
        <v>25</v>
      </c>
      <c r="E5742" s="1" t="s">
        <v>25</v>
      </c>
      <c r="F5742" s="1">
        <v>69.0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1">
        <v>39.1</v>
      </c>
      <c r="T5742" s="1">
        <v>2779.5</v>
      </c>
      <c r="U5742" s="1">
        <v>0.0</v>
      </c>
      <c r="V5742" s="1">
        <v>0.0</v>
      </c>
      <c r="W5742" s="1" t="s">
        <v>26</v>
      </c>
    </row>
    <row r="5743" ht="15.75" customHeight="1">
      <c r="A5743" s="1" t="s">
        <v>5780</v>
      </c>
      <c r="B5743" s="1" t="s">
        <v>32</v>
      </c>
      <c r="C5743" s="1">
        <v>0.0</v>
      </c>
      <c r="D5743" s="1" t="s">
        <v>26</v>
      </c>
      <c r="E5743" s="1" t="s">
        <v>26</v>
      </c>
      <c r="F5743" s="1">
        <v>19.0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1">
        <v>99.95</v>
      </c>
      <c r="T5743" s="1">
        <v>1931.75</v>
      </c>
      <c r="U5743" s="1">
        <v>0.0</v>
      </c>
      <c r="V5743" s="1">
        <v>1.0</v>
      </c>
      <c r="W5743" s="1" t="s">
        <v>25</v>
      </c>
    </row>
    <row r="5744" ht="15.75" customHeight="1">
      <c r="A5744" s="1" t="s">
        <v>5781</v>
      </c>
      <c r="B5744" s="1" t="s">
        <v>32</v>
      </c>
      <c r="C5744" s="1">
        <v>1.0</v>
      </c>
      <c r="D5744" s="1" t="s">
        <v>25</v>
      </c>
      <c r="E5744" s="1" t="s">
        <v>26</v>
      </c>
      <c r="F5744" s="1">
        <v>72.0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1">
        <v>114.5</v>
      </c>
      <c r="T5744" s="1">
        <v>8331.95</v>
      </c>
      <c r="U5744" s="1">
        <v>0.0</v>
      </c>
      <c r="V5744" s="1">
        <v>0.0</v>
      </c>
      <c r="W5744" s="1" t="s">
        <v>26</v>
      </c>
    </row>
    <row r="5745" ht="15.75" customHeight="1">
      <c r="A5745" s="1" t="s">
        <v>5782</v>
      </c>
      <c r="B5745" s="1" t="s">
        <v>24</v>
      </c>
      <c r="C5745" s="1">
        <v>1.0</v>
      </c>
      <c r="D5745" s="1" t="s">
        <v>26</v>
      </c>
      <c r="E5745" s="1" t="s">
        <v>26</v>
      </c>
      <c r="F5745" s="1">
        <v>38.0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1">
        <v>20.2</v>
      </c>
      <c r="T5745" s="1">
        <v>735.9</v>
      </c>
      <c r="U5745" s="1">
        <v>0.0</v>
      </c>
      <c r="V5745" s="1">
        <v>0.0</v>
      </c>
      <c r="W5745" s="1" t="s">
        <v>26</v>
      </c>
    </row>
    <row r="5746" ht="15.75" customHeight="1">
      <c r="A5746" s="1" t="s">
        <v>5783</v>
      </c>
      <c r="B5746" s="1" t="s">
        <v>32</v>
      </c>
      <c r="C5746" s="1">
        <v>1.0</v>
      </c>
      <c r="D5746" s="1" t="s">
        <v>25</v>
      </c>
      <c r="E5746" s="1" t="s">
        <v>26</v>
      </c>
      <c r="F5746" s="1">
        <v>40.0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1">
        <v>55.8</v>
      </c>
      <c r="T5746" s="1">
        <v>2283.3</v>
      </c>
      <c r="U5746" s="1">
        <v>1.0</v>
      </c>
      <c r="V5746" s="1">
        <v>0.0</v>
      </c>
      <c r="W5746" s="1" t="s">
        <v>26</v>
      </c>
    </row>
    <row r="5747" ht="15.75" customHeight="1">
      <c r="A5747" s="1" t="s">
        <v>5784</v>
      </c>
      <c r="B5747" s="1" t="s">
        <v>24</v>
      </c>
      <c r="C5747" s="1">
        <v>0.0</v>
      </c>
      <c r="D5747" s="1" t="s">
        <v>25</v>
      </c>
      <c r="E5747" s="1" t="s">
        <v>25</v>
      </c>
      <c r="F5747" s="1">
        <v>61.0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1">
        <v>24.2</v>
      </c>
      <c r="T5747" s="1">
        <v>1445.2</v>
      </c>
      <c r="U5747" s="1">
        <v>0.0</v>
      </c>
      <c r="V5747" s="1">
        <v>0.0</v>
      </c>
      <c r="W5747" s="1" t="s">
        <v>26</v>
      </c>
    </row>
    <row r="5748" ht="15.75" customHeight="1">
      <c r="A5748" s="1" t="s">
        <v>5785</v>
      </c>
      <c r="B5748" s="1" t="s">
        <v>24</v>
      </c>
      <c r="C5748" s="1">
        <v>0.0</v>
      </c>
      <c r="D5748" s="1" t="s">
        <v>26</v>
      </c>
      <c r="E5748" s="1" t="s">
        <v>26</v>
      </c>
      <c r="F5748" s="1">
        <v>10.0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1">
        <v>81.0</v>
      </c>
      <c r="T5748" s="1">
        <v>818.05</v>
      </c>
      <c r="U5748" s="1">
        <v>3.0</v>
      </c>
      <c r="V5748" s="1">
        <v>0.0</v>
      </c>
      <c r="W5748" s="1" t="s">
        <v>25</v>
      </c>
    </row>
    <row r="5749" ht="15.75" customHeight="1">
      <c r="A5749" s="1" t="s">
        <v>5786</v>
      </c>
      <c r="B5749" s="1" t="s">
        <v>32</v>
      </c>
      <c r="C5749" s="1">
        <v>0.0</v>
      </c>
      <c r="D5749" s="1" t="s">
        <v>25</v>
      </c>
      <c r="E5749" s="1" t="s">
        <v>26</v>
      </c>
      <c r="F5749" s="1">
        <v>32.0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1">
        <v>72.8</v>
      </c>
      <c r="T5749" s="1">
        <v>2333.05</v>
      </c>
      <c r="U5749" s="1">
        <v>0.0</v>
      </c>
      <c r="V5749" s="1">
        <v>0.0</v>
      </c>
      <c r="W5749" s="1" t="s">
        <v>26</v>
      </c>
    </row>
    <row r="5750" ht="15.75" customHeight="1">
      <c r="A5750" s="1" t="s">
        <v>5787</v>
      </c>
      <c r="B5750" s="1" t="s">
        <v>24</v>
      </c>
      <c r="C5750" s="1">
        <v>0.0</v>
      </c>
      <c r="D5750" s="1" t="s">
        <v>26</v>
      </c>
      <c r="E5750" s="1" t="s">
        <v>26</v>
      </c>
      <c r="F5750" s="1">
        <v>21.0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1">
        <v>99.85</v>
      </c>
      <c r="T5750" s="1">
        <v>1992.55</v>
      </c>
      <c r="U5750" s="1">
        <v>5.0</v>
      </c>
      <c r="V5750" s="1">
        <v>0.0</v>
      </c>
      <c r="W5750" s="1" t="s">
        <v>26</v>
      </c>
    </row>
    <row r="5751" ht="15.75" customHeight="1">
      <c r="A5751" s="1" t="s">
        <v>5788</v>
      </c>
      <c r="B5751" s="1" t="s">
        <v>24</v>
      </c>
      <c r="C5751" s="1">
        <v>1.0</v>
      </c>
      <c r="D5751" s="1" t="s">
        <v>26</v>
      </c>
      <c r="E5751" s="1" t="s">
        <v>26</v>
      </c>
      <c r="F5751" s="1">
        <v>59.0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1">
        <v>99.5</v>
      </c>
      <c r="T5751" s="1">
        <v>5890.0</v>
      </c>
      <c r="U5751" s="1">
        <v>5.0</v>
      </c>
      <c r="V5751" s="1">
        <v>4.0</v>
      </c>
      <c r="W5751" s="1" t="s">
        <v>26</v>
      </c>
    </row>
    <row r="5752" ht="15.75" customHeight="1">
      <c r="A5752" s="1" t="s">
        <v>5789</v>
      </c>
      <c r="B5752" s="1" t="s">
        <v>24</v>
      </c>
      <c r="C5752" s="1">
        <v>1.0</v>
      </c>
      <c r="D5752" s="1" t="s">
        <v>25</v>
      </c>
      <c r="E5752" s="1" t="s">
        <v>26</v>
      </c>
      <c r="F5752" s="1">
        <v>13.0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1">
        <v>70.15</v>
      </c>
      <c r="T5752" s="1">
        <v>916.75</v>
      </c>
      <c r="U5752" s="1">
        <v>0.0</v>
      </c>
      <c r="V5752" s="1">
        <v>0.0</v>
      </c>
      <c r="W5752" s="1" t="s">
        <v>25</v>
      </c>
    </row>
    <row r="5753" ht="15.75" customHeight="1">
      <c r="A5753" s="1" t="s">
        <v>5790</v>
      </c>
      <c r="B5753" s="1" t="s">
        <v>24</v>
      </c>
      <c r="C5753" s="1">
        <v>0.0</v>
      </c>
      <c r="D5753" s="1" t="s">
        <v>26</v>
      </c>
      <c r="E5753" s="1" t="s">
        <v>26</v>
      </c>
      <c r="F5753" s="1">
        <v>47.0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1">
        <v>20.25</v>
      </c>
      <c r="T5753" s="1">
        <v>1029.8</v>
      </c>
      <c r="U5753" s="1">
        <v>0.0</v>
      </c>
      <c r="V5753" s="1">
        <v>0.0</v>
      </c>
      <c r="W5753" s="1" t="s">
        <v>26</v>
      </c>
    </row>
    <row r="5754" ht="15.75" customHeight="1">
      <c r="A5754" s="1" t="s">
        <v>5791</v>
      </c>
      <c r="B5754" s="1" t="s">
        <v>32</v>
      </c>
      <c r="C5754" s="1">
        <v>0.0</v>
      </c>
      <c r="D5754" s="1" t="s">
        <v>25</v>
      </c>
      <c r="E5754" s="1" t="s">
        <v>25</v>
      </c>
      <c r="F5754" s="1">
        <v>69.0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1">
        <v>26.0</v>
      </c>
      <c r="T5754" s="1">
        <v>1796.55</v>
      </c>
      <c r="U5754" s="1">
        <v>0.0</v>
      </c>
      <c r="V5754" s="1">
        <v>0.0</v>
      </c>
      <c r="W5754" s="1" t="s">
        <v>26</v>
      </c>
    </row>
    <row r="5755" ht="15.75" customHeight="1">
      <c r="A5755" s="1" t="s">
        <v>5792</v>
      </c>
      <c r="B5755" s="1" t="s">
        <v>32</v>
      </c>
      <c r="C5755" s="1">
        <v>0.0</v>
      </c>
      <c r="D5755" s="1" t="s">
        <v>26</v>
      </c>
      <c r="E5755" s="1" t="s">
        <v>26</v>
      </c>
      <c r="F5755" s="1">
        <v>2.0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1">
        <v>19.9</v>
      </c>
      <c r="T5755" s="1">
        <v>33.7</v>
      </c>
      <c r="U5755" s="1">
        <v>0.0</v>
      </c>
      <c r="V5755" s="1">
        <v>0.0</v>
      </c>
      <c r="W5755" s="1" t="s">
        <v>26</v>
      </c>
    </row>
    <row r="5756" ht="15.75" customHeight="1">
      <c r="A5756" s="1" t="s">
        <v>5793</v>
      </c>
      <c r="B5756" s="1" t="s">
        <v>24</v>
      </c>
      <c r="C5756" s="1">
        <v>0.0</v>
      </c>
      <c r="D5756" s="1" t="s">
        <v>25</v>
      </c>
      <c r="E5756" s="1" t="s">
        <v>25</v>
      </c>
      <c r="F5756" s="1">
        <v>22.0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1">
        <v>19.05</v>
      </c>
      <c r="T5756" s="1">
        <v>454.05</v>
      </c>
      <c r="U5756" s="1">
        <v>0.0</v>
      </c>
      <c r="V5756" s="1">
        <v>0.0</v>
      </c>
      <c r="W5756" s="1" t="s">
        <v>26</v>
      </c>
    </row>
    <row r="5757" ht="15.75" customHeight="1">
      <c r="A5757" s="1" t="s">
        <v>5794</v>
      </c>
      <c r="B5757" s="1" t="s">
        <v>32</v>
      </c>
      <c r="C5757" s="1">
        <v>1.0</v>
      </c>
      <c r="D5757" s="1" t="s">
        <v>25</v>
      </c>
      <c r="E5757" s="1" t="s">
        <v>26</v>
      </c>
      <c r="F5757" s="1">
        <v>15.0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1">
        <v>96.5</v>
      </c>
      <c r="T5757" s="1">
        <v>1392.25</v>
      </c>
      <c r="U5757" s="1">
        <v>0.0</v>
      </c>
      <c r="V5757" s="1">
        <v>0.0</v>
      </c>
      <c r="W5757" s="1" t="s">
        <v>26</v>
      </c>
    </row>
    <row r="5758" ht="15.75" customHeight="1">
      <c r="A5758" s="1" t="s">
        <v>5795</v>
      </c>
      <c r="B5758" s="1" t="s">
        <v>24</v>
      </c>
      <c r="C5758" s="1">
        <v>0.0</v>
      </c>
      <c r="D5758" s="1" t="s">
        <v>26</v>
      </c>
      <c r="E5758" s="1" t="s">
        <v>26</v>
      </c>
      <c r="F5758" s="1">
        <v>53.0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1">
        <v>19.85</v>
      </c>
      <c r="T5758" s="1">
        <v>1049.6</v>
      </c>
      <c r="U5758" s="1">
        <v>0.0</v>
      </c>
      <c r="V5758" s="1">
        <v>0.0</v>
      </c>
      <c r="W5758" s="1" t="s">
        <v>26</v>
      </c>
    </row>
    <row r="5759" ht="15.75" customHeight="1">
      <c r="A5759" s="1" t="s">
        <v>5796</v>
      </c>
      <c r="B5759" s="1" t="s">
        <v>24</v>
      </c>
      <c r="C5759" s="1">
        <v>1.0</v>
      </c>
      <c r="D5759" s="1" t="s">
        <v>25</v>
      </c>
      <c r="E5759" s="1" t="s">
        <v>26</v>
      </c>
      <c r="F5759" s="1">
        <v>28.0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1">
        <v>25.7</v>
      </c>
      <c r="T5759" s="1">
        <v>734.6</v>
      </c>
      <c r="U5759" s="1">
        <v>0.0</v>
      </c>
      <c r="V5759" s="1">
        <v>0.0</v>
      </c>
      <c r="W5759" s="1" t="s">
        <v>26</v>
      </c>
    </row>
    <row r="5760" ht="15.75" customHeight="1">
      <c r="A5760" s="1" t="s">
        <v>5797</v>
      </c>
      <c r="B5760" s="1" t="s">
        <v>32</v>
      </c>
      <c r="C5760" s="1">
        <v>0.0</v>
      </c>
      <c r="D5760" s="1" t="s">
        <v>26</v>
      </c>
      <c r="E5760" s="1" t="s">
        <v>26</v>
      </c>
      <c r="F5760" s="1">
        <v>22.0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1">
        <v>20.3</v>
      </c>
      <c r="T5760" s="1">
        <v>475.1</v>
      </c>
      <c r="U5760" s="1">
        <v>0.0</v>
      </c>
      <c r="V5760" s="1">
        <v>1.0</v>
      </c>
      <c r="W5760" s="1" t="s">
        <v>26</v>
      </c>
    </row>
    <row r="5761" ht="15.75" customHeight="1">
      <c r="A5761" s="1" t="s">
        <v>5798</v>
      </c>
      <c r="B5761" s="1" t="s">
        <v>24</v>
      </c>
      <c r="C5761" s="1">
        <v>0.0</v>
      </c>
      <c r="D5761" s="1" t="s">
        <v>26</v>
      </c>
      <c r="E5761" s="1" t="s">
        <v>26</v>
      </c>
      <c r="F5761" s="1">
        <v>1.0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1">
        <v>70.15</v>
      </c>
      <c r="T5761" s="1">
        <v>70.15</v>
      </c>
      <c r="U5761" s="1">
        <v>0.0</v>
      </c>
      <c r="V5761" s="1">
        <v>0.0</v>
      </c>
      <c r="W5761" s="1" t="s">
        <v>25</v>
      </c>
    </row>
    <row r="5762" ht="15.75" customHeight="1">
      <c r="A5762" s="1" t="s">
        <v>5799</v>
      </c>
      <c r="B5762" s="1" t="s">
        <v>32</v>
      </c>
      <c r="C5762" s="1">
        <v>1.0</v>
      </c>
      <c r="D5762" s="1" t="s">
        <v>25</v>
      </c>
      <c r="E5762" s="1" t="s">
        <v>26</v>
      </c>
      <c r="F5762" s="1">
        <v>16.0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1">
        <v>91.55</v>
      </c>
      <c r="T5762" s="1">
        <v>1540.05</v>
      </c>
      <c r="U5762" s="1">
        <v>0.0</v>
      </c>
      <c r="V5762" s="1">
        <v>0.0</v>
      </c>
      <c r="W5762" s="1" t="s">
        <v>26</v>
      </c>
    </row>
    <row r="5763" ht="15.75" customHeight="1">
      <c r="A5763" s="1" t="s">
        <v>5800</v>
      </c>
      <c r="B5763" s="1" t="s">
        <v>24</v>
      </c>
      <c r="C5763" s="1">
        <v>0.0</v>
      </c>
      <c r="D5763" s="1" t="s">
        <v>25</v>
      </c>
      <c r="E5763" s="1" t="s">
        <v>25</v>
      </c>
      <c r="F5763" s="1">
        <v>48.0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1">
        <v>39.4</v>
      </c>
      <c r="T5763" s="1">
        <v>1978.65</v>
      </c>
      <c r="U5763" s="1">
        <v>2.0</v>
      </c>
      <c r="V5763" s="1">
        <v>0.0</v>
      </c>
      <c r="W5763" s="1" t="s">
        <v>26</v>
      </c>
    </row>
    <row r="5764" ht="15.75" customHeight="1">
      <c r="A5764" s="1" t="s">
        <v>5801</v>
      </c>
      <c r="B5764" s="1" t="s">
        <v>32</v>
      </c>
      <c r="C5764" s="1">
        <v>1.0</v>
      </c>
      <c r="D5764" s="1" t="s">
        <v>25</v>
      </c>
      <c r="E5764" s="1" t="s">
        <v>26</v>
      </c>
      <c r="F5764" s="1">
        <v>30.0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1">
        <v>105.7</v>
      </c>
      <c r="T5764" s="1">
        <v>3181.8</v>
      </c>
      <c r="U5764" s="1">
        <v>0.0</v>
      </c>
      <c r="V5764" s="1">
        <v>0.0</v>
      </c>
      <c r="W5764" s="1" t="s">
        <v>26</v>
      </c>
    </row>
    <row r="5765" ht="15.75" customHeight="1">
      <c r="A5765" s="1" t="s">
        <v>5802</v>
      </c>
      <c r="B5765" s="1" t="s">
        <v>24</v>
      </c>
      <c r="C5765" s="1">
        <v>0.0</v>
      </c>
      <c r="D5765" s="1" t="s">
        <v>26</v>
      </c>
      <c r="E5765" s="1" t="s">
        <v>26</v>
      </c>
      <c r="F5765" s="1">
        <v>3.0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1">
        <v>70.25</v>
      </c>
      <c r="T5765" s="1">
        <v>229.7</v>
      </c>
      <c r="U5765" s="1">
        <v>0.0</v>
      </c>
      <c r="V5765" s="1">
        <v>0.0</v>
      </c>
      <c r="W5765" s="1" t="s">
        <v>26</v>
      </c>
    </row>
    <row r="5766" ht="15.75" customHeight="1">
      <c r="A5766" s="1" t="s">
        <v>5803</v>
      </c>
      <c r="B5766" s="1" t="s">
        <v>32</v>
      </c>
      <c r="C5766" s="1">
        <v>1.0</v>
      </c>
      <c r="D5766" s="1" t="s">
        <v>26</v>
      </c>
      <c r="E5766" s="1" t="s">
        <v>26</v>
      </c>
      <c r="F5766" s="1">
        <v>57.0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1">
        <v>93.75</v>
      </c>
      <c r="T5766" s="1">
        <v>5625.55</v>
      </c>
      <c r="U5766" s="1">
        <v>0.0</v>
      </c>
      <c r="V5766" s="1">
        <v>0.0</v>
      </c>
      <c r="W5766" s="1" t="s">
        <v>26</v>
      </c>
    </row>
    <row r="5767" ht="15.75" customHeight="1">
      <c r="A5767" s="1" t="s">
        <v>5804</v>
      </c>
      <c r="B5767" s="1" t="s">
        <v>24</v>
      </c>
      <c r="C5767" s="1">
        <v>1.0</v>
      </c>
      <c r="D5767" s="1" t="s">
        <v>25</v>
      </c>
      <c r="E5767" s="1" t="s">
        <v>26</v>
      </c>
      <c r="F5767" s="1">
        <v>68.0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1">
        <v>96.55</v>
      </c>
      <c r="T5767" s="1">
        <v>6581.9</v>
      </c>
      <c r="U5767" s="1">
        <v>3.0</v>
      </c>
      <c r="V5767" s="1">
        <v>7.0</v>
      </c>
      <c r="W5767" s="1" t="s">
        <v>25</v>
      </c>
    </row>
    <row r="5768" ht="15.75" customHeight="1">
      <c r="A5768" s="1" t="s">
        <v>5805</v>
      </c>
      <c r="B5768" s="1" t="s">
        <v>24</v>
      </c>
      <c r="C5768" s="1">
        <v>0.0</v>
      </c>
      <c r="D5768" s="1" t="s">
        <v>25</v>
      </c>
      <c r="E5768" s="1" t="s">
        <v>26</v>
      </c>
      <c r="F5768" s="1">
        <v>23.0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1">
        <v>60.0</v>
      </c>
      <c r="T5768" s="1">
        <v>1347.15</v>
      </c>
      <c r="U5768" s="1">
        <v>0.0</v>
      </c>
      <c r="V5768" s="1">
        <v>2.0</v>
      </c>
      <c r="W5768" s="1" t="s">
        <v>26</v>
      </c>
    </row>
    <row r="5769" ht="15.75" customHeight="1">
      <c r="A5769" s="1" t="s">
        <v>5806</v>
      </c>
      <c r="B5769" s="1" t="s">
        <v>24</v>
      </c>
      <c r="C5769" s="1">
        <v>0.0</v>
      </c>
      <c r="D5769" s="1" t="s">
        <v>25</v>
      </c>
      <c r="E5769" s="1" t="s">
        <v>26</v>
      </c>
      <c r="F5769" s="1">
        <v>65.0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1">
        <v>59.8</v>
      </c>
      <c r="T5769" s="1">
        <v>3808.2</v>
      </c>
      <c r="U5769" s="1">
        <v>0.0</v>
      </c>
      <c r="V5769" s="1">
        <v>3.0</v>
      </c>
      <c r="W5769" s="1" t="s">
        <v>26</v>
      </c>
    </row>
    <row r="5770" ht="15.75" customHeight="1">
      <c r="A5770" s="1" t="s">
        <v>5807</v>
      </c>
      <c r="B5770" s="1" t="s">
        <v>32</v>
      </c>
      <c r="C5770" s="1">
        <v>0.0</v>
      </c>
      <c r="D5770" s="1" t="s">
        <v>25</v>
      </c>
      <c r="E5770" s="1" t="s">
        <v>26</v>
      </c>
      <c r="F5770" s="1">
        <v>44.0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1">
        <v>90.65</v>
      </c>
      <c r="T5770" s="1">
        <v>3974.15</v>
      </c>
      <c r="U5770" s="1">
        <v>0.0</v>
      </c>
      <c r="V5770" s="1">
        <v>0.0</v>
      </c>
      <c r="W5770" s="1" t="s">
        <v>26</v>
      </c>
    </row>
    <row r="5771" ht="15.75" customHeight="1">
      <c r="A5771" s="1" t="s">
        <v>5808</v>
      </c>
      <c r="B5771" s="1" t="s">
        <v>24</v>
      </c>
      <c r="C5771" s="1">
        <v>0.0</v>
      </c>
      <c r="D5771" s="1" t="s">
        <v>25</v>
      </c>
      <c r="E5771" s="1" t="s">
        <v>25</v>
      </c>
      <c r="F5771" s="1">
        <v>71.0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1">
        <v>109.0</v>
      </c>
      <c r="T5771" s="1">
        <v>7661.8</v>
      </c>
      <c r="U5771" s="1">
        <v>0.0</v>
      </c>
      <c r="V5771" s="1">
        <v>0.0</v>
      </c>
      <c r="W5771" s="1" t="s">
        <v>26</v>
      </c>
    </row>
    <row r="5772" ht="15.75" customHeight="1">
      <c r="A5772" s="1" t="s">
        <v>5809</v>
      </c>
      <c r="B5772" s="1" t="s">
        <v>24</v>
      </c>
      <c r="C5772" s="1">
        <v>0.0</v>
      </c>
      <c r="D5772" s="1" t="s">
        <v>25</v>
      </c>
      <c r="E5772" s="1" t="s">
        <v>26</v>
      </c>
      <c r="F5772" s="1">
        <v>37.0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1">
        <v>68.1</v>
      </c>
      <c r="T5772" s="1">
        <v>2479.25</v>
      </c>
      <c r="U5772" s="1">
        <v>0.0</v>
      </c>
      <c r="V5772" s="1">
        <v>1.0</v>
      </c>
      <c r="W5772" s="1" t="s">
        <v>26</v>
      </c>
    </row>
    <row r="5773" ht="15.75" customHeight="1">
      <c r="A5773" s="1" t="s">
        <v>5810</v>
      </c>
      <c r="B5773" s="1" t="s">
        <v>24</v>
      </c>
      <c r="C5773" s="1">
        <v>0.0</v>
      </c>
      <c r="D5773" s="1" t="s">
        <v>26</v>
      </c>
      <c r="E5773" s="1" t="s">
        <v>26</v>
      </c>
      <c r="F5773" s="1">
        <v>12.0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1">
        <v>20.4</v>
      </c>
      <c r="T5773" s="1">
        <v>266.6</v>
      </c>
      <c r="U5773" s="1">
        <v>0.0</v>
      </c>
      <c r="V5773" s="1">
        <v>0.0</v>
      </c>
      <c r="W5773" s="1" t="s">
        <v>26</v>
      </c>
    </row>
    <row r="5774" ht="15.75" customHeight="1">
      <c r="A5774" s="1" t="s">
        <v>5811</v>
      </c>
      <c r="B5774" s="1" t="s">
        <v>32</v>
      </c>
      <c r="C5774" s="1">
        <v>0.0</v>
      </c>
      <c r="D5774" s="1" t="s">
        <v>25</v>
      </c>
      <c r="E5774" s="1" t="s">
        <v>25</v>
      </c>
      <c r="F5774" s="1">
        <v>69.0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1">
        <v>81.95</v>
      </c>
      <c r="T5774" s="1">
        <v>5601.4</v>
      </c>
      <c r="U5774" s="1">
        <v>0.0</v>
      </c>
      <c r="V5774" s="1">
        <v>0.0</v>
      </c>
      <c r="W5774" s="1" t="s">
        <v>26</v>
      </c>
    </row>
    <row r="5775" ht="15.75" customHeight="1">
      <c r="A5775" s="1" t="s">
        <v>5812</v>
      </c>
      <c r="B5775" s="1" t="s">
        <v>24</v>
      </c>
      <c r="C5775" s="1">
        <v>0.0</v>
      </c>
      <c r="D5775" s="1" t="s">
        <v>26</v>
      </c>
      <c r="E5775" s="1" t="s">
        <v>26</v>
      </c>
      <c r="F5775" s="1">
        <v>35.0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1">
        <v>60.55</v>
      </c>
      <c r="T5775" s="1">
        <v>1982.6</v>
      </c>
      <c r="U5775" s="1">
        <v>4.0</v>
      </c>
      <c r="V5775" s="1">
        <v>0.0</v>
      </c>
      <c r="W5775" s="1" t="s">
        <v>26</v>
      </c>
    </row>
    <row r="5776" ht="15.75" customHeight="1">
      <c r="A5776" s="1" t="s">
        <v>5813</v>
      </c>
      <c r="B5776" s="1" t="s">
        <v>32</v>
      </c>
      <c r="C5776" s="1">
        <v>0.0</v>
      </c>
      <c r="D5776" s="1" t="s">
        <v>26</v>
      </c>
      <c r="E5776" s="1" t="s">
        <v>26</v>
      </c>
      <c r="F5776" s="1">
        <v>5.0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1">
        <v>65.6</v>
      </c>
      <c r="T5776" s="1">
        <v>339.9</v>
      </c>
      <c r="U5776" s="1">
        <v>0.0</v>
      </c>
      <c r="V5776" s="1">
        <v>0.0</v>
      </c>
      <c r="W5776" s="1" t="s">
        <v>26</v>
      </c>
    </row>
    <row r="5777" ht="15.75" customHeight="1">
      <c r="A5777" s="1" t="s">
        <v>5814</v>
      </c>
      <c r="B5777" s="1" t="s">
        <v>32</v>
      </c>
      <c r="C5777" s="1">
        <v>0.0</v>
      </c>
      <c r="D5777" s="1" t="s">
        <v>25</v>
      </c>
      <c r="E5777" s="1" t="s">
        <v>25</v>
      </c>
      <c r="F5777" s="1">
        <v>58.0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1">
        <v>82.5</v>
      </c>
      <c r="T5777" s="1">
        <v>4828.05</v>
      </c>
      <c r="U5777" s="1">
        <v>0.0</v>
      </c>
      <c r="V5777" s="1">
        <v>0.0</v>
      </c>
      <c r="W5777" s="1" t="s">
        <v>26</v>
      </c>
    </row>
    <row r="5778" ht="15.75" customHeight="1">
      <c r="A5778" s="1" t="s">
        <v>5815</v>
      </c>
      <c r="B5778" s="1" t="s">
        <v>32</v>
      </c>
      <c r="C5778" s="1">
        <v>0.0</v>
      </c>
      <c r="D5778" s="1" t="s">
        <v>25</v>
      </c>
      <c r="E5778" s="1" t="s">
        <v>26</v>
      </c>
      <c r="F5778" s="1">
        <v>72.0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1">
        <v>82.3</v>
      </c>
      <c r="T5778" s="1">
        <v>5980.55</v>
      </c>
      <c r="U5778" s="1">
        <v>0.0</v>
      </c>
      <c r="V5778" s="1">
        <v>0.0</v>
      </c>
      <c r="W5778" s="1" t="s">
        <v>26</v>
      </c>
    </row>
    <row r="5779" ht="15.75" customHeight="1">
      <c r="A5779" s="1" t="s">
        <v>5816</v>
      </c>
      <c r="B5779" s="1" t="s">
        <v>32</v>
      </c>
      <c r="C5779" s="1">
        <v>0.0</v>
      </c>
      <c r="D5779" s="1" t="s">
        <v>25</v>
      </c>
      <c r="E5779" s="1" t="s">
        <v>26</v>
      </c>
      <c r="F5779" s="1">
        <v>72.0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1">
        <v>68.15</v>
      </c>
      <c r="T5779" s="1">
        <v>4808.7</v>
      </c>
      <c r="U5779" s="1">
        <v>0.0</v>
      </c>
      <c r="V5779" s="1">
        <v>0.0</v>
      </c>
      <c r="W5779" s="1" t="s">
        <v>26</v>
      </c>
    </row>
    <row r="5780" ht="15.75" customHeight="1">
      <c r="A5780" s="1" t="s">
        <v>5817</v>
      </c>
      <c r="B5780" s="1" t="s">
        <v>24</v>
      </c>
      <c r="C5780" s="1">
        <v>0.0</v>
      </c>
      <c r="D5780" s="1" t="s">
        <v>26</v>
      </c>
      <c r="E5780" s="1" t="s">
        <v>26</v>
      </c>
      <c r="F5780" s="1">
        <v>1.0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1">
        <v>20.3</v>
      </c>
      <c r="T5780" s="1">
        <v>20.3</v>
      </c>
      <c r="U5780" s="1">
        <v>4.0</v>
      </c>
      <c r="V5780" s="1">
        <v>0.0</v>
      </c>
      <c r="W5780" s="1" t="s">
        <v>26</v>
      </c>
    </row>
    <row r="5781" ht="15.75" customHeight="1">
      <c r="A5781" s="1" t="s">
        <v>5818</v>
      </c>
      <c r="B5781" s="1" t="s">
        <v>24</v>
      </c>
      <c r="C5781" s="1">
        <v>0.0</v>
      </c>
      <c r="D5781" s="1" t="s">
        <v>26</v>
      </c>
      <c r="E5781" s="1" t="s">
        <v>26</v>
      </c>
      <c r="F5781" s="1">
        <v>39.0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1">
        <v>95.55</v>
      </c>
      <c r="T5781" s="1">
        <v>3692.85</v>
      </c>
      <c r="U5781" s="1">
        <v>5.0</v>
      </c>
      <c r="V5781" s="1">
        <v>2.0</v>
      </c>
      <c r="W5781" s="1" t="s">
        <v>25</v>
      </c>
    </row>
    <row r="5782" ht="15.75" customHeight="1">
      <c r="A5782" s="1" t="s">
        <v>5819</v>
      </c>
      <c r="B5782" s="1" t="s">
        <v>32</v>
      </c>
      <c r="C5782" s="1">
        <v>0.0</v>
      </c>
      <c r="D5782" s="1" t="s">
        <v>25</v>
      </c>
      <c r="E5782" s="1" t="s">
        <v>25</v>
      </c>
      <c r="F5782" s="1">
        <v>53.0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1">
        <v>20.2</v>
      </c>
      <c r="T5782" s="1">
        <v>1068.15</v>
      </c>
      <c r="U5782" s="1">
        <v>0.0</v>
      </c>
      <c r="V5782" s="1">
        <v>2.0</v>
      </c>
      <c r="W5782" s="1" t="s">
        <v>26</v>
      </c>
    </row>
    <row r="5783" ht="15.75" customHeight="1">
      <c r="A5783" s="1" t="s">
        <v>5820</v>
      </c>
      <c r="B5783" s="1" t="s">
        <v>24</v>
      </c>
      <c r="C5783" s="1">
        <v>0.0</v>
      </c>
      <c r="D5783" s="1" t="s">
        <v>26</v>
      </c>
      <c r="E5783" s="1" t="s">
        <v>26</v>
      </c>
      <c r="F5783" s="1">
        <v>27.0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1">
        <v>89.2</v>
      </c>
      <c r="T5783" s="1">
        <v>2383.6</v>
      </c>
      <c r="U5783" s="1">
        <v>0.0</v>
      </c>
      <c r="V5783" s="1">
        <v>0.0</v>
      </c>
      <c r="W5783" s="1" t="s">
        <v>26</v>
      </c>
    </row>
    <row r="5784" ht="15.75" customHeight="1">
      <c r="A5784" s="1" t="s">
        <v>5821</v>
      </c>
      <c r="B5784" s="1" t="s">
        <v>24</v>
      </c>
      <c r="C5784" s="1">
        <v>1.0</v>
      </c>
      <c r="D5784" s="1" t="s">
        <v>26</v>
      </c>
      <c r="E5784" s="1" t="s">
        <v>26</v>
      </c>
      <c r="F5784" s="1">
        <v>1.0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1">
        <v>69.65</v>
      </c>
      <c r="T5784" s="1">
        <v>69.65</v>
      </c>
      <c r="U5784" s="1">
        <v>0.0</v>
      </c>
      <c r="V5784" s="1">
        <v>0.0</v>
      </c>
      <c r="W5784" s="1" t="s">
        <v>25</v>
      </c>
    </row>
    <row r="5785" ht="15.75" customHeight="1">
      <c r="A5785" s="1" t="s">
        <v>5822</v>
      </c>
      <c r="B5785" s="1" t="s">
        <v>24</v>
      </c>
      <c r="C5785" s="1">
        <v>1.0</v>
      </c>
      <c r="D5785" s="1" t="s">
        <v>26</v>
      </c>
      <c r="E5785" s="1" t="s">
        <v>26</v>
      </c>
      <c r="F5785" s="1">
        <v>1.0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1">
        <v>89.3</v>
      </c>
      <c r="T5785" s="1">
        <v>89.3</v>
      </c>
      <c r="U5785" s="1">
        <v>0.0</v>
      </c>
      <c r="V5785" s="1">
        <v>0.0</v>
      </c>
      <c r="W5785" s="1" t="s">
        <v>25</v>
      </c>
    </row>
    <row r="5786" ht="15.75" customHeight="1">
      <c r="A5786" s="1" t="s">
        <v>5823</v>
      </c>
      <c r="B5786" s="1" t="s">
        <v>24</v>
      </c>
      <c r="C5786" s="1">
        <v>0.0</v>
      </c>
      <c r="D5786" s="1" t="s">
        <v>25</v>
      </c>
      <c r="E5786" s="1" t="s">
        <v>26</v>
      </c>
      <c r="F5786" s="1">
        <v>18.0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1">
        <v>74.8</v>
      </c>
      <c r="T5786" s="1">
        <v>1438.05</v>
      </c>
      <c r="U5786" s="1">
        <v>5.0</v>
      </c>
      <c r="V5786" s="1">
        <v>0.0</v>
      </c>
      <c r="W5786" s="1" t="s">
        <v>26</v>
      </c>
    </row>
    <row r="5787" ht="15.75" customHeight="1">
      <c r="A5787" s="1" t="s">
        <v>5824</v>
      </c>
      <c r="B5787" s="1" t="s">
        <v>32</v>
      </c>
      <c r="C5787" s="1">
        <v>0.0</v>
      </c>
      <c r="D5787" s="1" t="s">
        <v>25</v>
      </c>
      <c r="E5787" s="1" t="s">
        <v>25</v>
      </c>
      <c r="F5787" s="1">
        <v>46.0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1">
        <v>20.2</v>
      </c>
      <c r="T5787" s="1">
        <v>917.45</v>
      </c>
      <c r="U5787" s="1">
        <v>0.0</v>
      </c>
      <c r="V5787" s="1">
        <v>0.0</v>
      </c>
      <c r="W5787" s="1" t="s">
        <v>26</v>
      </c>
    </row>
    <row r="5788" ht="15.75" customHeight="1">
      <c r="A5788" s="1" t="s">
        <v>5825</v>
      </c>
      <c r="B5788" s="1" t="s">
        <v>24</v>
      </c>
      <c r="C5788" s="1">
        <v>0.0</v>
      </c>
      <c r="D5788" s="1" t="s">
        <v>25</v>
      </c>
      <c r="E5788" s="1" t="s">
        <v>26</v>
      </c>
      <c r="F5788" s="1">
        <v>72.0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1">
        <v>84.4</v>
      </c>
      <c r="T5788" s="1">
        <v>6096.45</v>
      </c>
      <c r="U5788" s="1">
        <v>0.0</v>
      </c>
      <c r="V5788" s="1">
        <v>0.0</v>
      </c>
      <c r="W5788" s="1" t="s">
        <v>26</v>
      </c>
    </row>
    <row r="5789" ht="15.75" customHeight="1">
      <c r="A5789" s="1" t="s">
        <v>5826</v>
      </c>
      <c r="B5789" s="1" t="s">
        <v>24</v>
      </c>
      <c r="C5789" s="1">
        <v>0.0</v>
      </c>
      <c r="D5789" s="1" t="s">
        <v>26</v>
      </c>
      <c r="E5789" s="1" t="s">
        <v>26</v>
      </c>
      <c r="F5789" s="1">
        <v>36.0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1">
        <v>87.55</v>
      </c>
      <c r="T5789" s="1">
        <v>3078.1</v>
      </c>
      <c r="U5789" s="1">
        <v>0.0</v>
      </c>
      <c r="V5789" s="1">
        <v>1.0</v>
      </c>
      <c r="W5789" s="1" t="s">
        <v>25</v>
      </c>
    </row>
    <row r="5790" ht="15.75" customHeight="1">
      <c r="A5790" s="1" t="s">
        <v>5827</v>
      </c>
      <c r="B5790" s="1" t="s">
        <v>24</v>
      </c>
      <c r="C5790" s="1">
        <v>0.0</v>
      </c>
      <c r="D5790" s="1" t="s">
        <v>25</v>
      </c>
      <c r="E5790" s="1" t="s">
        <v>26</v>
      </c>
      <c r="F5790" s="1">
        <v>4.0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1">
        <v>25.15</v>
      </c>
      <c r="T5790" s="1">
        <v>99.95</v>
      </c>
      <c r="U5790" s="1">
        <v>0.0</v>
      </c>
      <c r="V5790" s="1">
        <v>0.0</v>
      </c>
      <c r="W5790" s="1" t="s">
        <v>26</v>
      </c>
    </row>
    <row r="5791" ht="15.75" customHeight="1">
      <c r="A5791" s="1" t="s">
        <v>5828</v>
      </c>
      <c r="B5791" s="1" t="s">
        <v>24</v>
      </c>
      <c r="C5791" s="1">
        <v>0.0</v>
      </c>
      <c r="D5791" s="1" t="s">
        <v>26</v>
      </c>
      <c r="E5791" s="1" t="s">
        <v>26</v>
      </c>
      <c r="F5791" s="1">
        <v>25.0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1">
        <v>19.8</v>
      </c>
      <c r="T5791" s="1">
        <v>475.2</v>
      </c>
      <c r="U5791" s="1">
        <v>0.0</v>
      </c>
      <c r="V5791" s="1">
        <v>0.0</v>
      </c>
      <c r="W5791" s="1" t="s">
        <v>26</v>
      </c>
    </row>
    <row r="5792" ht="15.75" customHeight="1">
      <c r="A5792" s="1" t="s">
        <v>5829</v>
      </c>
      <c r="B5792" s="1" t="s">
        <v>24</v>
      </c>
      <c r="C5792" s="1">
        <v>0.0</v>
      </c>
      <c r="D5792" s="1" t="s">
        <v>25</v>
      </c>
      <c r="E5792" s="1" t="s">
        <v>25</v>
      </c>
      <c r="F5792" s="1">
        <v>40.0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1">
        <v>50.85</v>
      </c>
      <c r="T5792" s="1">
        <v>2036.55</v>
      </c>
      <c r="U5792" s="1">
        <v>0.0</v>
      </c>
      <c r="V5792" s="1">
        <v>0.0</v>
      </c>
      <c r="W5792" s="1" t="s">
        <v>26</v>
      </c>
    </row>
    <row r="5793" ht="15.75" customHeight="1">
      <c r="A5793" s="1" t="s">
        <v>5830</v>
      </c>
      <c r="B5793" s="1" t="s">
        <v>32</v>
      </c>
      <c r="C5793" s="1">
        <v>0.0</v>
      </c>
      <c r="D5793" s="1" t="s">
        <v>25</v>
      </c>
      <c r="E5793" s="1" t="s">
        <v>26</v>
      </c>
      <c r="F5793" s="1">
        <v>63.0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1">
        <v>102.4</v>
      </c>
      <c r="T5793" s="1">
        <v>6444.05</v>
      </c>
      <c r="U5793" s="1">
        <v>0.0</v>
      </c>
      <c r="V5793" s="1">
        <v>0.0</v>
      </c>
      <c r="W5793" s="1" t="s">
        <v>26</v>
      </c>
    </row>
    <row r="5794" ht="15.75" customHeight="1">
      <c r="A5794" s="1" t="s">
        <v>5831</v>
      </c>
      <c r="B5794" s="1" t="s">
        <v>24</v>
      </c>
      <c r="C5794" s="1">
        <v>1.0</v>
      </c>
      <c r="D5794" s="1" t="s">
        <v>26</v>
      </c>
      <c r="E5794" s="1" t="s">
        <v>26</v>
      </c>
      <c r="F5794" s="1">
        <v>15.0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1">
        <v>96.3</v>
      </c>
      <c r="T5794" s="1">
        <v>1426.75</v>
      </c>
      <c r="U5794" s="1">
        <v>0.0</v>
      </c>
      <c r="V5794" s="1">
        <v>0.0</v>
      </c>
      <c r="W5794" s="1" t="s">
        <v>25</v>
      </c>
    </row>
    <row r="5795" ht="15.75" customHeight="1">
      <c r="A5795" s="1" t="s">
        <v>5832</v>
      </c>
      <c r="B5795" s="1" t="s">
        <v>32</v>
      </c>
      <c r="C5795" s="1">
        <v>0.0</v>
      </c>
      <c r="D5795" s="1" t="s">
        <v>26</v>
      </c>
      <c r="E5795" s="1" t="s">
        <v>26</v>
      </c>
      <c r="F5795" s="1">
        <v>14.0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1">
        <v>55.5</v>
      </c>
      <c r="T5795" s="1">
        <v>767.55</v>
      </c>
      <c r="U5795" s="1">
        <v>0.0</v>
      </c>
      <c r="V5795" s="1">
        <v>0.0</v>
      </c>
      <c r="W5795" s="1" t="s">
        <v>26</v>
      </c>
    </row>
    <row r="5796" ht="15.75" customHeight="1">
      <c r="A5796" s="1" t="s">
        <v>5833</v>
      </c>
      <c r="B5796" s="1" t="s">
        <v>32</v>
      </c>
      <c r="C5796" s="1">
        <v>1.0</v>
      </c>
      <c r="D5796" s="1" t="s">
        <v>25</v>
      </c>
      <c r="E5796" s="1" t="s">
        <v>26</v>
      </c>
      <c r="F5796" s="1">
        <v>72.0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1">
        <v>109.75</v>
      </c>
      <c r="T5796" s="1">
        <v>7932.5</v>
      </c>
      <c r="U5796" s="1">
        <v>3.0</v>
      </c>
      <c r="V5796" s="1">
        <v>0.0</v>
      </c>
      <c r="W5796" s="1" t="s">
        <v>26</v>
      </c>
    </row>
    <row r="5797" ht="15.75" customHeight="1">
      <c r="A5797" s="1" t="s">
        <v>5834</v>
      </c>
      <c r="B5797" s="1" t="s">
        <v>32</v>
      </c>
      <c r="C5797" s="1">
        <v>0.0</v>
      </c>
      <c r="D5797" s="1" t="s">
        <v>26</v>
      </c>
      <c r="E5797" s="1" t="s">
        <v>26</v>
      </c>
      <c r="F5797" s="1">
        <v>39.0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1">
        <v>106.4</v>
      </c>
      <c r="T5797" s="1">
        <v>4040.65</v>
      </c>
      <c r="U5797" s="1">
        <v>0.0</v>
      </c>
      <c r="V5797" s="1">
        <v>0.0</v>
      </c>
      <c r="W5797" s="1" t="s">
        <v>26</v>
      </c>
    </row>
    <row r="5798" ht="15.75" customHeight="1">
      <c r="A5798" s="1" t="s">
        <v>5835</v>
      </c>
      <c r="B5798" s="1" t="s">
        <v>24</v>
      </c>
      <c r="C5798" s="1">
        <v>0.0</v>
      </c>
      <c r="D5798" s="1" t="s">
        <v>25</v>
      </c>
      <c r="E5798" s="1" t="s">
        <v>25</v>
      </c>
      <c r="F5798" s="1">
        <v>47.0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1">
        <v>60.0</v>
      </c>
      <c r="T5798" s="1">
        <v>2768.65</v>
      </c>
      <c r="U5798" s="1">
        <v>0.0</v>
      </c>
      <c r="V5798" s="1">
        <v>0.0</v>
      </c>
      <c r="W5798" s="1" t="s">
        <v>26</v>
      </c>
    </row>
    <row r="5799" ht="15.75" customHeight="1">
      <c r="A5799" s="1" t="s">
        <v>5836</v>
      </c>
      <c r="B5799" s="1" t="s">
        <v>32</v>
      </c>
      <c r="C5799" s="1">
        <v>0.0</v>
      </c>
      <c r="D5799" s="1" t="s">
        <v>25</v>
      </c>
      <c r="E5799" s="1" t="s">
        <v>26</v>
      </c>
      <c r="F5799" s="1">
        <v>19.0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1">
        <v>88.8</v>
      </c>
      <c r="T5799" s="1">
        <v>1672.35</v>
      </c>
      <c r="U5799" s="1">
        <v>0.0</v>
      </c>
      <c r="V5799" s="1">
        <v>0.0</v>
      </c>
      <c r="W5799" s="1" t="s">
        <v>26</v>
      </c>
    </row>
    <row r="5800" ht="15.75" customHeight="1">
      <c r="A5800" s="1" t="s">
        <v>5837</v>
      </c>
      <c r="B5800" s="1" t="s">
        <v>24</v>
      </c>
      <c r="C5800" s="1">
        <v>0.0</v>
      </c>
      <c r="D5800" s="1" t="s">
        <v>26</v>
      </c>
      <c r="E5800" s="1" t="s">
        <v>26</v>
      </c>
      <c r="F5800" s="1">
        <v>5.0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1">
        <v>85.2</v>
      </c>
      <c r="T5800" s="1">
        <v>474.8</v>
      </c>
      <c r="U5800" s="1">
        <v>0.0</v>
      </c>
      <c r="V5800" s="1">
        <v>0.0</v>
      </c>
      <c r="W5800" s="1" t="s">
        <v>25</v>
      </c>
    </row>
    <row r="5801" ht="15.75" customHeight="1">
      <c r="A5801" s="1" t="s">
        <v>5838</v>
      </c>
      <c r="B5801" s="1" t="s">
        <v>24</v>
      </c>
      <c r="C5801" s="1">
        <v>0.0</v>
      </c>
      <c r="D5801" s="1" t="s">
        <v>26</v>
      </c>
      <c r="E5801" s="1" t="s">
        <v>26</v>
      </c>
      <c r="F5801" s="1">
        <v>13.0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1">
        <v>35.1</v>
      </c>
      <c r="T5801" s="1">
        <v>446.1</v>
      </c>
      <c r="U5801" s="1">
        <v>0.0</v>
      </c>
      <c r="V5801" s="1">
        <v>0.0</v>
      </c>
      <c r="W5801" s="1" t="s">
        <v>25</v>
      </c>
    </row>
    <row r="5802" ht="15.75" customHeight="1">
      <c r="A5802" s="1" t="s">
        <v>5839</v>
      </c>
      <c r="B5802" s="1" t="s">
        <v>24</v>
      </c>
      <c r="C5802" s="1">
        <v>0.0</v>
      </c>
      <c r="D5802" s="1" t="s">
        <v>26</v>
      </c>
      <c r="E5802" s="1" t="s">
        <v>26</v>
      </c>
      <c r="F5802" s="1">
        <v>17.0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1">
        <v>80.05</v>
      </c>
      <c r="T5802" s="1">
        <v>1345.65</v>
      </c>
      <c r="U5802" s="1">
        <v>0.0</v>
      </c>
      <c r="V5802" s="1">
        <v>1.0</v>
      </c>
      <c r="W5802" s="1" t="s">
        <v>26</v>
      </c>
    </row>
    <row r="5803" ht="15.75" customHeight="1">
      <c r="A5803" s="1" t="s">
        <v>5840</v>
      </c>
      <c r="B5803" s="1" t="s">
        <v>32</v>
      </c>
      <c r="C5803" s="1">
        <v>1.0</v>
      </c>
      <c r="D5803" s="1" t="s">
        <v>25</v>
      </c>
      <c r="E5803" s="1" t="s">
        <v>26</v>
      </c>
      <c r="F5803" s="1">
        <v>34.0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1">
        <v>75.55</v>
      </c>
      <c r="T5803" s="1">
        <v>2425.4</v>
      </c>
      <c r="U5803" s="1">
        <v>3.0</v>
      </c>
      <c r="V5803" s="1">
        <v>0.0</v>
      </c>
      <c r="W5803" s="1" t="s">
        <v>26</v>
      </c>
    </row>
    <row r="5804" ht="15.75" customHeight="1">
      <c r="A5804" s="1" t="s">
        <v>5841</v>
      </c>
      <c r="B5804" s="1" t="s">
        <v>24</v>
      </c>
      <c r="C5804" s="1">
        <v>0.0</v>
      </c>
      <c r="D5804" s="1" t="s">
        <v>26</v>
      </c>
      <c r="E5804" s="1" t="s">
        <v>26</v>
      </c>
      <c r="F5804" s="1">
        <v>42.0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1">
        <v>49.55</v>
      </c>
      <c r="T5804" s="1">
        <v>2077.95</v>
      </c>
      <c r="U5804" s="1">
        <v>0.0</v>
      </c>
      <c r="V5804" s="1">
        <v>0.0</v>
      </c>
      <c r="W5804" s="1" t="s">
        <v>26</v>
      </c>
    </row>
    <row r="5805" ht="15.75" customHeight="1">
      <c r="A5805" s="1" t="s">
        <v>5842</v>
      </c>
      <c r="B5805" s="1" t="s">
        <v>32</v>
      </c>
      <c r="C5805" s="1">
        <v>0.0</v>
      </c>
      <c r="D5805" s="1" t="s">
        <v>25</v>
      </c>
      <c r="E5805" s="1" t="s">
        <v>26</v>
      </c>
      <c r="F5805" s="1">
        <v>5.0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1">
        <v>81.3</v>
      </c>
      <c r="T5805" s="1">
        <v>416.3</v>
      </c>
      <c r="U5805" s="1">
        <v>0.0</v>
      </c>
      <c r="V5805" s="1">
        <v>0.0</v>
      </c>
      <c r="W5805" s="1" t="s">
        <v>25</v>
      </c>
    </row>
    <row r="5806" ht="15.75" customHeight="1">
      <c r="A5806" s="1" t="s">
        <v>5843</v>
      </c>
      <c r="B5806" s="1" t="s">
        <v>24</v>
      </c>
      <c r="C5806" s="1">
        <v>0.0</v>
      </c>
      <c r="D5806" s="1" t="s">
        <v>25</v>
      </c>
      <c r="E5806" s="1" t="s">
        <v>25</v>
      </c>
      <c r="F5806" s="1">
        <v>71.0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1">
        <v>23.9</v>
      </c>
      <c r="T5806" s="1">
        <v>1663.5</v>
      </c>
      <c r="U5806" s="1">
        <v>0.0</v>
      </c>
      <c r="V5806" s="1">
        <v>0.0</v>
      </c>
      <c r="W5806" s="1" t="s">
        <v>26</v>
      </c>
    </row>
    <row r="5807" ht="15.75" customHeight="1">
      <c r="A5807" s="1" t="s">
        <v>5844</v>
      </c>
      <c r="B5807" s="1" t="s">
        <v>32</v>
      </c>
      <c r="C5807" s="1">
        <v>1.0</v>
      </c>
      <c r="D5807" s="1" t="s">
        <v>25</v>
      </c>
      <c r="E5807" s="1" t="s">
        <v>26</v>
      </c>
      <c r="F5807" s="1">
        <v>19.0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1">
        <v>66.4</v>
      </c>
      <c r="T5807" s="1">
        <v>1286.05</v>
      </c>
      <c r="U5807" s="1">
        <v>5.0</v>
      </c>
      <c r="V5807" s="1">
        <v>0.0</v>
      </c>
      <c r="W5807" s="1" t="s">
        <v>26</v>
      </c>
    </row>
    <row r="5808" ht="15.75" customHeight="1">
      <c r="A5808" s="1" t="s">
        <v>5845</v>
      </c>
      <c r="B5808" s="1" t="s">
        <v>24</v>
      </c>
      <c r="C5808" s="1">
        <v>0.0</v>
      </c>
      <c r="D5808" s="1" t="s">
        <v>26</v>
      </c>
      <c r="E5808" s="1" t="s">
        <v>25</v>
      </c>
      <c r="F5808" s="1">
        <v>2.0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1">
        <v>19.6</v>
      </c>
      <c r="T5808" s="1">
        <v>35.85</v>
      </c>
      <c r="U5808" s="1">
        <v>5.0</v>
      </c>
      <c r="V5808" s="1">
        <v>0.0</v>
      </c>
      <c r="W5808" s="1" t="s">
        <v>25</v>
      </c>
    </row>
    <row r="5809" ht="15.75" customHeight="1">
      <c r="A5809" s="1" t="s">
        <v>5846</v>
      </c>
      <c r="B5809" s="1" t="s">
        <v>32</v>
      </c>
      <c r="C5809" s="1">
        <v>0.0</v>
      </c>
      <c r="D5809" s="1" t="s">
        <v>26</v>
      </c>
      <c r="E5809" s="1" t="s">
        <v>26</v>
      </c>
      <c r="F5809" s="1">
        <v>57.0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1">
        <v>18.8</v>
      </c>
      <c r="T5809" s="1">
        <v>1094.35</v>
      </c>
      <c r="U5809" s="1">
        <v>0.0</v>
      </c>
      <c r="V5809" s="1">
        <v>0.0</v>
      </c>
      <c r="W5809" s="1" t="s">
        <v>26</v>
      </c>
    </row>
    <row r="5810" ht="15.75" customHeight="1">
      <c r="A5810" s="1" t="s">
        <v>5847</v>
      </c>
      <c r="B5810" s="1" t="s">
        <v>32</v>
      </c>
      <c r="C5810" s="1">
        <v>0.0</v>
      </c>
      <c r="D5810" s="1" t="s">
        <v>25</v>
      </c>
      <c r="E5810" s="1" t="s">
        <v>26</v>
      </c>
      <c r="F5810" s="1">
        <v>72.0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1">
        <v>108.4</v>
      </c>
      <c r="T5810" s="1">
        <v>7719.5</v>
      </c>
      <c r="U5810" s="1">
        <v>0.0</v>
      </c>
      <c r="V5810" s="1">
        <v>0.0</v>
      </c>
      <c r="W5810" s="1" t="s">
        <v>26</v>
      </c>
    </row>
    <row r="5811" ht="15.75" customHeight="1">
      <c r="A5811" s="1" t="s">
        <v>5848</v>
      </c>
      <c r="B5811" s="1" t="s">
        <v>24</v>
      </c>
      <c r="C5811" s="1">
        <v>0.0</v>
      </c>
      <c r="D5811" s="1" t="s">
        <v>26</v>
      </c>
      <c r="E5811" s="1" t="s">
        <v>26</v>
      </c>
      <c r="F5811" s="1">
        <v>6.0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1">
        <v>85.95</v>
      </c>
      <c r="T5811" s="1">
        <v>514.6</v>
      </c>
      <c r="U5811" s="1">
        <v>5.0</v>
      </c>
      <c r="V5811" s="1">
        <v>0.0</v>
      </c>
      <c r="W5811" s="1" t="s">
        <v>26</v>
      </c>
    </row>
    <row r="5812" ht="15.75" customHeight="1">
      <c r="A5812" s="1" t="s">
        <v>5849</v>
      </c>
      <c r="B5812" s="1" t="s">
        <v>24</v>
      </c>
      <c r="C5812" s="1">
        <v>0.0</v>
      </c>
      <c r="D5812" s="1" t="s">
        <v>25</v>
      </c>
      <c r="E5812" s="1" t="s">
        <v>25</v>
      </c>
      <c r="F5812" s="1">
        <v>17.0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1">
        <v>85.45</v>
      </c>
      <c r="T5812" s="1">
        <v>1451.6</v>
      </c>
      <c r="U5812" s="1">
        <v>0.0</v>
      </c>
      <c r="V5812" s="1">
        <v>0.0</v>
      </c>
      <c r="W5812" s="1" t="s">
        <v>25</v>
      </c>
    </row>
    <row r="5813" ht="15.75" customHeight="1">
      <c r="A5813" s="1" t="s">
        <v>5850</v>
      </c>
      <c r="B5813" s="1" t="s">
        <v>32</v>
      </c>
      <c r="C5813" s="1">
        <v>0.0</v>
      </c>
      <c r="D5813" s="1" t="s">
        <v>25</v>
      </c>
      <c r="E5813" s="1" t="s">
        <v>26</v>
      </c>
      <c r="F5813" s="1">
        <v>61.0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1">
        <v>80.9</v>
      </c>
      <c r="T5813" s="1">
        <v>4932.5</v>
      </c>
      <c r="U5813" s="1">
        <v>0.0</v>
      </c>
      <c r="V5813" s="1">
        <v>0.0</v>
      </c>
      <c r="W5813" s="1" t="s">
        <v>26</v>
      </c>
    </row>
    <row r="5814" ht="15.75" customHeight="1">
      <c r="A5814" s="1" t="s">
        <v>5851</v>
      </c>
      <c r="B5814" s="1" t="s">
        <v>32</v>
      </c>
      <c r="C5814" s="1">
        <v>0.0</v>
      </c>
      <c r="D5814" s="1" t="s">
        <v>25</v>
      </c>
      <c r="E5814" s="1" t="s">
        <v>25</v>
      </c>
      <c r="F5814" s="1">
        <v>1.0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1">
        <v>71.0</v>
      </c>
      <c r="T5814" s="1">
        <v>71.0</v>
      </c>
      <c r="U5814" s="1">
        <v>3.0</v>
      </c>
      <c r="V5814" s="1">
        <v>0.0</v>
      </c>
      <c r="W5814" s="1" t="s">
        <v>25</v>
      </c>
    </row>
    <row r="5815" ht="15.75" customHeight="1">
      <c r="A5815" s="1" t="s">
        <v>5852</v>
      </c>
      <c r="B5815" s="1" t="s">
        <v>32</v>
      </c>
      <c r="C5815" s="1">
        <v>0.0</v>
      </c>
      <c r="D5815" s="1" t="s">
        <v>25</v>
      </c>
      <c r="E5815" s="1" t="s">
        <v>25</v>
      </c>
      <c r="F5815" s="1">
        <v>48.0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1">
        <v>111.8</v>
      </c>
      <c r="T5815" s="1">
        <v>5443.65</v>
      </c>
      <c r="U5815" s="1">
        <v>0.0</v>
      </c>
      <c r="V5815" s="1">
        <v>1.0</v>
      </c>
      <c r="W5815" s="1" t="s">
        <v>26</v>
      </c>
    </row>
    <row r="5816" ht="15.75" customHeight="1">
      <c r="A5816" s="1" t="s">
        <v>5853</v>
      </c>
      <c r="B5816" s="1" t="s">
        <v>32</v>
      </c>
      <c r="C5816" s="1">
        <v>0.0</v>
      </c>
      <c r="D5816" s="1" t="s">
        <v>26</v>
      </c>
      <c r="E5816" s="1" t="s">
        <v>26</v>
      </c>
      <c r="F5816" s="1">
        <v>16.0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1">
        <v>20.6</v>
      </c>
      <c r="T5816" s="1">
        <v>330.25</v>
      </c>
      <c r="U5816" s="1">
        <v>0.0</v>
      </c>
      <c r="V5816" s="1">
        <v>0.0</v>
      </c>
      <c r="W5816" s="1" t="s">
        <v>26</v>
      </c>
    </row>
    <row r="5817" ht="15.75" customHeight="1">
      <c r="A5817" s="1" t="s">
        <v>5854</v>
      </c>
      <c r="B5817" s="1" t="s">
        <v>32</v>
      </c>
      <c r="C5817" s="1">
        <v>1.0</v>
      </c>
      <c r="D5817" s="1" t="s">
        <v>26</v>
      </c>
      <c r="E5817" s="1" t="s">
        <v>26</v>
      </c>
      <c r="F5817" s="1">
        <v>9.0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1">
        <v>85.05</v>
      </c>
      <c r="T5817" s="1">
        <v>746.5</v>
      </c>
      <c r="U5817" s="1">
        <v>0.0</v>
      </c>
      <c r="V5817" s="1">
        <v>0.0</v>
      </c>
      <c r="W5817" s="1" t="s">
        <v>25</v>
      </c>
    </row>
    <row r="5818" ht="15.75" customHeight="1">
      <c r="A5818" s="1" t="s">
        <v>5855</v>
      </c>
      <c r="B5818" s="1" t="s">
        <v>24</v>
      </c>
      <c r="C5818" s="1">
        <v>0.0</v>
      </c>
      <c r="D5818" s="1" t="s">
        <v>26</v>
      </c>
      <c r="E5818" s="1" t="s">
        <v>26</v>
      </c>
      <c r="F5818" s="1">
        <v>3.0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1">
        <v>44.6</v>
      </c>
      <c r="T5818" s="1">
        <v>122.7</v>
      </c>
      <c r="U5818" s="1">
        <v>0.0</v>
      </c>
      <c r="V5818" s="1">
        <v>0.0</v>
      </c>
      <c r="W5818" s="1" t="s">
        <v>26</v>
      </c>
    </row>
    <row r="5819" ht="15.75" customHeight="1">
      <c r="A5819" s="1" t="s">
        <v>5856</v>
      </c>
      <c r="B5819" s="1" t="s">
        <v>32</v>
      </c>
      <c r="C5819" s="1">
        <v>0.0</v>
      </c>
      <c r="D5819" s="1" t="s">
        <v>26</v>
      </c>
      <c r="E5819" s="1" t="s">
        <v>25</v>
      </c>
      <c r="F5819" s="1">
        <v>1.0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1">
        <v>44.4</v>
      </c>
      <c r="T5819" s="1">
        <v>44.4</v>
      </c>
      <c r="U5819" s="1">
        <v>0.0</v>
      </c>
      <c r="V5819" s="1">
        <v>0.0</v>
      </c>
      <c r="W5819" s="1" t="s">
        <v>25</v>
      </c>
    </row>
    <row r="5820" ht="15.75" customHeight="1">
      <c r="A5820" s="1" t="s">
        <v>5857</v>
      </c>
      <c r="B5820" s="1" t="s">
        <v>32</v>
      </c>
      <c r="C5820" s="1">
        <v>0.0</v>
      </c>
      <c r="D5820" s="1" t="s">
        <v>26</v>
      </c>
      <c r="E5820" s="1" t="s">
        <v>26</v>
      </c>
      <c r="F5820" s="1">
        <v>65.0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1">
        <v>105.1</v>
      </c>
      <c r="T5820" s="1">
        <v>6631.85</v>
      </c>
      <c r="U5820" s="1">
        <v>0.0</v>
      </c>
      <c r="V5820" s="1">
        <v>0.0</v>
      </c>
      <c r="W5820" s="1" t="s">
        <v>26</v>
      </c>
    </row>
    <row r="5821" ht="15.75" customHeight="1">
      <c r="A5821" s="1" t="s">
        <v>5858</v>
      </c>
      <c r="B5821" s="1" t="s">
        <v>24</v>
      </c>
      <c r="C5821" s="1">
        <v>0.0</v>
      </c>
      <c r="D5821" s="1" t="s">
        <v>25</v>
      </c>
      <c r="E5821" s="1" t="s">
        <v>25</v>
      </c>
      <c r="F5821" s="1">
        <v>70.0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1">
        <v>115.15</v>
      </c>
      <c r="T5821" s="1">
        <v>8250.0</v>
      </c>
      <c r="U5821" s="1">
        <v>0.0</v>
      </c>
      <c r="V5821" s="1">
        <v>0.0</v>
      </c>
      <c r="W5821" s="1" t="s">
        <v>26</v>
      </c>
    </row>
    <row r="5822" ht="15.75" customHeight="1">
      <c r="A5822" s="1" t="s">
        <v>5859</v>
      </c>
      <c r="B5822" s="1" t="s">
        <v>32</v>
      </c>
      <c r="C5822" s="1">
        <v>0.0</v>
      </c>
      <c r="D5822" s="1" t="s">
        <v>25</v>
      </c>
      <c r="E5822" s="1" t="s">
        <v>26</v>
      </c>
      <c r="F5822" s="1">
        <v>60.0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1">
        <v>59.8</v>
      </c>
      <c r="T5822" s="1">
        <v>3561.15</v>
      </c>
      <c r="U5822" s="1">
        <v>0.0</v>
      </c>
      <c r="V5822" s="1">
        <v>0.0</v>
      </c>
      <c r="W5822" s="1" t="s">
        <v>26</v>
      </c>
    </row>
    <row r="5823" ht="15.75" customHeight="1">
      <c r="A5823" s="1" t="s">
        <v>5860</v>
      </c>
      <c r="B5823" s="1" t="s">
        <v>24</v>
      </c>
      <c r="C5823" s="1">
        <v>0.0</v>
      </c>
      <c r="D5823" s="1" t="s">
        <v>25</v>
      </c>
      <c r="E5823" s="1" t="s">
        <v>26</v>
      </c>
      <c r="F5823" s="1">
        <v>69.0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1">
        <v>26.3</v>
      </c>
      <c r="T5823" s="1">
        <v>1763.55</v>
      </c>
      <c r="U5823" s="1">
        <v>0.0</v>
      </c>
      <c r="V5823" s="1">
        <v>0.0</v>
      </c>
      <c r="W5823" s="1" t="s">
        <v>26</v>
      </c>
    </row>
    <row r="5824" ht="15.75" customHeight="1">
      <c r="A5824" s="1" t="s">
        <v>5861</v>
      </c>
      <c r="B5824" s="1" t="s">
        <v>24</v>
      </c>
      <c r="C5824" s="1">
        <v>1.0</v>
      </c>
      <c r="D5824" s="1" t="s">
        <v>26</v>
      </c>
      <c r="E5824" s="1" t="s">
        <v>26</v>
      </c>
      <c r="F5824" s="1">
        <v>35.0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1">
        <v>70.55</v>
      </c>
      <c r="T5824" s="1">
        <v>2419.0</v>
      </c>
      <c r="U5824" s="1">
        <v>0.0</v>
      </c>
      <c r="V5824" s="1">
        <v>0.0</v>
      </c>
      <c r="W5824" s="1" t="s">
        <v>26</v>
      </c>
    </row>
    <row r="5825" ht="15.75" customHeight="1">
      <c r="A5825" s="1" t="s">
        <v>5862</v>
      </c>
      <c r="B5825" s="1" t="s">
        <v>24</v>
      </c>
      <c r="C5825" s="1">
        <v>0.0</v>
      </c>
      <c r="D5825" s="1" t="s">
        <v>26</v>
      </c>
      <c r="E5825" s="1" t="s">
        <v>26</v>
      </c>
      <c r="F5825" s="1">
        <v>22.0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1">
        <v>20.05</v>
      </c>
      <c r="T5825" s="1">
        <v>470.2</v>
      </c>
      <c r="U5825" s="1">
        <v>0.0</v>
      </c>
      <c r="V5825" s="1">
        <v>0.0</v>
      </c>
      <c r="W5825" s="1" t="s">
        <v>26</v>
      </c>
    </row>
    <row r="5826" ht="15.75" customHeight="1">
      <c r="A5826" s="1" t="s">
        <v>5863</v>
      </c>
      <c r="B5826" s="1" t="s">
        <v>32</v>
      </c>
      <c r="C5826" s="1">
        <v>0.0</v>
      </c>
      <c r="D5826" s="1" t="s">
        <v>25</v>
      </c>
      <c r="E5826" s="1" t="s">
        <v>25</v>
      </c>
      <c r="F5826" s="1">
        <v>66.0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1">
        <v>79.85</v>
      </c>
      <c r="T5826" s="1">
        <v>5234.95</v>
      </c>
      <c r="U5826" s="1">
        <v>0.0</v>
      </c>
      <c r="V5826" s="1">
        <v>0.0</v>
      </c>
      <c r="W5826" s="1" t="s">
        <v>26</v>
      </c>
    </row>
    <row r="5827" ht="15.75" customHeight="1">
      <c r="A5827" s="1" t="s">
        <v>5864</v>
      </c>
      <c r="B5827" s="1" t="s">
        <v>32</v>
      </c>
      <c r="C5827" s="1">
        <v>1.0</v>
      </c>
      <c r="D5827" s="1" t="s">
        <v>25</v>
      </c>
      <c r="E5827" s="1" t="s">
        <v>26</v>
      </c>
      <c r="F5827" s="1">
        <v>1.0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1">
        <v>70.3</v>
      </c>
      <c r="T5827" s="1">
        <v>70.3</v>
      </c>
      <c r="U5827" s="1">
        <v>0.0</v>
      </c>
      <c r="V5827" s="1">
        <v>0.0</v>
      </c>
      <c r="W5827" s="1" t="s">
        <v>25</v>
      </c>
    </row>
    <row r="5828" ht="15.75" customHeight="1">
      <c r="A5828" s="1" t="s">
        <v>5865</v>
      </c>
      <c r="B5828" s="1" t="s">
        <v>24</v>
      </c>
      <c r="C5828" s="1">
        <v>0.0</v>
      </c>
      <c r="D5828" s="1" t="s">
        <v>25</v>
      </c>
      <c r="E5828" s="1" t="s">
        <v>26</v>
      </c>
      <c r="F5828" s="1">
        <v>1.0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1">
        <v>79.35</v>
      </c>
      <c r="T5828" s="1">
        <v>79.35</v>
      </c>
      <c r="U5828" s="1">
        <v>0.0</v>
      </c>
      <c r="V5828" s="1">
        <v>0.0</v>
      </c>
      <c r="W5828" s="1" t="s">
        <v>25</v>
      </c>
    </row>
    <row r="5829" ht="15.75" customHeight="1">
      <c r="A5829" s="1" t="s">
        <v>5866</v>
      </c>
      <c r="B5829" s="1" t="s">
        <v>32</v>
      </c>
      <c r="C5829" s="1">
        <v>0.0</v>
      </c>
      <c r="D5829" s="1" t="s">
        <v>25</v>
      </c>
      <c r="E5829" s="1" t="s">
        <v>25</v>
      </c>
      <c r="F5829" s="1">
        <v>34.0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1">
        <v>90.05</v>
      </c>
      <c r="T5829" s="1">
        <v>3097.0</v>
      </c>
      <c r="U5829" s="1">
        <v>0.0</v>
      </c>
      <c r="V5829" s="1">
        <v>1.0</v>
      </c>
      <c r="W5829" s="1" t="s">
        <v>26</v>
      </c>
    </row>
    <row r="5830" ht="15.75" customHeight="1">
      <c r="A5830" s="1" t="s">
        <v>5867</v>
      </c>
      <c r="B5830" s="1" t="s">
        <v>24</v>
      </c>
      <c r="C5830" s="1">
        <v>0.0</v>
      </c>
      <c r="D5830" s="1" t="s">
        <v>25</v>
      </c>
      <c r="E5830" s="1" t="s">
        <v>25</v>
      </c>
      <c r="F5830" s="1">
        <v>72.0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1">
        <v>24.45</v>
      </c>
      <c r="T5830" s="1">
        <v>1709.1</v>
      </c>
      <c r="U5830" s="1">
        <v>0.0</v>
      </c>
      <c r="V5830" s="1">
        <v>0.0</v>
      </c>
      <c r="W5830" s="1" t="s">
        <v>26</v>
      </c>
    </row>
    <row r="5831" ht="15.75" customHeight="1">
      <c r="A5831" s="1" t="s">
        <v>5868</v>
      </c>
      <c r="B5831" s="1" t="s">
        <v>32</v>
      </c>
      <c r="C5831" s="1">
        <v>0.0</v>
      </c>
      <c r="D5831" s="1" t="s">
        <v>25</v>
      </c>
      <c r="E5831" s="1" t="s">
        <v>25</v>
      </c>
      <c r="F5831" s="1">
        <v>31.0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1">
        <v>59.95</v>
      </c>
      <c r="T5831" s="1">
        <v>1848.8</v>
      </c>
      <c r="U5831" s="1">
        <v>0.0</v>
      </c>
      <c r="V5831" s="1">
        <v>0.0</v>
      </c>
      <c r="W5831" s="1" t="s">
        <v>26</v>
      </c>
    </row>
    <row r="5832" ht="15.75" customHeight="1">
      <c r="A5832" s="1" t="s">
        <v>5869</v>
      </c>
      <c r="B5832" s="1" t="s">
        <v>32</v>
      </c>
      <c r="C5832" s="1">
        <v>0.0</v>
      </c>
      <c r="D5832" s="1" t="s">
        <v>26</v>
      </c>
      <c r="E5832" s="1" t="s">
        <v>25</v>
      </c>
      <c r="F5832" s="1">
        <v>30.0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1">
        <v>25.35</v>
      </c>
      <c r="T5832" s="1">
        <v>723.3</v>
      </c>
      <c r="U5832" s="1">
        <v>0.0</v>
      </c>
      <c r="V5832" s="1">
        <v>0.0</v>
      </c>
      <c r="W5832" s="1" t="s">
        <v>26</v>
      </c>
    </row>
    <row r="5833" ht="15.75" customHeight="1">
      <c r="A5833" s="1" t="s">
        <v>5870</v>
      </c>
      <c r="B5833" s="1" t="s">
        <v>24</v>
      </c>
      <c r="C5833" s="1">
        <v>0.0</v>
      </c>
      <c r="D5833" s="1" t="s">
        <v>26</v>
      </c>
      <c r="E5833" s="1" t="s">
        <v>26</v>
      </c>
      <c r="F5833" s="1">
        <v>9.0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1">
        <v>90.8</v>
      </c>
      <c r="T5833" s="1">
        <v>809.75</v>
      </c>
      <c r="U5833" s="1">
        <v>0.0</v>
      </c>
      <c r="V5833" s="1">
        <v>1.0</v>
      </c>
      <c r="W5833" s="1" t="s">
        <v>25</v>
      </c>
    </row>
    <row r="5834" ht="15.75" customHeight="1">
      <c r="A5834" s="1" t="s">
        <v>5871</v>
      </c>
      <c r="B5834" s="1" t="s">
        <v>32</v>
      </c>
      <c r="C5834" s="1">
        <v>0.0</v>
      </c>
      <c r="D5834" s="1" t="s">
        <v>25</v>
      </c>
      <c r="E5834" s="1" t="s">
        <v>25</v>
      </c>
      <c r="F5834" s="1">
        <v>20.0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1">
        <v>70.45</v>
      </c>
      <c r="T5834" s="1">
        <v>1470.95</v>
      </c>
      <c r="U5834" s="1">
        <v>1.0</v>
      </c>
      <c r="V5834" s="1">
        <v>0.0</v>
      </c>
      <c r="W5834" s="1" t="s">
        <v>25</v>
      </c>
    </row>
    <row r="5835" ht="15.75" customHeight="1">
      <c r="A5835" s="1" t="s">
        <v>5872</v>
      </c>
      <c r="B5835" s="1" t="s">
        <v>32</v>
      </c>
      <c r="C5835" s="1">
        <v>1.0</v>
      </c>
      <c r="D5835" s="1" t="s">
        <v>25</v>
      </c>
      <c r="E5835" s="1" t="s">
        <v>26</v>
      </c>
      <c r="F5835" s="1">
        <v>19.0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1">
        <v>34.3</v>
      </c>
      <c r="T5835" s="1">
        <v>577.15</v>
      </c>
      <c r="U5835" s="1">
        <v>0.0</v>
      </c>
      <c r="V5835" s="1">
        <v>0.0</v>
      </c>
      <c r="W5835" s="1" t="s">
        <v>26</v>
      </c>
    </row>
    <row r="5836" ht="15.75" customHeight="1">
      <c r="A5836" s="1" t="s">
        <v>5873</v>
      </c>
      <c r="B5836" s="1" t="s">
        <v>24</v>
      </c>
      <c r="C5836" s="1">
        <v>0.0</v>
      </c>
      <c r="D5836" s="1" t="s">
        <v>25</v>
      </c>
      <c r="E5836" s="1" t="s">
        <v>26</v>
      </c>
      <c r="F5836" s="1">
        <v>65.0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1">
        <v>105.05</v>
      </c>
      <c r="T5836" s="1">
        <v>6914.95</v>
      </c>
      <c r="U5836" s="1">
        <v>0.0</v>
      </c>
      <c r="V5836" s="1">
        <v>0.0</v>
      </c>
      <c r="W5836" s="1" t="s">
        <v>26</v>
      </c>
    </row>
    <row r="5837" ht="15.75" customHeight="1">
      <c r="A5837" s="1" t="s">
        <v>5874</v>
      </c>
      <c r="B5837" s="1" t="s">
        <v>24</v>
      </c>
      <c r="C5837" s="1">
        <v>0.0</v>
      </c>
      <c r="D5837" s="1" t="s">
        <v>25</v>
      </c>
      <c r="E5837" s="1" t="s">
        <v>25</v>
      </c>
      <c r="F5837" s="1">
        <v>30.0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1">
        <v>19.3</v>
      </c>
      <c r="T5837" s="1">
        <v>602.9</v>
      </c>
      <c r="U5837" s="1">
        <v>0.0</v>
      </c>
      <c r="V5837" s="1">
        <v>0.0</v>
      </c>
      <c r="W5837" s="1" t="s">
        <v>26</v>
      </c>
    </row>
    <row r="5838" ht="15.75" customHeight="1">
      <c r="A5838" s="1" t="s">
        <v>5875</v>
      </c>
      <c r="B5838" s="1" t="s">
        <v>32</v>
      </c>
      <c r="C5838" s="1">
        <v>0.0</v>
      </c>
      <c r="D5838" s="1" t="s">
        <v>26</v>
      </c>
      <c r="E5838" s="1" t="s">
        <v>26</v>
      </c>
      <c r="F5838" s="1">
        <v>6.0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1">
        <v>19.15</v>
      </c>
      <c r="T5838" s="1">
        <v>124.4</v>
      </c>
      <c r="U5838" s="1">
        <v>0.0</v>
      </c>
      <c r="V5838" s="1">
        <v>0.0</v>
      </c>
      <c r="W5838" s="1" t="s">
        <v>26</v>
      </c>
    </row>
    <row r="5839" ht="15.75" customHeight="1">
      <c r="A5839" s="1" t="s">
        <v>5876</v>
      </c>
      <c r="B5839" s="1" t="s">
        <v>24</v>
      </c>
      <c r="C5839" s="1">
        <v>0.0</v>
      </c>
      <c r="D5839" s="1" t="s">
        <v>26</v>
      </c>
      <c r="E5839" s="1" t="s">
        <v>26</v>
      </c>
      <c r="F5839" s="1">
        <v>2.0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1">
        <v>51.4</v>
      </c>
      <c r="T5839" s="1">
        <v>96.8</v>
      </c>
      <c r="U5839" s="1">
        <v>0.0</v>
      </c>
      <c r="V5839" s="1">
        <v>0.0</v>
      </c>
      <c r="W5839" s="1" t="s">
        <v>26</v>
      </c>
    </row>
    <row r="5840" ht="15.75" customHeight="1">
      <c r="A5840" s="1" t="s">
        <v>5877</v>
      </c>
      <c r="B5840" s="1" t="s">
        <v>32</v>
      </c>
      <c r="C5840" s="1">
        <v>0.0</v>
      </c>
      <c r="D5840" s="1" t="s">
        <v>25</v>
      </c>
      <c r="E5840" s="1" t="s">
        <v>25</v>
      </c>
      <c r="F5840" s="1">
        <v>53.0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1">
        <v>71.85</v>
      </c>
      <c r="T5840" s="1">
        <v>3827.9</v>
      </c>
      <c r="U5840" s="1">
        <v>0.0</v>
      </c>
      <c r="V5840" s="1">
        <v>0.0</v>
      </c>
      <c r="W5840" s="1" t="s">
        <v>26</v>
      </c>
    </row>
    <row r="5841" ht="15.75" customHeight="1">
      <c r="A5841" s="1" t="s">
        <v>5878</v>
      </c>
      <c r="B5841" s="1" t="s">
        <v>32</v>
      </c>
      <c r="C5841" s="1">
        <v>1.0</v>
      </c>
      <c r="D5841" s="1" t="s">
        <v>25</v>
      </c>
      <c r="E5841" s="1" t="s">
        <v>26</v>
      </c>
      <c r="F5841" s="1">
        <v>7.0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1">
        <v>75.4</v>
      </c>
      <c r="T5841" s="1">
        <v>533.05</v>
      </c>
      <c r="U5841" s="1">
        <v>1.0</v>
      </c>
      <c r="V5841" s="1">
        <v>0.0</v>
      </c>
      <c r="W5841" s="1" t="s">
        <v>26</v>
      </c>
    </row>
    <row r="5842" ht="15.75" customHeight="1">
      <c r="A5842" s="1" t="s">
        <v>5879</v>
      </c>
      <c r="B5842" s="1" t="s">
        <v>24</v>
      </c>
      <c r="C5842" s="1">
        <v>0.0</v>
      </c>
      <c r="D5842" s="1" t="s">
        <v>25</v>
      </c>
      <c r="E5842" s="1" t="s">
        <v>25</v>
      </c>
      <c r="F5842" s="1">
        <v>61.0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1">
        <v>49.7</v>
      </c>
      <c r="T5842" s="1">
        <v>2961.4</v>
      </c>
      <c r="U5842" s="1">
        <v>0.0</v>
      </c>
      <c r="V5842" s="1">
        <v>0.0</v>
      </c>
      <c r="W5842" s="1" t="s">
        <v>26</v>
      </c>
    </row>
    <row r="5843" ht="15.75" customHeight="1">
      <c r="A5843" s="1" t="s">
        <v>5880</v>
      </c>
      <c r="B5843" s="1" t="s">
        <v>32</v>
      </c>
      <c r="C5843" s="1">
        <v>1.0</v>
      </c>
      <c r="D5843" s="1" t="s">
        <v>26</v>
      </c>
      <c r="E5843" s="1" t="s">
        <v>26</v>
      </c>
      <c r="F5843" s="1">
        <v>70.0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1">
        <v>45.25</v>
      </c>
      <c r="T5843" s="1">
        <v>3264.45</v>
      </c>
      <c r="U5843" s="1">
        <v>0.0</v>
      </c>
      <c r="V5843" s="1">
        <v>9.0</v>
      </c>
      <c r="W5843" s="1" t="s">
        <v>25</v>
      </c>
    </row>
    <row r="5844" ht="15.75" customHeight="1">
      <c r="A5844" s="1" t="s">
        <v>5881</v>
      </c>
      <c r="B5844" s="1" t="s">
        <v>24</v>
      </c>
      <c r="C5844" s="1">
        <v>0.0</v>
      </c>
      <c r="D5844" s="1" t="s">
        <v>26</v>
      </c>
      <c r="E5844" s="1" t="s">
        <v>26</v>
      </c>
      <c r="F5844" s="1">
        <v>13.0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1">
        <v>78.75</v>
      </c>
      <c r="T5844" s="1">
        <v>995.35</v>
      </c>
      <c r="U5844" s="1">
        <v>2.0</v>
      </c>
      <c r="V5844" s="1">
        <v>0.0</v>
      </c>
      <c r="W5844" s="1" t="s">
        <v>26</v>
      </c>
    </row>
    <row r="5845" ht="15.75" customHeight="1">
      <c r="A5845" s="1" t="s">
        <v>5882</v>
      </c>
      <c r="B5845" s="1" t="s">
        <v>32</v>
      </c>
      <c r="C5845" s="1">
        <v>1.0</v>
      </c>
      <c r="D5845" s="1" t="s">
        <v>25</v>
      </c>
      <c r="E5845" s="1" t="s">
        <v>26</v>
      </c>
      <c r="F5845" s="1">
        <v>35.0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1">
        <v>81.6</v>
      </c>
      <c r="T5845" s="1">
        <v>2815.25</v>
      </c>
      <c r="U5845" s="1">
        <v>5.0</v>
      </c>
      <c r="V5845" s="1">
        <v>0.0</v>
      </c>
      <c r="W5845" s="1" t="s">
        <v>26</v>
      </c>
    </row>
    <row r="5846" ht="15.75" customHeight="1">
      <c r="A5846" s="1" t="s">
        <v>5883</v>
      </c>
      <c r="B5846" s="1" t="s">
        <v>24</v>
      </c>
      <c r="C5846" s="1">
        <v>0.0</v>
      </c>
      <c r="D5846" s="1" t="s">
        <v>25</v>
      </c>
      <c r="E5846" s="1" t="s">
        <v>26</v>
      </c>
      <c r="F5846" s="1">
        <v>2.0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1">
        <v>70.4</v>
      </c>
      <c r="T5846" s="1">
        <v>154.8</v>
      </c>
      <c r="U5846" s="1">
        <v>4.0</v>
      </c>
      <c r="V5846" s="1">
        <v>0.0</v>
      </c>
      <c r="W5846" s="1" t="s">
        <v>26</v>
      </c>
    </row>
    <row r="5847" ht="15.75" customHeight="1">
      <c r="A5847" s="1" t="s">
        <v>5884</v>
      </c>
      <c r="B5847" s="1" t="s">
        <v>24</v>
      </c>
      <c r="C5847" s="1">
        <v>0.0</v>
      </c>
      <c r="D5847" s="1" t="s">
        <v>26</v>
      </c>
      <c r="E5847" s="1" t="s">
        <v>26</v>
      </c>
      <c r="F5847" s="1">
        <v>3.0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1">
        <v>75.8</v>
      </c>
      <c r="T5847" s="1">
        <v>246.3</v>
      </c>
      <c r="U5847" s="1">
        <v>0.0</v>
      </c>
      <c r="V5847" s="1">
        <v>0.0</v>
      </c>
      <c r="W5847" s="1" t="s">
        <v>25</v>
      </c>
    </row>
    <row r="5848" ht="15.75" customHeight="1">
      <c r="A5848" s="1" t="s">
        <v>5885</v>
      </c>
      <c r="B5848" s="1" t="s">
        <v>24</v>
      </c>
      <c r="C5848" s="1">
        <v>0.0</v>
      </c>
      <c r="D5848" s="1" t="s">
        <v>26</v>
      </c>
      <c r="E5848" s="1" t="s">
        <v>26</v>
      </c>
      <c r="F5848" s="1">
        <v>3.0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1">
        <v>76.1</v>
      </c>
      <c r="T5848" s="1">
        <v>257.6</v>
      </c>
      <c r="U5848" s="1">
        <v>4.0</v>
      </c>
      <c r="V5848" s="1">
        <v>0.0</v>
      </c>
      <c r="W5848" s="1" t="s">
        <v>26</v>
      </c>
    </row>
    <row r="5849" ht="15.75" customHeight="1">
      <c r="A5849" s="1" t="s">
        <v>5886</v>
      </c>
      <c r="B5849" s="1" t="s">
        <v>24</v>
      </c>
      <c r="C5849" s="1">
        <v>0.0</v>
      </c>
      <c r="D5849" s="1" t="s">
        <v>26</v>
      </c>
      <c r="E5849" s="1" t="s">
        <v>26</v>
      </c>
      <c r="F5849" s="1">
        <v>62.0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1">
        <v>94.0</v>
      </c>
      <c r="T5849" s="1">
        <v>5757.2</v>
      </c>
      <c r="U5849" s="1">
        <v>3.0</v>
      </c>
      <c r="V5849" s="1">
        <v>0.0</v>
      </c>
      <c r="W5849" s="1" t="s">
        <v>26</v>
      </c>
    </row>
    <row r="5850" ht="15.75" customHeight="1">
      <c r="A5850" s="1" t="s">
        <v>5887</v>
      </c>
      <c r="B5850" s="1" t="s">
        <v>32</v>
      </c>
      <c r="C5850" s="1">
        <v>0.0</v>
      </c>
      <c r="D5850" s="1" t="s">
        <v>25</v>
      </c>
      <c r="E5850" s="1" t="s">
        <v>25</v>
      </c>
      <c r="F5850" s="1">
        <v>72.0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1">
        <v>103.95</v>
      </c>
      <c r="T5850" s="1">
        <v>7517.7</v>
      </c>
      <c r="U5850" s="1">
        <v>3.0</v>
      </c>
      <c r="V5850" s="1">
        <v>0.0</v>
      </c>
      <c r="W5850" s="1" t="s">
        <v>26</v>
      </c>
    </row>
    <row r="5851" ht="15.75" customHeight="1">
      <c r="A5851" s="1" t="s">
        <v>5888</v>
      </c>
      <c r="B5851" s="1" t="s">
        <v>32</v>
      </c>
      <c r="C5851" s="1">
        <v>0.0</v>
      </c>
      <c r="D5851" s="1" t="s">
        <v>25</v>
      </c>
      <c r="E5851" s="1" t="s">
        <v>26</v>
      </c>
      <c r="F5851" s="1">
        <v>63.0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1">
        <v>19.95</v>
      </c>
      <c r="T5851" s="1">
        <v>1234.8</v>
      </c>
      <c r="U5851" s="1">
        <v>0.0</v>
      </c>
      <c r="V5851" s="1">
        <v>0.0</v>
      </c>
      <c r="W5851" s="1" t="s">
        <v>26</v>
      </c>
    </row>
    <row r="5852" ht="15.75" customHeight="1">
      <c r="A5852" s="1" t="s">
        <v>5889</v>
      </c>
      <c r="B5852" s="1" t="s">
        <v>32</v>
      </c>
      <c r="C5852" s="1">
        <v>1.0</v>
      </c>
      <c r="D5852" s="1" t="s">
        <v>26</v>
      </c>
      <c r="E5852" s="1" t="s">
        <v>26</v>
      </c>
      <c r="F5852" s="1">
        <v>20.0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1">
        <v>71.3</v>
      </c>
      <c r="T5852" s="1">
        <v>1389.2</v>
      </c>
      <c r="U5852" s="1">
        <v>0.0</v>
      </c>
      <c r="V5852" s="1">
        <v>0.0</v>
      </c>
      <c r="W5852" s="1" t="s">
        <v>25</v>
      </c>
    </row>
    <row r="5853" ht="15.75" customHeight="1">
      <c r="A5853" s="1" t="s">
        <v>5890</v>
      </c>
      <c r="B5853" s="1" t="s">
        <v>24</v>
      </c>
      <c r="C5853" s="1">
        <v>1.0</v>
      </c>
      <c r="D5853" s="1" t="s">
        <v>26</v>
      </c>
      <c r="E5853" s="1" t="s">
        <v>26</v>
      </c>
      <c r="F5853" s="1">
        <v>35.0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1">
        <v>110.8</v>
      </c>
      <c r="T5853" s="1">
        <v>3836.3</v>
      </c>
      <c r="U5853" s="1">
        <v>0.0</v>
      </c>
      <c r="V5853" s="1">
        <v>0.0</v>
      </c>
      <c r="W5853" s="1" t="s">
        <v>26</v>
      </c>
    </row>
    <row r="5854" ht="15.75" customHeight="1">
      <c r="A5854" s="1" t="s">
        <v>5891</v>
      </c>
      <c r="B5854" s="1" t="s">
        <v>32</v>
      </c>
      <c r="C5854" s="1">
        <v>1.0</v>
      </c>
      <c r="D5854" s="1" t="s">
        <v>25</v>
      </c>
      <c r="E5854" s="1" t="s">
        <v>26</v>
      </c>
      <c r="F5854" s="1">
        <v>21.0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1">
        <v>69.1</v>
      </c>
      <c r="T5854" s="1">
        <v>1474.75</v>
      </c>
      <c r="U5854" s="1">
        <v>0.0</v>
      </c>
      <c r="V5854" s="1">
        <v>0.0</v>
      </c>
      <c r="W5854" s="1" t="s">
        <v>25</v>
      </c>
    </row>
    <row r="5855" ht="15.75" customHeight="1">
      <c r="A5855" s="1" t="s">
        <v>5892</v>
      </c>
      <c r="B5855" s="1" t="s">
        <v>32</v>
      </c>
      <c r="C5855" s="1">
        <v>0.0</v>
      </c>
      <c r="D5855" s="1" t="s">
        <v>25</v>
      </c>
      <c r="E5855" s="1" t="s">
        <v>26</v>
      </c>
      <c r="F5855" s="1">
        <v>62.0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1">
        <v>96.1</v>
      </c>
      <c r="T5855" s="1">
        <v>6001.45</v>
      </c>
      <c r="U5855" s="1">
        <v>0.0</v>
      </c>
      <c r="V5855" s="1">
        <v>5.0</v>
      </c>
      <c r="W5855" s="1" t="s">
        <v>26</v>
      </c>
    </row>
    <row r="5856" ht="15.75" customHeight="1">
      <c r="A5856" s="1" t="s">
        <v>5893</v>
      </c>
      <c r="B5856" s="1" t="s">
        <v>24</v>
      </c>
      <c r="C5856" s="1">
        <v>0.0</v>
      </c>
      <c r="D5856" s="1" t="s">
        <v>26</v>
      </c>
      <c r="E5856" s="1" t="s">
        <v>26</v>
      </c>
      <c r="F5856" s="1">
        <v>15.0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1">
        <v>48.8</v>
      </c>
      <c r="T5856" s="1">
        <v>720.1</v>
      </c>
      <c r="U5856" s="1">
        <v>0.0</v>
      </c>
      <c r="V5856" s="1">
        <v>0.0</v>
      </c>
      <c r="W5856" s="1" t="s">
        <v>26</v>
      </c>
    </row>
    <row r="5857" ht="15.75" customHeight="1">
      <c r="A5857" s="1" t="s">
        <v>5894</v>
      </c>
      <c r="B5857" s="1" t="s">
        <v>24</v>
      </c>
      <c r="C5857" s="1">
        <v>0.0</v>
      </c>
      <c r="D5857" s="1" t="s">
        <v>26</v>
      </c>
      <c r="E5857" s="1" t="s">
        <v>26</v>
      </c>
      <c r="F5857" s="1">
        <v>55.0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1">
        <v>50.55</v>
      </c>
      <c r="T5857" s="1">
        <v>2832.75</v>
      </c>
      <c r="U5857" s="1">
        <v>0.0</v>
      </c>
      <c r="V5857" s="1">
        <v>0.0</v>
      </c>
      <c r="W5857" s="1" t="s">
        <v>26</v>
      </c>
    </row>
    <row r="5858" ht="15.75" customHeight="1">
      <c r="A5858" s="1" t="s">
        <v>5895</v>
      </c>
      <c r="B5858" s="1" t="s">
        <v>24</v>
      </c>
      <c r="C5858" s="1">
        <v>0.0</v>
      </c>
      <c r="D5858" s="1" t="s">
        <v>26</v>
      </c>
      <c r="E5858" s="1" t="s">
        <v>26</v>
      </c>
      <c r="F5858" s="1">
        <v>11.0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1">
        <v>44.65</v>
      </c>
      <c r="T5858" s="1">
        <v>472.25</v>
      </c>
      <c r="U5858" s="1">
        <v>0.0</v>
      </c>
      <c r="V5858" s="1">
        <v>0.0</v>
      </c>
      <c r="W5858" s="1" t="s">
        <v>26</v>
      </c>
    </row>
    <row r="5859" ht="15.75" customHeight="1">
      <c r="A5859" s="1" t="s">
        <v>5896</v>
      </c>
      <c r="B5859" s="1" t="s">
        <v>24</v>
      </c>
      <c r="C5859" s="1">
        <v>0.0</v>
      </c>
      <c r="D5859" s="1" t="s">
        <v>25</v>
      </c>
      <c r="E5859" s="1" t="s">
        <v>25</v>
      </c>
      <c r="F5859" s="1">
        <v>17.0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1">
        <v>88.25</v>
      </c>
      <c r="T5859" s="1">
        <v>1460.65</v>
      </c>
      <c r="U5859" s="1">
        <v>0.0</v>
      </c>
      <c r="V5859" s="1">
        <v>0.0</v>
      </c>
      <c r="W5859" s="1" t="s">
        <v>25</v>
      </c>
    </row>
    <row r="5860" ht="15.75" customHeight="1">
      <c r="A5860" s="1" t="s">
        <v>5897</v>
      </c>
      <c r="B5860" s="1" t="s">
        <v>24</v>
      </c>
      <c r="C5860" s="1">
        <v>0.0</v>
      </c>
      <c r="D5860" s="1" t="s">
        <v>26</v>
      </c>
      <c r="E5860" s="1" t="s">
        <v>26</v>
      </c>
      <c r="F5860" s="1">
        <v>61.0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1">
        <v>19.45</v>
      </c>
      <c r="T5860" s="1">
        <v>1336.35</v>
      </c>
      <c r="U5860" s="1">
        <v>0.0</v>
      </c>
      <c r="V5860" s="1">
        <v>0.0</v>
      </c>
      <c r="W5860" s="1" t="s">
        <v>26</v>
      </c>
    </row>
    <row r="5861" ht="15.75" customHeight="1">
      <c r="A5861" s="1" t="s">
        <v>5898</v>
      </c>
      <c r="B5861" s="1" t="s">
        <v>24</v>
      </c>
      <c r="C5861" s="1">
        <v>0.0</v>
      </c>
      <c r="D5861" s="1" t="s">
        <v>25</v>
      </c>
      <c r="E5861" s="1" t="s">
        <v>26</v>
      </c>
      <c r="F5861" s="1">
        <v>71.0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1">
        <v>89.3</v>
      </c>
      <c r="T5861" s="1">
        <v>6388.65</v>
      </c>
      <c r="U5861" s="1">
        <v>5.0</v>
      </c>
      <c r="V5861" s="1">
        <v>0.0</v>
      </c>
      <c r="W5861" s="1" t="s">
        <v>26</v>
      </c>
    </row>
    <row r="5862" ht="15.75" customHeight="1">
      <c r="A5862" s="1" t="s">
        <v>5899</v>
      </c>
      <c r="B5862" s="1" t="s">
        <v>24</v>
      </c>
      <c r="C5862" s="1">
        <v>0.0</v>
      </c>
      <c r="D5862" s="1" t="s">
        <v>26</v>
      </c>
      <c r="E5862" s="1" t="s">
        <v>26</v>
      </c>
      <c r="F5862" s="1">
        <v>2.0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1">
        <v>70.0</v>
      </c>
      <c r="T5862" s="1">
        <v>153.05</v>
      </c>
      <c r="U5862" s="1">
        <v>0.0</v>
      </c>
      <c r="V5862" s="1">
        <v>0.0</v>
      </c>
      <c r="W5862" s="1" t="s">
        <v>25</v>
      </c>
    </row>
    <row r="5863" ht="15.75" customHeight="1">
      <c r="A5863" s="1" t="s">
        <v>5900</v>
      </c>
      <c r="B5863" s="1" t="s">
        <v>32</v>
      </c>
      <c r="C5863" s="1">
        <v>0.0</v>
      </c>
      <c r="D5863" s="1" t="s">
        <v>26</v>
      </c>
      <c r="E5863" s="1" t="s">
        <v>26</v>
      </c>
      <c r="F5863" s="1">
        <v>35.0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1">
        <v>19.25</v>
      </c>
      <c r="T5863" s="1">
        <v>677.9</v>
      </c>
      <c r="U5863" s="1">
        <v>0.0</v>
      </c>
      <c r="V5863" s="1">
        <v>0.0</v>
      </c>
      <c r="W5863" s="1" t="s">
        <v>26</v>
      </c>
    </row>
    <row r="5864" ht="15.75" customHeight="1">
      <c r="A5864" s="1" t="s">
        <v>5901</v>
      </c>
      <c r="B5864" s="1" t="s">
        <v>24</v>
      </c>
      <c r="C5864" s="1">
        <v>0.0</v>
      </c>
      <c r="D5864" s="1" t="s">
        <v>26</v>
      </c>
      <c r="E5864" s="1" t="s">
        <v>26</v>
      </c>
      <c r="F5864" s="1">
        <v>17.0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1">
        <v>70.5</v>
      </c>
      <c r="T5864" s="1">
        <v>1165.6</v>
      </c>
      <c r="U5864" s="1">
        <v>0.0</v>
      </c>
      <c r="V5864" s="1">
        <v>0.0</v>
      </c>
      <c r="W5864" s="1" t="s">
        <v>26</v>
      </c>
    </row>
    <row r="5865" ht="15.75" customHeight="1">
      <c r="A5865" s="1" t="s">
        <v>5902</v>
      </c>
      <c r="B5865" s="1" t="s">
        <v>24</v>
      </c>
      <c r="C5865" s="1">
        <v>0.0</v>
      </c>
      <c r="D5865" s="1" t="s">
        <v>26</v>
      </c>
      <c r="E5865" s="1" t="s">
        <v>26</v>
      </c>
      <c r="F5865" s="1">
        <v>21.0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1">
        <v>97.35</v>
      </c>
      <c r="T5865" s="1">
        <v>2119.5</v>
      </c>
      <c r="U5865" s="1">
        <v>0.0</v>
      </c>
      <c r="V5865" s="1">
        <v>2.0</v>
      </c>
      <c r="W5865" s="1" t="s">
        <v>25</v>
      </c>
    </row>
    <row r="5866" ht="15.75" customHeight="1">
      <c r="A5866" s="1" t="s">
        <v>5903</v>
      </c>
      <c r="B5866" s="1" t="s">
        <v>24</v>
      </c>
      <c r="C5866" s="1">
        <v>0.0</v>
      </c>
      <c r="D5866" s="1" t="s">
        <v>25</v>
      </c>
      <c r="E5866" s="1" t="s">
        <v>26</v>
      </c>
      <c r="F5866" s="1">
        <v>47.0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1">
        <v>19.65</v>
      </c>
      <c r="T5866" s="1">
        <v>921.55</v>
      </c>
      <c r="U5866" s="1">
        <v>5.0</v>
      </c>
      <c r="V5866" s="1">
        <v>0.0</v>
      </c>
      <c r="W5866" s="1" t="s">
        <v>26</v>
      </c>
    </row>
    <row r="5867" ht="15.75" customHeight="1">
      <c r="A5867" s="1" t="s">
        <v>5904</v>
      </c>
      <c r="B5867" s="1" t="s">
        <v>24</v>
      </c>
      <c r="C5867" s="1">
        <v>0.0</v>
      </c>
      <c r="D5867" s="1" t="s">
        <v>25</v>
      </c>
      <c r="E5867" s="1" t="s">
        <v>26</v>
      </c>
      <c r="F5867" s="1">
        <v>3.0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1">
        <v>20.85</v>
      </c>
      <c r="T5867" s="1">
        <v>72.0</v>
      </c>
      <c r="U5867" s="1">
        <v>0.0</v>
      </c>
      <c r="V5867" s="1">
        <v>0.0</v>
      </c>
      <c r="W5867" s="1" t="s">
        <v>26</v>
      </c>
    </row>
    <row r="5868" ht="15.75" customHeight="1">
      <c r="A5868" s="1" t="s">
        <v>5905</v>
      </c>
      <c r="B5868" s="1" t="s">
        <v>32</v>
      </c>
      <c r="C5868" s="1">
        <v>0.0</v>
      </c>
      <c r="D5868" s="1" t="s">
        <v>26</v>
      </c>
      <c r="E5868" s="1" t="s">
        <v>26</v>
      </c>
      <c r="F5868" s="1">
        <v>3.0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1">
        <v>19.65</v>
      </c>
      <c r="T5868" s="1">
        <v>68.35</v>
      </c>
      <c r="U5868" s="1">
        <v>5.0</v>
      </c>
      <c r="V5868" s="1">
        <v>0.0</v>
      </c>
      <c r="W5868" s="1" t="s">
        <v>26</v>
      </c>
    </row>
    <row r="5869" ht="15.75" customHeight="1">
      <c r="A5869" s="1" t="s">
        <v>5906</v>
      </c>
      <c r="B5869" s="1" t="s">
        <v>32</v>
      </c>
      <c r="C5869" s="1">
        <v>1.0</v>
      </c>
      <c r="D5869" s="1" t="s">
        <v>25</v>
      </c>
      <c r="E5869" s="1" t="s">
        <v>26</v>
      </c>
      <c r="F5869" s="1">
        <v>44.0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1">
        <v>19.35</v>
      </c>
      <c r="T5869" s="1">
        <v>847.25</v>
      </c>
      <c r="U5869" s="1">
        <v>0.0</v>
      </c>
      <c r="V5869" s="1">
        <v>0.0</v>
      </c>
      <c r="W5869" s="1" t="s">
        <v>26</v>
      </c>
    </row>
    <row r="5870" ht="15.75" customHeight="1">
      <c r="A5870" s="1" t="s">
        <v>5907</v>
      </c>
      <c r="B5870" s="1" t="s">
        <v>24</v>
      </c>
      <c r="C5870" s="1">
        <v>0.0</v>
      </c>
      <c r="D5870" s="1" t="s">
        <v>26</v>
      </c>
      <c r="E5870" s="1" t="s">
        <v>26</v>
      </c>
      <c r="F5870" s="1">
        <v>1.0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1">
        <v>44.0</v>
      </c>
      <c r="T5870" s="1">
        <v>44.0</v>
      </c>
      <c r="U5870" s="1">
        <v>0.0</v>
      </c>
      <c r="V5870" s="1">
        <v>0.0</v>
      </c>
      <c r="W5870" s="1" t="s">
        <v>26</v>
      </c>
    </row>
    <row r="5871" ht="15.75" customHeight="1">
      <c r="A5871" s="1" t="s">
        <v>5908</v>
      </c>
      <c r="B5871" s="1" t="s">
        <v>24</v>
      </c>
      <c r="C5871" s="1">
        <v>0.0</v>
      </c>
      <c r="D5871" s="1" t="s">
        <v>25</v>
      </c>
      <c r="E5871" s="1" t="s">
        <v>25</v>
      </c>
      <c r="F5871" s="1">
        <v>44.0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1">
        <v>94.4</v>
      </c>
      <c r="T5871" s="1">
        <v>4295.35</v>
      </c>
      <c r="U5871" s="1">
        <v>0.0</v>
      </c>
      <c r="V5871" s="1">
        <v>0.0</v>
      </c>
      <c r="W5871" s="1" t="s">
        <v>26</v>
      </c>
    </row>
    <row r="5872" ht="15.75" customHeight="1">
      <c r="A5872" s="1" t="s">
        <v>5909</v>
      </c>
      <c r="B5872" s="1" t="s">
        <v>32</v>
      </c>
      <c r="C5872" s="1">
        <v>0.0</v>
      </c>
      <c r="D5872" s="1" t="s">
        <v>25</v>
      </c>
      <c r="E5872" s="1" t="s">
        <v>25</v>
      </c>
      <c r="F5872" s="1">
        <v>5.0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1">
        <v>25.9</v>
      </c>
      <c r="T5872" s="1">
        <v>135.0</v>
      </c>
      <c r="U5872" s="1">
        <v>0.0</v>
      </c>
      <c r="V5872" s="1">
        <v>0.0</v>
      </c>
      <c r="W5872" s="1" t="s">
        <v>25</v>
      </c>
    </row>
    <row r="5873" ht="15.75" customHeight="1">
      <c r="A5873" s="1" t="s">
        <v>5910</v>
      </c>
      <c r="B5873" s="1" t="s">
        <v>32</v>
      </c>
      <c r="C5873" s="1">
        <v>0.0</v>
      </c>
      <c r="D5873" s="1" t="s">
        <v>26</v>
      </c>
      <c r="E5873" s="1" t="s">
        <v>26</v>
      </c>
      <c r="F5873" s="1">
        <v>24.0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1">
        <v>55.65</v>
      </c>
      <c r="T5873" s="1">
        <v>1400.55</v>
      </c>
      <c r="U5873" s="1">
        <v>0.0</v>
      </c>
      <c r="V5873" s="1">
        <v>0.0</v>
      </c>
      <c r="W5873" s="1" t="s">
        <v>25</v>
      </c>
    </row>
    <row r="5874" ht="15.75" customHeight="1">
      <c r="A5874" s="1" t="s">
        <v>5911</v>
      </c>
      <c r="B5874" s="1" t="s">
        <v>24</v>
      </c>
      <c r="C5874" s="1">
        <v>0.0</v>
      </c>
      <c r="D5874" s="1" t="s">
        <v>26</v>
      </c>
      <c r="E5874" s="1" t="s">
        <v>25</v>
      </c>
      <c r="F5874" s="1">
        <v>1.0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1">
        <v>69.65</v>
      </c>
      <c r="T5874" s="1">
        <v>69.65</v>
      </c>
      <c r="U5874" s="1">
        <v>0.0</v>
      </c>
      <c r="V5874" s="1">
        <v>0.0</v>
      </c>
      <c r="W5874" s="1" t="s">
        <v>25</v>
      </c>
    </row>
    <row r="5875" ht="15.75" customHeight="1">
      <c r="A5875" s="1" t="s">
        <v>5912</v>
      </c>
      <c r="B5875" s="1" t="s">
        <v>24</v>
      </c>
      <c r="C5875" s="1">
        <v>0.0</v>
      </c>
      <c r="D5875" s="1" t="s">
        <v>26</v>
      </c>
      <c r="E5875" s="1" t="s">
        <v>26</v>
      </c>
      <c r="F5875" s="1">
        <v>18.0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1">
        <v>75.4</v>
      </c>
      <c r="T5875" s="1">
        <v>1380.4</v>
      </c>
      <c r="U5875" s="1">
        <v>5.0</v>
      </c>
      <c r="V5875" s="1">
        <v>0.0</v>
      </c>
      <c r="W5875" s="1" t="s">
        <v>26</v>
      </c>
    </row>
    <row r="5876" ht="15.75" customHeight="1">
      <c r="A5876" s="1" t="s">
        <v>5913</v>
      </c>
      <c r="B5876" s="1" t="s">
        <v>24</v>
      </c>
      <c r="C5876" s="1">
        <v>0.0</v>
      </c>
      <c r="D5876" s="1" t="s">
        <v>26</v>
      </c>
      <c r="E5876" s="1" t="s">
        <v>26</v>
      </c>
      <c r="F5876" s="1">
        <v>10.0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1">
        <v>100.6</v>
      </c>
      <c r="T5876" s="1">
        <v>1060.2</v>
      </c>
      <c r="U5876" s="1">
        <v>0.0</v>
      </c>
      <c r="V5876" s="1">
        <v>0.0</v>
      </c>
      <c r="W5876" s="1" t="s">
        <v>25</v>
      </c>
    </row>
    <row r="5877" ht="15.75" customHeight="1">
      <c r="A5877" s="1" t="s">
        <v>5914</v>
      </c>
      <c r="B5877" s="1" t="s">
        <v>24</v>
      </c>
      <c r="C5877" s="1">
        <v>0.0</v>
      </c>
      <c r="D5877" s="1" t="s">
        <v>25</v>
      </c>
      <c r="E5877" s="1" t="s">
        <v>26</v>
      </c>
      <c r="F5877" s="1">
        <v>65.0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1">
        <v>71.0</v>
      </c>
      <c r="T5877" s="1">
        <v>4386.2</v>
      </c>
      <c r="U5877" s="1">
        <v>0.0</v>
      </c>
      <c r="V5877" s="1">
        <v>0.0</v>
      </c>
      <c r="W5877" s="1" t="s">
        <v>26</v>
      </c>
    </row>
    <row r="5878" ht="15.75" customHeight="1">
      <c r="A5878" s="1" t="s">
        <v>5915</v>
      </c>
      <c r="B5878" s="1" t="s">
        <v>24</v>
      </c>
      <c r="C5878" s="1">
        <v>1.0</v>
      </c>
      <c r="D5878" s="1" t="s">
        <v>26</v>
      </c>
      <c r="E5878" s="1" t="s">
        <v>26</v>
      </c>
      <c r="F5878" s="1">
        <v>1.0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1">
        <v>86.0</v>
      </c>
      <c r="T5878" s="1">
        <v>86.0</v>
      </c>
      <c r="U5878" s="1">
        <v>5.0</v>
      </c>
      <c r="V5878" s="1">
        <v>1.0</v>
      </c>
      <c r="W5878" s="1" t="s">
        <v>25</v>
      </c>
    </row>
    <row r="5879" ht="15.75" customHeight="1">
      <c r="A5879" s="1" t="s">
        <v>5916</v>
      </c>
      <c r="B5879" s="1" t="s">
        <v>24</v>
      </c>
      <c r="C5879" s="1">
        <v>0.0</v>
      </c>
      <c r="D5879" s="1" t="s">
        <v>26</v>
      </c>
      <c r="E5879" s="1" t="s">
        <v>26</v>
      </c>
      <c r="F5879" s="1">
        <v>53.0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1">
        <v>106.95</v>
      </c>
      <c r="T5879" s="1">
        <v>5785.5</v>
      </c>
      <c r="U5879" s="1">
        <v>0.0</v>
      </c>
      <c r="V5879" s="1">
        <v>5.0</v>
      </c>
      <c r="W5879" s="1" t="s">
        <v>25</v>
      </c>
    </row>
    <row r="5880" ht="15.75" customHeight="1">
      <c r="A5880" s="1" t="s">
        <v>5917</v>
      </c>
      <c r="B5880" s="1" t="s">
        <v>32</v>
      </c>
      <c r="C5880" s="1">
        <v>0.0</v>
      </c>
      <c r="D5880" s="1" t="s">
        <v>26</v>
      </c>
      <c r="E5880" s="1" t="s">
        <v>26</v>
      </c>
      <c r="F5880" s="1">
        <v>3.0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1">
        <v>21.2</v>
      </c>
      <c r="T5880" s="1">
        <v>52.05</v>
      </c>
      <c r="U5880" s="1">
        <v>0.0</v>
      </c>
      <c r="V5880" s="1">
        <v>0.0</v>
      </c>
      <c r="W5880" s="1" t="s">
        <v>26</v>
      </c>
    </row>
    <row r="5881" ht="15.75" customHeight="1">
      <c r="A5881" s="1" t="s">
        <v>5918</v>
      </c>
      <c r="B5881" s="1" t="s">
        <v>32</v>
      </c>
      <c r="C5881" s="1">
        <v>0.0</v>
      </c>
      <c r="D5881" s="1" t="s">
        <v>25</v>
      </c>
      <c r="E5881" s="1" t="s">
        <v>26</v>
      </c>
      <c r="F5881" s="1">
        <v>33.0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1">
        <v>61.05</v>
      </c>
      <c r="T5881" s="1">
        <v>2018.4</v>
      </c>
      <c r="U5881" s="1">
        <v>0.0</v>
      </c>
      <c r="V5881" s="1">
        <v>0.0</v>
      </c>
      <c r="W5881" s="1" t="s">
        <v>26</v>
      </c>
    </row>
    <row r="5882" ht="15.75" customHeight="1">
      <c r="A5882" s="1" t="s">
        <v>5919</v>
      </c>
      <c r="B5882" s="1" t="s">
        <v>32</v>
      </c>
      <c r="C5882" s="1">
        <v>0.0</v>
      </c>
      <c r="D5882" s="1" t="s">
        <v>26</v>
      </c>
      <c r="E5882" s="1" t="s">
        <v>26</v>
      </c>
      <c r="F5882" s="1">
        <v>3.0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1">
        <v>29.6</v>
      </c>
      <c r="T5882" s="1">
        <v>79.45</v>
      </c>
      <c r="U5882" s="1">
        <v>0.0</v>
      </c>
      <c r="V5882" s="1">
        <v>0.0</v>
      </c>
      <c r="W5882" s="1" t="s">
        <v>25</v>
      </c>
    </row>
    <row r="5883" ht="15.75" customHeight="1">
      <c r="A5883" s="1" t="s">
        <v>5920</v>
      </c>
      <c r="B5883" s="1" t="s">
        <v>24</v>
      </c>
      <c r="C5883" s="1">
        <v>0.0</v>
      </c>
      <c r="D5883" s="1" t="s">
        <v>26</v>
      </c>
      <c r="E5883" s="1" t="s">
        <v>26</v>
      </c>
      <c r="F5883" s="1">
        <v>34.0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1">
        <v>79.95</v>
      </c>
      <c r="T5883" s="1">
        <v>2727.3</v>
      </c>
      <c r="U5883" s="1">
        <v>0.0</v>
      </c>
      <c r="V5883" s="1">
        <v>0.0</v>
      </c>
      <c r="W5883" s="1" t="s">
        <v>26</v>
      </c>
    </row>
    <row r="5884" ht="15.75" customHeight="1">
      <c r="A5884" s="1" t="s">
        <v>5921</v>
      </c>
      <c r="B5884" s="1" t="s">
        <v>24</v>
      </c>
      <c r="C5884" s="1">
        <v>0.0</v>
      </c>
      <c r="D5884" s="1" t="s">
        <v>25</v>
      </c>
      <c r="E5884" s="1" t="s">
        <v>25</v>
      </c>
      <c r="F5884" s="1">
        <v>14.0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1">
        <v>19.7</v>
      </c>
      <c r="T5884" s="1">
        <v>263.65</v>
      </c>
      <c r="U5884" s="1">
        <v>0.0</v>
      </c>
      <c r="V5884" s="1">
        <v>0.0</v>
      </c>
      <c r="W5884" s="1" t="s">
        <v>26</v>
      </c>
    </row>
    <row r="5885" ht="15.75" customHeight="1">
      <c r="A5885" s="1" t="s">
        <v>5922</v>
      </c>
      <c r="B5885" s="1" t="s">
        <v>24</v>
      </c>
      <c r="C5885" s="1">
        <v>0.0</v>
      </c>
      <c r="D5885" s="1" t="s">
        <v>26</v>
      </c>
      <c r="E5885" s="1" t="s">
        <v>26</v>
      </c>
      <c r="F5885" s="1">
        <v>13.0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1">
        <v>20.3</v>
      </c>
      <c r="T5885" s="1">
        <v>275.4</v>
      </c>
      <c r="U5885" s="1">
        <v>0.0</v>
      </c>
      <c r="V5885" s="1">
        <v>0.0</v>
      </c>
      <c r="W5885" s="1" t="s">
        <v>26</v>
      </c>
    </row>
    <row r="5886" ht="15.75" customHeight="1">
      <c r="A5886" s="1" t="s">
        <v>5923</v>
      </c>
      <c r="B5886" s="1" t="s">
        <v>32</v>
      </c>
      <c r="C5886" s="1">
        <v>1.0</v>
      </c>
      <c r="D5886" s="1" t="s">
        <v>25</v>
      </c>
      <c r="E5886" s="1" t="s">
        <v>26</v>
      </c>
      <c r="F5886" s="1">
        <v>46.0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1">
        <v>59.9</v>
      </c>
      <c r="T5886" s="1">
        <v>2816.65</v>
      </c>
      <c r="U5886" s="1">
        <v>0.0</v>
      </c>
      <c r="V5886" s="1">
        <v>2.0</v>
      </c>
      <c r="W5886" s="1" t="s">
        <v>25</v>
      </c>
    </row>
    <row r="5887" ht="15.75" customHeight="1">
      <c r="A5887" s="1" t="s">
        <v>5924</v>
      </c>
      <c r="B5887" s="1" t="s">
        <v>32</v>
      </c>
      <c r="C5887" s="1">
        <v>0.0</v>
      </c>
      <c r="D5887" s="1" t="s">
        <v>25</v>
      </c>
      <c r="E5887" s="1" t="s">
        <v>25</v>
      </c>
      <c r="F5887" s="1">
        <v>23.0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1">
        <v>24.35</v>
      </c>
      <c r="T5887" s="1">
        <v>538.5</v>
      </c>
      <c r="U5887" s="1">
        <v>0.0</v>
      </c>
      <c r="V5887" s="1">
        <v>0.0</v>
      </c>
      <c r="W5887" s="1" t="s">
        <v>26</v>
      </c>
    </row>
    <row r="5888" ht="15.75" customHeight="1">
      <c r="A5888" s="1" t="s">
        <v>5925</v>
      </c>
      <c r="B5888" s="1" t="s">
        <v>24</v>
      </c>
      <c r="C5888" s="1">
        <v>0.0</v>
      </c>
      <c r="D5888" s="1" t="s">
        <v>25</v>
      </c>
      <c r="E5888" s="1" t="s">
        <v>25</v>
      </c>
      <c r="F5888" s="1">
        <v>47.0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1">
        <v>19.75</v>
      </c>
      <c r="T5888" s="1">
        <v>948.9</v>
      </c>
      <c r="U5888" s="1">
        <v>5.0</v>
      </c>
      <c r="V5888" s="1">
        <v>0.0</v>
      </c>
      <c r="W5888" s="1" t="s">
        <v>26</v>
      </c>
    </row>
    <row r="5889" ht="15.75" customHeight="1">
      <c r="A5889" s="1" t="s">
        <v>5926</v>
      </c>
      <c r="B5889" s="1" t="s">
        <v>32</v>
      </c>
      <c r="C5889" s="1">
        <v>0.0</v>
      </c>
      <c r="D5889" s="1" t="s">
        <v>26</v>
      </c>
      <c r="E5889" s="1" t="s">
        <v>25</v>
      </c>
      <c r="F5889" s="1">
        <v>17.0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1">
        <v>50.3</v>
      </c>
      <c r="T5889" s="1">
        <v>846.8</v>
      </c>
      <c r="U5889" s="1">
        <v>0.0</v>
      </c>
      <c r="V5889" s="1">
        <v>0.0</v>
      </c>
      <c r="W5889" s="1" t="s">
        <v>26</v>
      </c>
    </row>
    <row r="5890" ht="15.75" customHeight="1">
      <c r="A5890" s="1" t="s">
        <v>5927</v>
      </c>
      <c r="B5890" s="1" t="s">
        <v>24</v>
      </c>
      <c r="C5890" s="1">
        <v>0.0</v>
      </c>
      <c r="D5890" s="1" t="s">
        <v>25</v>
      </c>
      <c r="E5890" s="1" t="s">
        <v>25</v>
      </c>
      <c r="F5890" s="1">
        <v>49.0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1">
        <v>95.6</v>
      </c>
      <c r="T5890" s="1">
        <v>4783.5</v>
      </c>
      <c r="U5890" s="1">
        <v>0.0</v>
      </c>
      <c r="V5890" s="1">
        <v>4.0</v>
      </c>
      <c r="W5890" s="1" t="s">
        <v>25</v>
      </c>
    </row>
    <row r="5891" ht="15.75" customHeight="1">
      <c r="A5891" s="1" t="s">
        <v>5928</v>
      </c>
      <c r="B5891" s="1" t="s">
        <v>32</v>
      </c>
      <c r="C5891" s="1">
        <v>1.0</v>
      </c>
      <c r="D5891" s="1" t="s">
        <v>25</v>
      </c>
      <c r="E5891" s="1" t="s">
        <v>26</v>
      </c>
      <c r="F5891" s="1">
        <v>59.0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1">
        <v>50.25</v>
      </c>
      <c r="T5891" s="1">
        <v>2997.45</v>
      </c>
      <c r="U5891" s="1">
        <v>0.0</v>
      </c>
      <c r="V5891" s="1">
        <v>0.0</v>
      </c>
      <c r="W5891" s="1" t="s">
        <v>26</v>
      </c>
    </row>
    <row r="5892" ht="15.75" customHeight="1">
      <c r="A5892" s="1" t="s">
        <v>5929</v>
      </c>
      <c r="B5892" s="1" t="s">
        <v>24</v>
      </c>
      <c r="C5892" s="1">
        <v>0.0</v>
      </c>
      <c r="D5892" s="1" t="s">
        <v>26</v>
      </c>
      <c r="E5892" s="1" t="s">
        <v>26</v>
      </c>
      <c r="F5892" s="1">
        <v>69.0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1">
        <v>85.35</v>
      </c>
      <c r="T5892" s="1">
        <v>5897.4</v>
      </c>
      <c r="U5892" s="1">
        <v>0.0</v>
      </c>
      <c r="V5892" s="1">
        <v>0.0</v>
      </c>
      <c r="W5892" s="1" t="s">
        <v>26</v>
      </c>
    </row>
    <row r="5893" ht="15.75" customHeight="1">
      <c r="A5893" s="1" t="s">
        <v>5930</v>
      </c>
      <c r="B5893" s="1" t="s">
        <v>32</v>
      </c>
      <c r="C5893" s="1">
        <v>0.0</v>
      </c>
      <c r="D5893" s="1" t="s">
        <v>26</v>
      </c>
      <c r="E5893" s="1" t="s">
        <v>26</v>
      </c>
      <c r="F5893" s="1">
        <v>11.0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1">
        <v>41.6</v>
      </c>
      <c r="T5893" s="1">
        <v>470.6</v>
      </c>
      <c r="U5893" s="1">
        <v>0.0</v>
      </c>
      <c r="V5893" s="1">
        <v>1.0</v>
      </c>
      <c r="W5893" s="1" t="s">
        <v>25</v>
      </c>
    </row>
    <row r="5894" ht="15.75" customHeight="1">
      <c r="A5894" s="1" t="s">
        <v>5931</v>
      </c>
      <c r="B5894" s="1" t="s">
        <v>32</v>
      </c>
      <c r="C5894" s="1">
        <v>0.0</v>
      </c>
      <c r="D5894" s="1" t="s">
        <v>26</v>
      </c>
      <c r="E5894" s="1" t="s">
        <v>26</v>
      </c>
      <c r="F5894" s="1">
        <v>10.0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1">
        <v>51.65</v>
      </c>
      <c r="T5894" s="1">
        <v>524.5</v>
      </c>
      <c r="U5894" s="1">
        <v>0.0</v>
      </c>
      <c r="V5894" s="1">
        <v>0.0</v>
      </c>
      <c r="W5894" s="1" t="s">
        <v>26</v>
      </c>
    </row>
    <row r="5895" ht="15.75" customHeight="1">
      <c r="A5895" s="1" t="s">
        <v>5932</v>
      </c>
      <c r="B5895" s="1" t="s">
        <v>32</v>
      </c>
      <c r="C5895" s="1">
        <v>0.0</v>
      </c>
      <c r="D5895" s="1" t="s">
        <v>25</v>
      </c>
      <c r="E5895" s="1" t="s">
        <v>25</v>
      </c>
      <c r="F5895" s="1">
        <v>12.0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1">
        <v>24.0</v>
      </c>
      <c r="T5895" s="1">
        <v>269.65</v>
      </c>
      <c r="U5895" s="1">
        <v>0.0</v>
      </c>
      <c r="V5895" s="1">
        <v>0.0</v>
      </c>
      <c r="W5895" s="1" t="s">
        <v>26</v>
      </c>
    </row>
    <row r="5896" ht="15.75" customHeight="1">
      <c r="A5896" s="1" t="s">
        <v>5933</v>
      </c>
      <c r="B5896" s="1" t="s">
        <v>32</v>
      </c>
      <c r="C5896" s="1">
        <v>0.0</v>
      </c>
      <c r="D5896" s="1" t="s">
        <v>26</v>
      </c>
      <c r="E5896" s="1" t="s">
        <v>26</v>
      </c>
      <c r="F5896" s="1">
        <v>45.0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1">
        <v>100.85</v>
      </c>
      <c r="T5896" s="1">
        <v>4740.0</v>
      </c>
      <c r="U5896" s="1">
        <v>0.0</v>
      </c>
      <c r="V5896" s="1">
        <v>5.0</v>
      </c>
      <c r="W5896" s="1" t="s">
        <v>25</v>
      </c>
    </row>
    <row r="5897" ht="15.75" customHeight="1">
      <c r="A5897" s="1" t="s">
        <v>5934</v>
      </c>
      <c r="B5897" s="1" t="s">
        <v>24</v>
      </c>
      <c r="C5897" s="1">
        <v>0.0</v>
      </c>
      <c r="D5897" s="1" t="s">
        <v>25</v>
      </c>
      <c r="E5897" s="1" t="s">
        <v>25</v>
      </c>
      <c r="F5897" s="1">
        <v>39.0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1">
        <v>59.85</v>
      </c>
      <c r="T5897" s="1">
        <v>2341.5</v>
      </c>
      <c r="U5897" s="1">
        <v>0.0</v>
      </c>
      <c r="V5897" s="1">
        <v>0.0</v>
      </c>
      <c r="W5897" s="1" t="s">
        <v>26</v>
      </c>
    </row>
    <row r="5898" ht="15.75" customHeight="1">
      <c r="A5898" s="1" t="s">
        <v>5935</v>
      </c>
      <c r="B5898" s="1" t="s">
        <v>32</v>
      </c>
      <c r="C5898" s="1">
        <v>1.0</v>
      </c>
      <c r="D5898" s="1" t="s">
        <v>25</v>
      </c>
      <c r="E5898" s="1" t="s">
        <v>26</v>
      </c>
      <c r="F5898" s="1">
        <v>71.0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1">
        <v>25.45</v>
      </c>
      <c r="T5898" s="1">
        <v>1789.65</v>
      </c>
      <c r="U5898" s="1">
        <v>0.0</v>
      </c>
      <c r="V5898" s="1">
        <v>0.0</v>
      </c>
      <c r="W5898" s="1" t="s">
        <v>26</v>
      </c>
    </row>
    <row r="5899" ht="15.75" customHeight="1">
      <c r="A5899" s="1" t="s">
        <v>5936</v>
      </c>
      <c r="B5899" s="1" t="s">
        <v>32</v>
      </c>
      <c r="C5899" s="1">
        <v>0.0</v>
      </c>
      <c r="D5899" s="1" t="s">
        <v>25</v>
      </c>
      <c r="E5899" s="1" t="s">
        <v>25</v>
      </c>
      <c r="F5899" s="1">
        <v>71.0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1">
        <v>23.9</v>
      </c>
      <c r="T5899" s="1">
        <v>1626.4</v>
      </c>
      <c r="U5899" s="1">
        <v>0.0</v>
      </c>
      <c r="V5899" s="1">
        <v>0.0</v>
      </c>
      <c r="W5899" s="1" t="s">
        <v>26</v>
      </c>
    </row>
    <row r="5900" ht="15.75" customHeight="1">
      <c r="A5900" s="1" t="s">
        <v>5937</v>
      </c>
      <c r="B5900" s="1" t="s">
        <v>24</v>
      </c>
      <c r="C5900" s="1">
        <v>0.0</v>
      </c>
      <c r="D5900" s="1" t="s">
        <v>25</v>
      </c>
      <c r="E5900" s="1" t="s">
        <v>25</v>
      </c>
      <c r="F5900" s="1">
        <v>33.0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1">
        <v>24.15</v>
      </c>
      <c r="T5900" s="1">
        <v>800.3</v>
      </c>
      <c r="U5900" s="1">
        <v>0.0</v>
      </c>
      <c r="V5900" s="1">
        <v>0.0</v>
      </c>
      <c r="W5900" s="1" t="s">
        <v>26</v>
      </c>
    </row>
    <row r="5901" ht="15.75" customHeight="1">
      <c r="A5901" s="1" t="s">
        <v>5938</v>
      </c>
      <c r="B5901" s="1" t="s">
        <v>32</v>
      </c>
      <c r="C5901" s="1">
        <v>1.0</v>
      </c>
      <c r="D5901" s="1" t="s">
        <v>26</v>
      </c>
      <c r="E5901" s="1" t="s">
        <v>26</v>
      </c>
      <c r="F5901" s="1">
        <v>67.0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1">
        <v>75.7</v>
      </c>
      <c r="T5901" s="1">
        <v>5060.85</v>
      </c>
      <c r="U5901" s="1">
        <v>0.0</v>
      </c>
      <c r="V5901" s="1">
        <v>4.0</v>
      </c>
      <c r="W5901" s="1" t="s">
        <v>26</v>
      </c>
    </row>
    <row r="5902" ht="15.75" customHeight="1">
      <c r="A5902" s="1" t="s">
        <v>5939</v>
      </c>
      <c r="B5902" s="1" t="s">
        <v>32</v>
      </c>
      <c r="C5902" s="1">
        <v>0.0</v>
      </c>
      <c r="D5902" s="1" t="s">
        <v>25</v>
      </c>
      <c r="E5902" s="1" t="s">
        <v>25</v>
      </c>
      <c r="F5902" s="1">
        <v>37.0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1">
        <v>40.2</v>
      </c>
      <c r="T5902" s="1">
        <v>1448.8</v>
      </c>
      <c r="U5902" s="1">
        <v>0.0</v>
      </c>
      <c r="V5902" s="1">
        <v>4.0</v>
      </c>
      <c r="W5902" s="1" t="s">
        <v>25</v>
      </c>
    </row>
    <row r="5903" ht="15.75" customHeight="1">
      <c r="A5903" s="1" t="s">
        <v>5940</v>
      </c>
      <c r="B5903" s="1" t="s">
        <v>32</v>
      </c>
      <c r="C5903" s="1">
        <v>0.0</v>
      </c>
      <c r="D5903" s="1" t="s">
        <v>25</v>
      </c>
      <c r="E5903" s="1" t="s">
        <v>25</v>
      </c>
      <c r="F5903" s="1">
        <v>49.0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1">
        <v>84.5</v>
      </c>
      <c r="T5903" s="1">
        <v>4254.85</v>
      </c>
      <c r="U5903" s="1">
        <v>1.0</v>
      </c>
      <c r="V5903" s="1">
        <v>0.0</v>
      </c>
      <c r="W5903" s="1" t="s">
        <v>25</v>
      </c>
    </row>
    <row r="5904" ht="15.75" customHeight="1">
      <c r="A5904" s="1" t="s">
        <v>5941</v>
      </c>
      <c r="B5904" s="1" t="s">
        <v>24</v>
      </c>
      <c r="C5904" s="1">
        <v>0.0</v>
      </c>
      <c r="D5904" s="1" t="s">
        <v>25</v>
      </c>
      <c r="E5904" s="1" t="s">
        <v>26</v>
      </c>
      <c r="F5904" s="1">
        <v>9.0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1">
        <v>50.85</v>
      </c>
      <c r="T5904" s="1">
        <v>466.6</v>
      </c>
      <c r="U5904" s="1">
        <v>0.0</v>
      </c>
      <c r="V5904" s="1">
        <v>0.0</v>
      </c>
      <c r="W5904" s="1" t="s">
        <v>26</v>
      </c>
    </row>
    <row r="5905" ht="15.75" customHeight="1">
      <c r="A5905" s="1" t="s">
        <v>5942</v>
      </c>
      <c r="B5905" s="1" t="s">
        <v>32</v>
      </c>
      <c r="C5905" s="1">
        <v>0.0</v>
      </c>
      <c r="D5905" s="1" t="s">
        <v>25</v>
      </c>
      <c r="E5905" s="1" t="s">
        <v>26</v>
      </c>
      <c r="F5905" s="1">
        <v>52.0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1">
        <v>91.6</v>
      </c>
      <c r="T5905" s="1">
        <v>4627.8</v>
      </c>
      <c r="U5905" s="1">
        <v>0.0</v>
      </c>
      <c r="V5905" s="1">
        <v>0.0</v>
      </c>
      <c r="W5905" s="1" t="s">
        <v>26</v>
      </c>
    </row>
    <row r="5906" ht="15.75" customHeight="1">
      <c r="A5906" s="1" t="s">
        <v>5943</v>
      </c>
      <c r="B5906" s="1" t="s">
        <v>24</v>
      </c>
      <c r="C5906" s="1">
        <v>0.0</v>
      </c>
      <c r="D5906" s="1" t="s">
        <v>26</v>
      </c>
      <c r="E5906" s="1" t="s">
        <v>26</v>
      </c>
      <c r="F5906" s="1">
        <v>70.0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1">
        <v>98.9</v>
      </c>
      <c r="T5906" s="1">
        <v>6838.6</v>
      </c>
      <c r="U5906" s="1">
        <v>0.0</v>
      </c>
      <c r="V5906" s="1">
        <v>0.0</v>
      </c>
      <c r="W5906" s="1" t="s">
        <v>26</v>
      </c>
    </row>
    <row r="5907" ht="15.75" customHeight="1">
      <c r="A5907" s="1" t="s">
        <v>5944</v>
      </c>
      <c r="B5907" s="1" t="s">
        <v>32</v>
      </c>
      <c r="C5907" s="1">
        <v>0.0</v>
      </c>
      <c r="D5907" s="1" t="s">
        <v>26</v>
      </c>
      <c r="E5907" s="1" t="s">
        <v>26</v>
      </c>
      <c r="F5907" s="1">
        <v>1.0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1">
        <v>85.0</v>
      </c>
      <c r="T5907" s="1">
        <v>85.0</v>
      </c>
      <c r="U5907" s="1">
        <v>3.0</v>
      </c>
      <c r="V5907" s="1">
        <v>0.0</v>
      </c>
      <c r="W5907" s="1" t="s">
        <v>26</v>
      </c>
    </row>
    <row r="5908" ht="15.75" customHeight="1">
      <c r="A5908" s="1" t="s">
        <v>5945</v>
      </c>
      <c r="B5908" s="1" t="s">
        <v>24</v>
      </c>
      <c r="C5908" s="1">
        <v>1.0</v>
      </c>
      <c r="D5908" s="1" t="s">
        <v>26</v>
      </c>
      <c r="E5908" s="1" t="s">
        <v>26</v>
      </c>
      <c r="F5908" s="1">
        <v>14.0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1">
        <v>78.95</v>
      </c>
      <c r="T5908" s="1">
        <v>1101.85</v>
      </c>
      <c r="U5908" s="1">
        <v>0.0</v>
      </c>
      <c r="V5908" s="1">
        <v>0.0</v>
      </c>
      <c r="W5908" s="1" t="s">
        <v>25</v>
      </c>
    </row>
    <row r="5909" ht="15.75" customHeight="1">
      <c r="A5909" s="1" t="s">
        <v>5946</v>
      </c>
      <c r="B5909" s="1" t="s">
        <v>32</v>
      </c>
      <c r="C5909" s="1">
        <v>0.0</v>
      </c>
      <c r="D5909" s="1" t="s">
        <v>26</v>
      </c>
      <c r="E5909" s="1" t="s">
        <v>26</v>
      </c>
      <c r="F5909" s="1">
        <v>1.0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1">
        <v>44.3</v>
      </c>
      <c r="T5909" s="1">
        <v>44.3</v>
      </c>
      <c r="U5909" s="1">
        <v>0.0</v>
      </c>
      <c r="V5909" s="1">
        <v>0.0</v>
      </c>
      <c r="W5909" s="1" t="s">
        <v>26</v>
      </c>
    </row>
    <row r="5910" ht="15.75" customHeight="1">
      <c r="A5910" s="1" t="s">
        <v>5947</v>
      </c>
      <c r="B5910" s="1" t="s">
        <v>32</v>
      </c>
      <c r="C5910" s="1">
        <v>0.0</v>
      </c>
      <c r="D5910" s="1" t="s">
        <v>26</v>
      </c>
      <c r="E5910" s="1" t="s">
        <v>26</v>
      </c>
      <c r="F5910" s="1">
        <v>1.0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1">
        <v>20.2</v>
      </c>
      <c r="T5910" s="1">
        <v>20.2</v>
      </c>
      <c r="U5910" s="1">
        <v>0.0</v>
      </c>
      <c r="V5910" s="1">
        <v>0.0</v>
      </c>
      <c r="W5910" s="1" t="s">
        <v>25</v>
      </c>
    </row>
    <row r="5911" ht="15.75" customHeight="1">
      <c r="A5911" s="1" t="s">
        <v>5948</v>
      </c>
      <c r="B5911" s="1" t="s">
        <v>24</v>
      </c>
      <c r="C5911" s="1">
        <v>0.0</v>
      </c>
      <c r="D5911" s="1" t="s">
        <v>26</v>
      </c>
      <c r="E5911" s="1" t="s">
        <v>26</v>
      </c>
      <c r="F5911" s="1">
        <v>52.0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1">
        <v>80.2</v>
      </c>
      <c r="T5911" s="1">
        <v>4297.6</v>
      </c>
      <c r="U5911" s="1">
        <v>0.0</v>
      </c>
      <c r="V5911" s="1">
        <v>0.0</v>
      </c>
      <c r="W5911" s="1" t="s">
        <v>26</v>
      </c>
    </row>
    <row r="5912" ht="15.75" customHeight="1">
      <c r="A5912" s="1" t="s">
        <v>5949</v>
      </c>
      <c r="B5912" s="1" t="s">
        <v>32</v>
      </c>
      <c r="C5912" s="1">
        <v>0.0</v>
      </c>
      <c r="D5912" s="1" t="s">
        <v>26</v>
      </c>
      <c r="E5912" s="1" t="s">
        <v>26</v>
      </c>
      <c r="F5912" s="1">
        <v>6.0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1">
        <v>60.9</v>
      </c>
      <c r="T5912" s="1">
        <v>414.1</v>
      </c>
      <c r="U5912" s="1">
        <v>0.0</v>
      </c>
      <c r="V5912" s="1">
        <v>0.0</v>
      </c>
      <c r="W5912" s="1" t="s">
        <v>26</v>
      </c>
    </row>
    <row r="5913" ht="15.75" customHeight="1">
      <c r="A5913" s="1" t="s">
        <v>5950</v>
      </c>
      <c r="B5913" s="1" t="s">
        <v>32</v>
      </c>
      <c r="C5913" s="1">
        <v>0.0</v>
      </c>
      <c r="D5913" s="1" t="s">
        <v>25</v>
      </c>
      <c r="E5913" s="1" t="s">
        <v>26</v>
      </c>
      <c r="F5913" s="1">
        <v>7.0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1">
        <v>34.2</v>
      </c>
      <c r="T5913" s="1">
        <v>256.6</v>
      </c>
      <c r="U5913" s="1">
        <v>0.0</v>
      </c>
      <c r="V5913" s="1">
        <v>0.0</v>
      </c>
      <c r="W5913" s="1" t="s">
        <v>26</v>
      </c>
    </row>
    <row r="5914" ht="15.75" customHeight="1">
      <c r="A5914" s="1" t="s">
        <v>5951</v>
      </c>
      <c r="B5914" s="1" t="s">
        <v>24</v>
      </c>
      <c r="C5914" s="1">
        <v>1.0</v>
      </c>
      <c r="D5914" s="1" t="s">
        <v>26</v>
      </c>
      <c r="E5914" s="1" t="s">
        <v>26</v>
      </c>
      <c r="F5914" s="1">
        <v>47.0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1">
        <v>85.2</v>
      </c>
      <c r="T5914" s="1">
        <v>3969.35</v>
      </c>
      <c r="U5914" s="1">
        <v>0.0</v>
      </c>
      <c r="V5914" s="1">
        <v>3.0</v>
      </c>
      <c r="W5914" s="1" t="s">
        <v>25</v>
      </c>
    </row>
    <row r="5915" ht="15.75" customHeight="1">
      <c r="A5915" s="1" t="s">
        <v>5952</v>
      </c>
      <c r="B5915" s="1" t="s">
        <v>24</v>
      </c>
      <c r="C5915" s="1">
        <v>0.0</v>
      </c>
      <c r="D5915" s="1" t="s">
        <v>26</v>
      </c>
      <c r="E5915" s="1" t="s">
        <v>26</v>
      </c>
      <c r="F5915" s="1">
        <v>26.0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1">
        <v>87.15</v>
      </c>
      <c r="T5915" s="1">
        <v>2274.1</v>
      </c>
      <c r="U5915" s="1">
        <v>5.0</v>
      </c>
      <c r="V5915" s="1">
        <v>0.0</v>
      </c>
      <c r="W5915" s="1" t="s">
        <v>26</v>
      </c>
    </row>
    <row r="5916" ht="15.75" customHeight="1">
      <c r="A5916" s="1" t="s">
        <v>5953</v>
      </c>
      <c r="B5916" s="1" t="s">
        <v>32</v>
      </c>
      <c r="C5916" s="1">
        <v>0.0</v>
      </c>
      <c r="D5916" s="1" t="s">
        <v>25</v>
      </c>
      <c r="E5916" s="1" t="s">
        <v>25</v>
      </c>
      <c r="F5916" s="1">
        <v>25.0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1">
        <v>54.3</v>
      </c>
      <c r="T5916" s="1">
        <v>1296.8</v>
      </c>
      <c r="U5916" s="1">
        <v>0.0</v>
      </c>
      <c r="V5916" s="1">
        <v>0.0</v>
      </c>
      <c r="W5916" s="1" t="s">
        <v>26</v>
      </c>
    </row>
    <row r="5917" ht="15.75" customHeight="1">
      <c r="A5917" s="1" t="s">
        <v>5954</v>
      </c>
      <c r="B5917" s="1" t="s">
        <v>32</v>
      </c>
      <c r="C5917" s="1">
        <v>0.0</v>
      </c>
      <c r="D5917" s="1" t="s">
        <v>26</v>
      </c>
      <c r="E5917" s="1" t="s">
        <v>26</v>
      </c>
      <c r="F5917" s="1">
        <v>69.0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1">
        <v>19.1</v>
      </c>
      <c r="T5917" s="1">
        <v>1268.85</v>
      </c>
      <c r="U5917" s="1">
        <v>0.0</v>
      </c>
      <c r="V5917" s="1">
        <v>0.0</v>
      </c>
      <c r="W5917" s="1" t="s">
        <v>26</v>
      </c>
    </row>
    <row r="5918" ht="15.75" customHeight="1">
      <c r="A5918" s="1" t="s">
        <v>5955</v>
      </c>
      <c r="B5918" s="1" t="s">
        <v>24</v>
      </c>
      <c r="C5918" s="1">
        <v>0.0</v>
      </c>
      <c r="D5918" s="1" t="s">
        <v>26</v>
      </c>
      <c r="E5918" s="1" t="s">
        <v>26</v>
      </c>
      <c r="F5918" s="1">
        <v>72.0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1">
        <v>112.75</v>
      </c>
      <c r="T5918" s="1">
        <v>8192.6</v>
      </c>
      <c r="U5918" s="1">
        <v>0.0</v>
      </c>
      <c r="V5918" s="1">
        <v>0.0</v>
      </c>
      <c r="W5918" s="1" t="s">
        <v>26</v>
      </c>
    </row>
    <row r="5919" ht="15.75" customHeight="1">
      <c r="A5919" s="1" t="s">
        <v>5956</v>
      </c>
      <c r="B5919" s="1" t="s">
        <v>32</v>
      </c>
      <c r="C5919" s="1">
        <v>0.0</v>
      </c>
      <c r="D5919" s="1" t="s">
        <v>26</v>
      </c>
      <c r="E5919" s="1" t="s">
        <v>26</v>
      </c>
      <c r="F5919" s="1">
        <v>4.0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1">
        <v>19.95</v>
      </c>
      <c r="T5919" s="1">
        <v>59.25</v>
      </c>
      <c r="U5919" s="1">
        <v>0.0</v>
      </c>
      <c r="V5919" s="1">
        <v>0.0</v>
      </c>
      <c r="W5919" s="1" t="s">
        <v>26</v>
      </c>
    </row>
    <row r="5920" ht="15.75" customHeight="1">
      <c r="A5920" s="1" t="s">
        <v>5957</v>
      </c>
      <c r="B5920" s="1" t="s">
        <v>32</v>
      </c>
      <c r="C5920" s="1">
        <v>0.0</v>
      </c>
      <c r="D5920" s="1" t="s">
        <v>25</v>
      </c>
      <c r="E5920" s="1" t="s">
        <v>25</v>
      </c>
      <c r="F5920" s="1">
        <v>59.0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1">
        <v>19.5</v>
      </c>
      <c r="T5920" s="1">
        <v>1147.85</v>
      </c>
      <c r="U5920" s="1">
        <v>0.0</v>
      </c>
      <c r="V5920" s="1">
        <v>0.0</v>
      </c>
      <c r="W5920" s="1" t="s">
        <v>26</v>
      </c>
    </row>
    <row r="5921" ht="15.75" customHeight="1">
      <c r="A5921" s="1" t="s">
        <v>5958</v>
      </c>
      <c r="B5921" s="1" t="s">
        <v>32</v>
      </c>
      <c r="C5921" s="1">
        <v>0.0</v>
      </c>
      <c r="D5921" s="1" t="s">
        <v>26</v>
      </c>
      <c r="E5921" s="1" t="s">
        <v>26</v>
      </c>
      <c r="F5921" s="1">
        <v>67.0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1">
        <v>65.55</v>
      </c>
      <c r="T5921" s="1">
        <v>4361.55</v>
      </c>
      <c r="U5921" s="1">
        <v>3.0</v>
      </c>
      <c r="V5921" s="1">
        <v>0.0</v>
      </c>
      <c r="W5921" s="1" t="s">
        <v>26</v>
      </c>
    </row>
    <row r="5922" ht="15.75" customHeight="1">
      <c r="A5922" s="1" t="s">
        <v>5959</v>
      </c>
      <c r="B5922" s="1" t="s">
        <v>24</v>
      </c>
      <c r="C5922" s="1">
        <v>1.0</v>
      </c>
      <c r="D5922" s="1" t="s">
        <v>26</v>
      </c>
      <c r="E5922" s="1" t="s">
        <v>26</v>
      </c>
      <c r="F5922" s="1">
        <v>26.0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1">
        <v>78.8</v>
      </c>
      <c r="T5922" s="1">
        <v>2006.1</v>
      </c>
      <c r="U5922" s="1">
        <v>0.0</v>
      </c>
      <c r="V5922" s="1">
        <v>0.0</v>
      </c>
      <c r="W5922" s="1" t="s">
        <v>26</v>
      </c>
    </row>
    <row r="5923" ht="15.75" customHeight="1">
      <c r="A5923" s="1" t="s">
        <v>5960</v>
      </c>
      <c r="B5923" s="1" t="s">
        <v>24</v>
      </c>
      <c r="C5923" s="1">
        <v>0.0</v>
      </c>
      <c r="D5923" s="1" t="s">
        <v>26</v>
      </c>
      <c r="E5923" s="1" t="s">
        <v>26</v>
      </c>
      <c r="F5923" s="1">
        <v>27.0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1">
        <v>78.2</v>
      </c>
      <c r="T5923" s="1">
        <v>2078.95</v>
      </c>
      <c r="U5923" s="1">
        <v>0.0</v>
      </c>
      <c r="V5923" s="1">
        <v>0.0</v>
      </c>
      <c r="W5923" s="1" t="s">
        <v>26</v>
      </c>
    </row>
    <row r="5924" ht="15.75" customHeight="1">
      <c r="A5924" s="1" t="s">
        <v>5961</v>
      </c>
      <c r="B5924" s="1" t="s">
        <v>32</v>
      </c>
      <c r="C5924" s="1">
        <v>0.0</v>
      </c>
      <c r="D5924" s="1" t="s">
        <v>25</v>
      </c>
      <c r="E5924" s="1" t="s">
        <v>25</v>
      </c>
      <c r="F5924" s="1">
        <v>72.0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1">
        <v>105.25</v>
      </c>
      <c r="T5924" s="1">
        <v>7609.75</v>
      </c>
      <c r="U5924" s="1">
        <v>0.0</v>
      </c>
      <c r="V5924" s="1">
        <v>0.0</v>
      </c>
      <c r="W5924" s="1" t="s">
        <v>26</v>
      </c>
    </row>
    <row r="5925" ht="15.75" customHeight="1">
      <c r="A5925" s="1" t="s">
        <v>5962</v>
      </c>
      <c r="B5925" s="1" t="s">
        <v>24</v>
      </c>
      <c r="C5925" s="1">
        <v>0.0</v>
      </c>
      <c r="D5925" s="1" t="s">
        <v>26</v>
      </c>
      <c r="E5925" s="1" t="s">
        <v>26</v>
      </c>
      <c r="F5925" s="1">
        <v>6.0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1">
        <v>89.25</v>
      </c>
      <c r="T5925" s="1">
        <v>487.05</v>
      </c>
      <c r="U5925" s="1">
        <v>0.0</v>
      </c>
      <c r="V5925" s="1">
        <v>0.0</v>
      </c>
      <c r="W5925" s="1" t="s">
        <v>26</v>
      </c>
    </row>
    <row r="5926" ht="15.75" customHeight="1">
      <c r="A5926" s="1" t="s">
        <v>5963</v>
      </c>
      <c r="B5926" s="1" t="s">
        <v>32</v>
      </c>
      <c r="C5926" s="1">
        <v>0.0</v>
      </c>
      <c r="D5926" s="1" t="s">
        <v>25</v>
      </c>
      <c r="E5926" s="1" t="s">
        <v>25</v>
      </c>
      <c r="F5926" s="1">
        <v>62.0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1">
        <v>20.65</v>
      </c>
      <c r="T5926" s="1">
        <v>1218.45</v>
      </c>
      <c r="U5926" s="1">
        <v>0.0</v>
      </c>
      <c r="V5926" s="1">
        <v>0.0</v>
      </c>
      <c r="W5926" s="1" t="s">
        <v>26</v>
      </c>
    </row>
    <row r="5927" ht="15.75" customHeight="1">
      <c r="A5927" s="1" t="s">
        <v>5964</v>
      </c>
      <c r="B5927" s="1" t="s">
        <v>32</v>
      </c>
      <c r="C5927" s="1">
        <v>0.0</v>
      </c>
      <c r="D5927" s="1" t="s">
        <v>26</v>
      </c>
      <c r="E5927" s="1" t="s">
        <v>26</v>
      </c>
      <c r="F5927" s="1">
        <v>20.0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1">
        <v>68.7</v>
      </c>
      <c r="T5927" s="1">
        <v>1416.2</v>
      </c>
      <c r="U5927" s="1">
        <v>0.0</v>
      </c>
      <c r="V5927" s="1">
        <v>1.0</v>
      </c>
      <c r="W5927" s="1" t="s">
        <v>26</v>
      </c>
    </row>
    <row r="5928" ht="15.75" customHeight="1">
      <c r="A5928" s="1" t="s">
        <v>5965</v>
      </c>
      <c r="B5928" s="1" t="s">
        <v>32</v>
      </c>
      <c r="C5928" s="1">
        <v>0.0</v>
      </c>
      <c r="D5928" s="1" t="s">
        <v>26</v>
      </c>
      <c r="E5928" s="1" t="s">
        <v>26</v>
      </c>
      <c r="F5928" s="1">
        <v>6.0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1">
        <v>78.65</v>
      </c>
      <c r="T5928" s="1">
        <v>483.3</v>
      </c>
      <c r="U5928" s="1">
        <v>3.0</v>
      </c>
      <c r="V5928" s="1">
        <v>0.0</v>
      </c>
      <c r="W5928" s="1" t="s">
        <v>26</v>
      </c>
    </row>
    <row r="5929" ht="15.75" customHeight="1">
      <c r="A5929" s="1" t="s">
        <v>5966</v>
      </c>
      <c r="B5929" s="1" t="s">
        <v>32</v>
      </c>
      <c r="C5929" s="1">
        <v>0.0</v>
      </c>
      <c r="D5929" s="1" t="s">
        <v>26</v>
      </c>
      <c r="E5929" s="1" t="s">
        <v>26</v>
      </c>
      <c r="F5929" s="1">
        <v>51.0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1">
        <v>24.75</v>
      </c>
      <c r="T5929" s="1">
        <v>1234.6</v>
      </c>
      <c r="U5929" s="1">
        <v>0.0</v>
      </c>
      <c r="V5929" s="1">
        <v>0.0</v>
      </c>
      <c r="W5929" s="1" t="s">
        <v>26</v>
      </c>
    </row>
    <row r="5930" ht="15.75" customHeight="1">
      <c r="A5930" s="1" t="s">
        <v>5967</v>
      </c>
      <c r="B5930" s="1" t="s">
        <v>24</v>
      </c>
      <c r="C5930" s="1">
        <v>0.0</v>
      </c>
      <c r="D5930" s="1" t="s">
        <v>25</v>
      </c>
      <c r="E5930" s="1" t="s">
        <v>25</v>
      </c>
      <c r="F5930" s="1">
        <v>61.0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1">
        <v>19.75</v>
      </c>
      <c r="T5930" s="1">
        <v>1311.6</v>
      </c>
      <c r="U5930" s="1">
        <v>0.0</v>
      </c>
      <c r="V5930" s="1">
        <v>0.0</v>
      </c>
      <c r="W5930" s="1" t="s">
        <v>26</v>
      </c>
    </row>
    <row r="5931" ht="15.75" customHeight="1">
      <c r="A5931" s="1" t="s">
        <v>5968</v>
      </c>
      <c r="B5931" s="1" t="s">
        <v>32</v>
      </c>
      <c r="C5931" s="1">
        <v>1.0</v>
      </c>
      <c r="D5931" s="1" t="s">
        <v>25</v>
      </c>
      <c r="E5931" s="1" t="s">
        <v>26</v>
      </c>
      <c r="F5931" s="1">
        <v>62.0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1">
        <v>89.1</v>
      </c>
      <c r="T5931" s="1">
        <v>5618.3</v>
      </c>
      <c r="U5931" s="1">
        <v>0.0</v>
      </c>
      <c r="V5931" s="1">
        <v>3.0</v>
      </c>
      <c r="W5931" s="1" t="s">
        <v>26</v>
      </c>
    </row>
    <row r="5932" ht="15.75" customHeight="1">
      <c r="A5932" s="1" t="s">
        <v>5969</v>
      </c>
      <c r="B5932" s="1" t="s">
        <v>24</v>
      </c>
      <c r="C5932" s="1">
        <v>0.0</v>
      </c>
      <c r="D5932" s="1" t="s">
        <v>26</v>
      </c>
      <c r="E5932" s="1" t="s">
        <v>26</v>
      </c>
      <c r="F5932" s="1">
        <v>72.0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1">
        <v>84.7</v>
      </c>
      <c r="T5932" s="1">
        <v>6185.15</v>
      </c>
      <c r="U5932" s="1">
        <v>3.0</v>
      </c>
      <c r="V5932" s="1">
        <v>0.0</v>
      </c>
      <c r="W5932" s="1" t="s">
        <v>26</v>
      </c>
    </row>
    <row r="5933" ht="15.75" customHeight="1">
      <c r="A5933" s="1" t="s">
        <v>5970</v>
      </c>
      <c r="B5933" s="1" t="s">
        <v>32</v>
      </c>
      <c r="C5933" s="1">
        <v>1.0</v>
      </c>
      <c r="D5933" s="1" t="s">
        <v>25</v>
      </c>
      <c r="E5933" s="1" t="s">
        <v>26</v>
      </c>
      <c r="F5933" s="1">
        <v>13.0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1">
        <v>98.0</v>
      </c>
      <c r="T5933" s="1">
        <v>1237.85</v>
      </c>
      <c r="U5933" s="1">
        <v>0.0</v>
      </c>
      <c r="V5933" s="1">
        <v>2.0</v>
      </c>
      <c r="W5933" s="1" t="s">
        <v>25</v>
      </c>
    </row>
    <row r="5934" ht="15.75" customHeight="1">
      <c r="A5934" s="1" t="s">
        <v>5971</v>
      </c>
      <c r="B5934" s="1" t="s">
        <v>32</v>
      </c>
      <c r="C5934" s="1">
        <v>0.0</v>
      </c>
      <c r="D5934" s="1" t="s">
        <v>25</v>
      </c>
      <c r="E5934" s="1" t="s">
        <v>26</v>
      </c>
      <c r="F5934" s="1">
        <v>5.0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1">
        <v>94.45</v>
      </c>
      <c r="T5934" s="1">
        <v>498.1</v>
      </c>
      <c r="U5934" s="1">
        <v>3.0</v>
      </c>
      <c r="V5934" s="1">
        <v>2.0</v>
      </c>
      <c r="W5934" s="1" t="s">
        <v>25</v>
      </c>
    </row>
    <row r="5935" ht="15.75" customHeight="1">
      <c r="A5935" s="1" t="s">
        <v>5972</v>
      </c>
      <c r="B5935" s="1" t="s">
        <v>32</v>
      </c>
      <c r="C5935" s="1">
        <v>1.0</v>
      </c>
      <c r="D5935" s="1" t="s">
        <v>26</v>
      </c>
      <c r="E5935" s="1" t="s">
        <v>26</v>
      </c>
      <c r="F5935" s="1">
        <v>3.0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1">
        <v>105.0</v>
      </c>
      <c r="T5935" s="1">
        <v>294.45</v>
      </c>
      <c r="U5935" s="1">
        <v>0.0</v>
      </c>
      <c r="V5935" s="1">
        <v>0.0</v>
      </c>
      <c r="W5935" s="1" t="s">
        <v>25</v>
      </c>
    </row>
    <row r="5936" ht="15.75" customHeight="1">
      <c r="A5936" s="1" t="s">
        <v>5973</v>
      </c>
      <c r="B5936" s="1" t="s">
        <v>24</v>
      </c>
      <c r="C5936" s="1">
        <v>1.0</v>
      </c>
      <c r="D5936" s="1" t="s">
        <v>25</v>
      </c>
      <c r="E5936" s="1" t="s">
        <v>26</v>
      </c>
      <c r="F5936" s="1">
        <v>26.0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1">
        <v>93.85</v>
      </c>
      <c r="T5936" s="1">
        <v>2381.55</v>
      </c>
      <c r="U5936" s="1">
        <v>0.0</v>
      </c>
      <c r="V5936" s="1">
        <v>2.0</v>
      </c>
      <c r="W5936" s="1" t="s">
        <v>25</v>
      </c>
    </row>
    <row r="5937" ht="15.75" customHeight="1">
      <c r="A5937" s="1" t="s">
        <v>5974</v>
      </c>
      <c r="B5937" s="1" t="s">
        <v>32</v>
      </c>
      <c r="C5937" s="1">
        <v>1.0</v>
      </c>
      <c r="D5937" s="1" t="s">
        <v>26</v>
      </c>
      <c r="E5937" s="1" t="s">
        <v>26</v>
      </c>
      <c r="F5937" s="1">
        <v>13.0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1">
        <v>59.9</v>
      </c>
      <c r="T5937" s="1">
        <v>788.35</v>
      </c>
      <c r="U5937" s="1">
        <v>1.0</v>
      </c>
      <c r="V5937" s="1">
        <v>0.0</v>
      </c>
      <c r="W5937" s="1" t="s">
        <v>26</v>
      </c>
    </row>
    <row r="5938" ht="15.75" customHeight="1">
      <c r="A5938" s="1" t="s">
        <v>5975</v>
      </c>
      <c r="B5938" s="1" t="s">
        <v>24</v>
      </c>
      <c r="C5938" s="1">
        <v>0.0</v>
      </c>
      <c r="D5938" s="1" t="s">
        <v>25</v>
      </c>
      <c r="E5938" s="1" t="s">
        <v>25</v>
      </c>
      <c r="F5938" s="1">
        <v>38.0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1">
        <v>19.95</v>
      </c>
      <c r="T5938" s="1">
        <v>756.4</v>
      </c>
      <c r="U5938" s="1">
        <v>0.0</v>
      </c>
      <c r="V5938" s="1">
        <v>0.0</v>
      </c>
      <c r="W5938" s="1" t="s">
        <v>26</v>
      </c>
    </row>
    <row r="5939" ht="15.75" customHeight="1">
      <c r="A5939" s="1" t="s">
        <v>5976</v>
      </c>
      <c r="B5939" s="1" t="s">
        <v>24</v>
      </c>
      <c r="C5939" s="1">
        <v>1.0</v>
      </c>
      <c r="D5939" s="1" t="s">
        <v>25</v>
      </c>
      <c r="E5939" s="1" t="s">
        <v>26</v>
      </c>
      <c r="F5939" s="1">
        <v>8.0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1">
        <v>84.0</v>
      </c>
      <c r="T5939" s="1">
        <v>613.4</v>
      </c>
      <c r="U5939" s="1">
        <v>0.0</v>
      </c>
      <c r="V5939" s="1">
        <v>0.0</v>
      </c>
      <c r="W5939" s="1" t="s">
        <v>25</v>
      </c>
    </row>
    <row r="5940" ht="15.75" customHeight="1">
      <c r="A5940" s="1" t="s">
        <v>5977</v>
      </c>
      <c r="B5940" s="1" t="s">
        <v>32</v>
      </c>
      <c r="C5940" s="1">
        <v>1.0</v>
      </c>
      <c r="D5940" s="1" t="s">
        <v>25</v>
      </c>
      <c r="E5940" s="1" t="s">
        <v>25</v>
      </c>
      <c r="F5940" s="1">
        <v>34.0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1">
        <v>108.9</v>
      </c>
      <c r="T5940" s="1">
        <v>3625.2</v>
      </c>
      <c r="U5940" s="1">
        <v>0.0</v>
      </c>
      <c r="V5940" s="1">
        <v>0.0</v>
      </c>
      <c r="W5940" s="1" t="s">
        <v>26</v>
      </c>
    </row>
    <row r="5941" ht="15.75" customHeight="1">
      <c r="A5941" s="1" t="s">
        <v>5978</v>
      </c>
      <c r="B5941" s="1" t="s">
        <v>32</v>
      </c>
      <c r="C5941" s="1">
        <v>0.0</v>
      </c>
      <c r="D5941" s="1" t="s">
        <v>26</v>
      </c>
      <c r="E5941" s="1" t="s">
        <v>26</v>
      </c>
      <c r="F5941" s="1">
        <v>18.0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1">
        <v>33.6</v>
      </c>
      <c r="T5941" s="1">
        <v>550.35</v>
      </c>
      <c r="U5941" s="1">
        <v>4.0</v>
      </c>
      <c r="V5941" s="1">
        <v>0.0</v>
      </c>
      <c r="W5941" s="1" t="s">
        <v>26</v>
      </c>
    </row>
    <row r="5942" ht="15.75" customHeight="1">
      <c r="A5942" s="1" t="s">
        <v>5979</v>
      </c>
      <c r="B5942" s="1" t="s">
        <v>32</v>
      </c>
      <c r="C5942" s="1">
        <v>0.0</v>
      </c>
      <c r="D5942" s="1" t="s">
        <v>25</v>
      </c>
      <c r="E5942" s="1" t="s">
        <v>25</v>
      </c>
      <c r="F5942" s="1">
        <v>56.0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1">
        <v>85.85</v>
      </c>
      <c r="T5942" s="1">
        <v>4793.8</v>
      </c>
      <c r="U5942" s="1">
        <v>0.0</v>
      </c>
      <c r="V5942" s="1">
        <v>0.0</v>
      </c>
      <c r="W5942" s="1" t="s">
        <v>26</v>
      </c>
    </row>
    <row r="5943" ht="15.75" customHeight="1">
      <c r="A5943" s="1" t="s">
        <v>5980</v>
      </c>
      <c r="B5943" s="1" t="s">
        <v>24</v>
      </c>
      <c r="C5943" s="1">
        <v>0.0</v>
      </c>
      <c r="D5943" s="1" t="s">
        <v>26</v>
      </c>
      <c r="E5943" s="1" t="s">
        <v>26</v>
      </c>
      <c r="F5943" s="1">
        <v>36.0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1">
        <v>34.85</v>
      </c>
      <c r="T5943" s="1">
        <v>1267.2</v>
      </c>
      <c r="U5943" s="1">
        <v>0.0</v>
      </c>
      <c r="V5943" s="1">
        <v>0.0</v>
      </c>
      <c r="W5943" s="1" t="s">
        <v>26</v>
      </c>
    </row>
    <row r="5944" ht="15.75" customHeight="1">
      <c r="A5944" s="1" t="s">
        <v>5981</v>
      </c>
      <c r="B5944" s="1" t="s">
        <v>24</v>
      </c>
      <c r="C5944" s="1">
        <v>0.0</v>
      </c>
      <c r="D5944" s="1" t="s">
        <v>25</v>
      </c>
      <c r="E5944" s="1" t="s">
        <v>26</v>
      </c>
      <c r="F5944" s="1">
        <v>9.0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1">
        <v>48.75</v>
      </c>
      <c r="T5944" s="1">
        <v>442.2</v>
      </c>
      <c r="U5944" s="1">
        <v>0.0</v>
      </c>
      <c r="V5944" s="1">
        <v>0.0</v>
      </c>
      <c r="W5944" s="1" t="s">
        <v>25</v>
      </c>
    </row>
    <row r="5945" ht="15.75" customHeight="1">
      <c r="A5945" s="1" t="s">
        <v>5982</v>
      </c>
      <c r="B5945" s="1" t="s">
        <v>32</v>
      </c>
      <c r="C5945" s="1">
        <v>0.0</v>
      </c>
      <c r="D5945" s="1" t="s">
        <v>26</v>
      </c>
      <c r="E5945" s="1" t="s">
        <v>26</v>
      </c>
      <c r="F5945" s="1">
        <v>1.0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1">
        <v>84.85</v>
      </c>
      <c r="T5945" s="1">
        <v>84.85</v>
      </c>
      <c r="U5945" s="1">
        <v>0.0</v>
      </c>
      <c r="V5945" s="1">
        <v>0.0</v>
      </c>
      <c r="W5945" s="1" t="s">
        <v>25</v>
      </c>
    </row>
    <row r="5946" ht="15.75" customHeight="1">
      <c r="A5946" s="1" t="s">
        <v>5983</v>
      </c>
      <c r="B5946" s="1" t="s">
        <v>32</v>
      </c>
      <c r="C5946" s="1">
        <v>0.0</v>
      </c>
      <c r="D5946" s="1" t="s">
        <v>26</v>
      </c>
      <c r="E5946" s="1" t="s">
        <v>26</v>
      </c>
      <c r="F5946" s="1">
        <v>12.0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1">
        <v>56.65</v>
      </c>
      <c r="T5946" s="1">
        <v>654.85</v>
      </c>
      <c r="U5946" s="1">
        <v>0.0</v>
      </c>
      <c r="V5946" s="1">
        <v>0.0</v>
      </c>
      <c r="W5946" s="1" t="s">
        <v>25</v>
      </c>
    </row>
    <row r="5947" ht="15.75" customHeight="1">
      <c r="A5947" s="1" t="s">
        <v>5984</v>
      </c>
      <c r="B5947" s="1" t="s">
        <v>24</v>
      </c>
      <c r="C5947" s="1">
        <v>1.0</v>
      </c>
      <c r="D5947" s="1" t="s">
        <v>25</v>
      </c>
      <c r="E5947" s="1" t="s">
        <v>25</v>
      </c>
      <c r="F5947" s="1">
        <v>57.0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1">
        <v>95.3</v>
      </c>
      <c r="T5947" s="1">
        <v>5567.45</v>
      </c>
      <c r="U5947" s="1">
        <v>0.0</v>
      </c>
      <c r="V5947" s="1">
        <v>0.0</v>
      </c>
      <c r="W5947" s="1" t="s">
        <v>26</v>
      </c>
    </row>
    <row r="5948" ht="15.75" customHeight="1">
      <c r="A5948" s="1" t="s">
        <v>5985</v>
      </c>
      <c r="B5948" s="1" t="s">
        <v>24</v>
      </c>
      <c r="C5948" s="1">
        <v>0.0</v>
      </c>
      <c r="D5948" s="1" t="s">
        <v>26</v>
      </c>
      <c r="E5948" s="1" t="s">
        <v>26</v>
      </c>
      <c r="F5948" s="1">
        <v>42.0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1">
        <v>73.9</v>
      </c>
      <c r="T5948" s="1">
        <v>3160.55</v>
      </c>
      <c r="U5948" s="1">
        <v>0.0</v>
      </c>
      <c r="V5948" s="1">
        <v>4.0</v>
      </c>
      <c r="W5948" s="1" t="s">
        <v>25</v>
      </c>
    </row>
    <row r="5949" ht="15.75" customHeight="1">
      <c r="A5949" s="1" t="s">
        <v>5986</v>
      </c>
      <c r="B5949" s="1" t="s">
        <v>24</v>
      </c>
      <c r="C5949" s="1">
        <v>0.0</v>
      </c>
      <c r="D5949" s="1" t="s">
        <v>25</v>
      </c>
      <c r="E5949" s="1" t="s">
        <v>25</v>
      </c>
      <c r="F5949" s="1">
        <v>33.0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1">
        <v>24.5</v>
      </c>
      <c r="T5949" s="1">
        <v>740.3</v>
      </c>
      <c r="U5949" s="1">
        <v>0.0</v>
      </c>
      <c r="V5949" s="1">
        <v>0.0</v>
      </c>
      <c r="W5949" s="1" t="s">
        <v>25</v>
      </c>
    </row>
    <row r="5950" ht="15.75" customHeight="1">
      <c r="A5950" s="1" t="s">
        <v>5987</v>
      </c>
      <c r="B5950" s="1" t="s">
        <v>32</v>
      </c>
      <c r="C5950" s="1">
        <v>0.0</v>
      </c>
      <c r="D5950" s="1" t="s">
        <v>25</v>
      </c>
      <c r="E5950" s="1" t="s">
        <v>26</v>
      </c>
      <c r="F5950" s="1">
        <v>70.0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1">
        <v>84.6</v>
      </c>
      <c r="T5950" s="1">
        <v>5706.2</v>
      </c>
      <c r="U5950" s="1">
        <v>0.0</v>
      </c>
      <c r="V5950" s="1">
        <v>0.0</v>
      </c>
      <c r="W5950" s="1" t="s">
        <v>26</v>
      </c>
    </row>
    <row r="5951" ht="15.75" customHeight="1">
      <c r="A5951" s="1" t="s">
        <v>5988</v>
      </c>
      <c r="B5951" s="1" t="s">
        <v>24</v>
      </c>
      <c r="C5951" s="1">
        <v>0.0</v>
      </c>
      <c r="D5951" s="1" t="s">
        <v>26</v>
      </c>
      <c r="E5951" s="1" t="s">
        <v>26</v>
      </c>
      <c r="F5951" s="1">
        <v>68.0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1">
        <v>44.95</v>
      </c>
      <c r="T5951" s="1">
        <v>3085.35</v>
      </c>
      <c r="U5951" s="1">
        <v>0.0</v>
      </c>
      <c r="V5951" s="1">
        <v>0.0</v>
      </c>
      <c r="W5951" s="1" t="s">
        <v>26</v>
      </c>
    </row>
    <row r="5952" ht="15.75" customHeight="1">
      <c r="A5952" s="1" t="s">
        <v>5989</v>
      </c>
      <c r="B5952" s="1" t="s">
        <v>32</v>
      </c>
      <c r="C5952" s="1">
        <v>0.0</v>
      </c>
      <c r="D5952" s="1" t="s">
        <v>26</v>
      </c>
      <c r="E5952" s="1" t="s">
        <v>25</v>
      </c>
      <c r="F5952" s="1">
        <v>1.0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1">
        <v>24.7</v>
      </c>
      <c r="T5952" s="1">
        <v>24.7</v>
      </c>
      <c r="U5952" s="1">
        <v>1.0</v>
      </c>
      <c r="V5952" s="1">
        <v>0.0</v>
      </c>
      <c r="W5952" s="1" t="s">
        <v>26</v>
      </c>
    </row>
    <row r="5953" ht="15.75" customHeight="1">
      <c r="A5953" s="1" t="s">
        <v>5990</v>
      </c>
      <c r="B5953" s="1" t="s">
        <v>24</v>
      </c>
      <c r="C5953" s="1">
        <v>0.0</v>
      </c>
      <c r="D5953" s="1" t="s">
        <v>26</v>
      </c>
      <c r="E5953" s="1" t="s">
        <v>26</v>
      </c>
      <c r="F5953" s="1">
        <v>37.0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1">
        <v>100.3</v>
      </c>
      <c r="T5953" s="1">
        <v>3541.4</v>
      </c>
      <c r="U5953" s="1">
        <v>5.0</v>
      </c>
      <c r="V5953" s="1">
        <v>2.0</v>
      </c>
      <c r="W5953" s="1" t="s">
        <v>26</v>
      </c>
    </row>
    <row r="5954" ht="15.75" customHeight="1">
      <c r="A5954" s="1" t="s">
        <v>5991</v>
      </c>
      <c r="B5954" s="1" t="s">
        <v>24</v>
      </c>
      <c r="C5954" s="1">
        <v>0.0</v>
      </c>
      <c r="D5954" s="1" t="s">
        <v>26</v>
      </c>
      <c r="E5954" s="1" t="s">
        <v>25</v>
      </c>
      <c r="F5954" s="1">
        <v>4.0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1">
        <v>25.45</v>
      </c>
      <c r="T5954" s="1">
        <v>84.2</v>
      </c>
      <c r="U5954" s="1">
        <v>0.0</v>
      </c>
      <c r="V5954" s="1">
        <v>0.0</v>
      </c>
      <c r="W5954" s="1" t="s">
        <v>26</v>
      </c>
    </row>
    <row r="5955" ht="15.75" customHeight="1">
      <c r="A5955" s="1" t="s">
        <v>5992</v>
      </c>
      <c r="B5955" s="1" t="s">
        <v>32</v>
      </c>
      <c r="C5955" s="1">
        <v>0.0</v>
      </c>
      <c r="D5955" s="1" t="s">
        <v>26</v>
      </c>
      <c r="E5955" s="1" t="s">
        <v>26</v>
      </c>
      <c r="F5955" s="1">
        <v>1.0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1">
        <v>50.7</v>
      </c>
      <c r="T5955" s="1">
        <v>50.7</v>
      </c>
      <c r="U5955" s="1">
        <v>0.0</v>
      </c>
      <c r="V5955" s="1">
        <v>0.0</v>
      </c>
      <c r="W5955" s="1" t="s">
        <v>26</v>
      </c>
    </row>
    <row r="5956" ht="15.75" customHeight="1">
      <c r="A5956" s="1" t="s">
        <v>5993</v>
      </c>
      <c r="B5956" s="1" t="s">
        <v>32</v>
      </c>
      <c r="C5956" s="1">
        <v>0.0</v>
      </c>
      <c r="D5956" s="1" t="s">
        <v>26</v>
      </c>
      <c r="E5956" s="1" t="s">
        <v>26</v>
      </c>
      <c r="F5956" s="1">
        <v>20.0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1">
        <v>55.0</v>
      </c>
      <c r="T5956" s="1">
        <v>1165.55</v>
      </c>
      <c r="U5956" s="1">
        <v>0.0</v>
      </c>
      <c r="V5956" s="1">
        <v>0.0</v>
      </c>
      <c r="W5956" s="1" t="s">
        <v>26</v>
      </c>
    </row>
    <row r="5957" ht="15.75" customHeight="1">
      <c r="A5957" s="1" t="s">
        <v>5994</v>
      </c>
      <c r="B5957" s="1" t="s">
        <v>32</v>
      </c>
      <c r="C5957" s="1">
        <v>0.0</v>
      </c>
      <c r="D5957" s="1" t="s">
        <v>25</v>
      </c>
      <c r="E5957" s="1" t="s">
        <v>25</v>
      </c>
      <c r="F5957" s="1">
        <v>72.0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1">
        <v>68.4</v>
      </c>
      <c r="T5957" s="1">
        <v>4855.35</v>
      </c>
      <c r="U5957" s="1">
        <v>0.0</v>
      </c>
      <c r="V5957" s="1">
        <v>0.0</v>
      </c>
      <c r="W5957" s="1" t="s">
        <v>26</v>
      </c>
    </row>
    <row r="5958" ht="15.75" customHeight="1">
      <c r="A5958" s="1" t="s">
        <v>5995</v>
      </c>
      <c r="B5958" s="1" t="s">
        <v>24</v>
      </c>
      <c r="C5958" s="1">
        <v>0.0</v>
      </c>
      <c r="D5958" s="1" t="s">
        <v>26</v>
      </c>
      <c r="E5958" s="1" t="s">
        <v>26</v>
      </c>
      <c r="F5958" s="1">
        <v>31.0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1">
        <v>89.9</v>
      </c>
      <c r="T5958" s="1">
        <v>2806.9</v>
      </c>
      <c r="U5958" s="1">
        <v>0.0</v>
      </c>
      <c r="V5958" s="1">
        <v>5.0</v>
      </c>
      <c r="W5958" s="1" t="s">
        <v>25</v>
      </c>
    </row>
    <row r="5959" ht="15.75" customHeight="1">
      <c r="A5959" s="1" t="s">
        <v>5996</v>
      </c>
      <c r="B5959" s="1" t="s">
        <v>32</v>
      </c>
      <c r="C5959" s="1">
        <v>1.0</v>
      </c>
      <c r="D5959" s="1" t="s">
        <v>25</v>
      </c>
      <c r="E5959" s="1" t="s">
        <v>26</v>
      </c>
      <c r="F5959" s="1">
        <v>18.0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1">
        <v>78.55</v>
      </c>
      <c r="T5959" s="1">
        <v>1422.65</v>
      </c>
      <c r="U5959" s="1">
        <v>0.0</v>
      </c>
      <c r="V5959" s="1">
        <v>0.0</v>
      </c>
      <c r="W5959" s="1" t="s">
        <v>25</v>
      </c>
    </row>
    <row r="5960" ht="15.75" customHeight="1">
      <c r="A5960" s="1" t="s">
        <v>5997</v>
      </c>
      <c r="B5960" s="1" t="s">
        <v>32</v>
      </c>
      <c r="C5960" s="1">
        <v>0.0</v>
      </c>
      <c r="D5960" s="1" t="s">
        <v>25</v>
      </c>
      <c r="E5960" s="1" t="s">
        <v>26</v>
      </c>
      <c r="F5960" s="1">
        <v>11.0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1">
        <v>55.05</v>
      </c>
      <c r="T5960" s="1">
        <v>608.15</v>
      </c>
      <c r="U5960" s="1">
        <v>0.0</v>
      </c>
      <c r="V5960" s="1">
        <v>0.0</v>
      </c>
      <c r="W5960" s="1" t="s">
        <v>26</v>
      </c>
    </row>
    <row r="5961" ht="15.75" customHeight="1">
      <c r="A5961" s="1" t="s">
        <v>5998</v>
      </c>
      <c r="B5961" s="1" t="s">
        <v>24</v>
      </c>
      <c r="C5961" s="1">
        <v>0.0</v>
      </c>
      <c r="D5961" s="1" t="s">
        <v>25</v>
      </c>
      <c r="E5961" s="1" t="s">
        <v>25</v>
      </c>
      <c r="F5961" s="1">
        <v>33.0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1">
        <v>19.8</v>
      </c>
      <c r="T5961" s="1">
        <v>641.35</v>
      </c>
      <c r="U5961" s="1">
        <v>3.0</v>
      </c>
      <c r="V5961" s="1">
        <v>0.0</v>
      </c>
      <c r="W5961" s="1" t="s">
        <v>26</v>
      </c>
    </row>
    <row r="5962" ht="15.75" customHeight="1">
      <c r="A5962" s="1" t="s">
        <v>5999</v>
      </c>
      <c r="B5962" s="1" t="s">
        <v>24</v>
      </c>
      <c r="C5962" s="1">
        <v>1.0</v>
      </c>
      <c r="D5962" s="1" t="s">
        <v>26</v>
      </c>
      <c r="E5962" s="1" t="s">
        <v>26</v>
      </c>
      <c r="F5962" s="1">
        <v>62.0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1">
        <v>84.45</v>
      </c>
      <c r="T5962" s="1">
        <v>4959.15</v>
      </c>
      <c r="U5962" s="1">
        <v>0.0</v>
      </c>
      <c r="V5962" s="1">
        <v>0.0</v>
      </c>
      <c r="W5962" s="1" t="s">
        <v>26</v>
      </c>
    </row>
    <row r="5963" ht="15.75" customHeight="1">
      <c r="A5963" s="1" t="s">
        <v>6000</v>
      </c>
      <c r="B5963" s="1" t="s">
        <v>24</v>
      </c>
      <c r="C5963" s="1">
        <v>0.0</v>
      </c>
      <c r="D5963" s="1" t="s">
        <v>26</v>
      </c>
      <c r="E5963" s="1" t="s">
        <v>26</v>
      </c>
      <c r="F5963" s="1">
        <v>1.0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1">
        <v>35.9</v>
      </c>
      <c r="T5963" s="1">
        <v>35.9</v>
      </c>
      <c r="U5963" s="1">
        <v>2.0</v>
      </c>
      <c r="V5963" s="1">
        <v>0.0</v>
      </c>
      <c r="W5963" s="1" t="s">
        <v>26</v>
      </c>
    </row>
    <row r="5964" ht="15.75" customHeight="1">
      <c r="A5964" s="1" t="s">
        <v>6001</v>
      </c>
      <c r="B5964" s="1" t="s">
        <v>32</v>
      </c>
      <c r="C5964" s="1">
        <v>0.0</v>
      </c>
      <c r="D5964" s="1" t="s">
        <v>25</v>
      </c>
      <c r="E5964" s="1" t="s">
        <v>26</v>
      </c>
      <c r="F5964" s="1">
        <v>16.0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1">
        <v>80.75</v>
      </c>
      <c r="T5964" s="1">
        <v>1321.3</v>
      </c>
      <c r="U5964" s="1">
        <v>0.0</v>
      </c>
      <c r="V5964" s="1">
        <v>0.0</v>
      </c>
      <c r="W5964" s="1" t="s">
        <v>26</v>
      </c>
    </row>
    <row r="5965" ht="15.75" customHeight="1">
      <c r="A5965" s="1" t="s">
        <v>6002</v>
      </c>
      <c r="B5965" s="1" t="s">
        <v>32</v>
      </c>
      <c r="C5965" s="1">
        <v>0.0</v>
      </c>
      <c r="D5965" s="1" t="s">
        <v>25</v>
      </c>
      <c r="E5965" s="1" t="s">
        <v>25</v>
      </c>
      <c r="F5965" s="1">
        <v>22.0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1">
        <v>78.65</v>
      </c>
      <c r="T5965" s="1">
        <v>1663.75</v>
      </c>
      <c r="U5965" s="1">
        <v>0.0</v>
      </c>
      <c r="V5965" s="1">
        <v>0.0</v>
      </c>
      <c r="W5965" s="1" t="s">
        <v>26</v>
      </c>
    </row>
    <row r="5966" ht="15.75" customHeight="1">
      <c r="A5966" s="1" t="s">
        <v>6003</v>
      </c>
      <c r="B5966" s="1" t="s">
        <v>24</v>
      </c>
      <c r="C5966" s="1">
        <v>0.0</v>
      </c>
      <c r="D5966" s="1" t="s">
        <v>25</v>
      </c>
      <c r="E5966" s="1" t="s">
        <v>25</v>
      </c>
      <c r="F5966" s="1">
        <v>49.0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1">
        <v>61.75</v>
      </c>
      <c r="T5966" s="1">
        <v>3024.15</v>
      </c>
      <c r="U5966" s="1">
        <v>0.0</v>
      </c>
      <c r="V5966" s="1">
        <v>0.0</v>
      </c>
      <c r="W5966" s="1" t="s">
        <v>26</v>
      </c>
    </row>
    <row r="5967" ht="15.75" customHeight="1">
      <c r="A5967" s="1" t="s">
        <v>6004</v>
      </c>
      <c r="B5967" s="1" t="s">
        <v>32</v>
      </c>
      <c r="C5967" s="1">
        <v>0.0</v>
      </c>
      <c r="D5967" s="1" t="s">
        <v>25</v>
      </c>
      <c r="E5967" s="1" t="s">
        <v>25</v>
      </c>
      <c r="F5967" s="1">
        <v>36.0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1">
        <v>63.7</v>
      </c>
      <c r="T5967" s="1">
        <v>2188.5</v>
      </c>
      <c r="U5967" s="1">
        <v>0.0</v>
      </c>
      <c r="V5967" s="1">
        <v>0.0</v>
      </c>
      <c r="W5967" s="1" t="s">
        <v>26</v>
      </c>
    </row>
    <row r="5968" ht="15.75" customHeight="1">
      <c r="A5968" s="1" t="s">
        <v>6005</v>
      </c>
      <c r="B5968" s="1" t="s">
        <v>32</v>
      </c>
      <c r="C5968" s="1">
        <v>0.0</v>
      </c>
      <c r="D5968" s="1" t="s">
        <v>25</v>
      </c>
      <c r="E5968" s="1" t="s">
        <v>26</v>
      </c>
      <c r="F5968" s="1">
        <v>42.0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1">
        <v>99.45</v>
      </c>
      <c r="T5968" s="1">
        <v>4138.05</v>
      </c>
      <c r="U5968" s="1">
        <v>0.0</v>
      </c>
      <c r="V5968" s="1">
        <v>4.0</v>
      </c>
      <c r="W5968" s="1" t="s">
        <v>25</v>
      </c>
    </row>
    <row r="5969" ht="15.75" customHeight="1">
      <c r="A5969" s="1" t="s">
        <v>6006</v>
      </c>
      <c r="B5969" s="1" t="s">
        <v>32</v>
      </c>
      <c r="C5969" s="1">
        <v>1.0</v>
      </c>
      <c r="D5969" s="1" t="s">
        <v>26</v>
      </c>
      <c r="E5969" s="1" t="s">
        <v>26</v>
      </c>
      <c r="F5969" s="1">
        <v>4.0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1">
        <v>25.2</v>
      </c>
      <c r="T5969" s="1">
        <v>102.5</v>
      </c>
      <c r="U5969" s="1">
        <v>0.0</v>
      </c>
      <c r="V5969" s="1">
        <v>0.0</v>
      </c>
      <c r="W5969" s="1" t="s">
        <v>25</v>
      </c>
    </row>
    <row r="5970" ht="15.75" customHeight="1">
      <c r="A5970" s="1" t="s">
        <v>6007</v>
      </c>
      <c r="B5970" s="1" t="s">
        <v>24</v>
      </c>
      <c r="C5970" s="1">
        <v>0.0</v>
      </c>
      <c r="D5970" s="1" t="s">
        <v>26</v>
      </c>
      <c r="E5970" s="1" t="s">
        <v>26</v>
      </c>
      <c r="F5970" s="1">
        <v>12.0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1">
        <v>74.05</v>
      </c>
      <c r="T5970" s="1">
        <v>872.65</v>
      </c>
      <c r="U5970" s="1">
        <v>2.0</v>
      </c>
      <c r="V5970" s="1">
        <v>0.0</v>
      </c>
      <c r="W5970" s="1" t="s">
        <v>25</v>
      </c>
    </row>
    <row r="5971" ht="15.75" customHeight="1">
      <c r="A5971" s="1" t="s">
        <v>6008</v>
      </c>
      <c r="B5971" s="1" t="s">
        <v>24</v>
      </c>
      <c r="C5971" s="1">
        <v>0.0</v>
      </c>
      <c r="D5971" s="1" t="s">
        <v>26</v>
      </c>
      <c r="E5971" s="1" t="s">
        <v>26</v>
      </c>
      <c r="F5971" s="1">
        <v>31.0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1">
        <v>87.6</v>
      </c>
      <c r="T5971" s="1">
        <v>2724.25</v>
      </c>
      <c r="U5971" s="1">
        <v>0.0</v>
      </c>
      <c r="V5971" s="1">
        <v>0.0</v>
      </c>
      <c r="W5971" s="1" t="s">
        <v>26</v>
      </c>
    </row>
    <row r="5972" ht="15.75" customHeight="1">
      <c r="A5972" s="1" t="s">
        <v>6009</v>
      </c>
      <c r="B5972" s="1" t="s">
        <v>32</v>
      </c>
      <c r="C5972" s="1">
        <v>0.0</v>
      </c>
      <c r="D5972" s="1" t="s">
        <v>25</v>
      </c>
      <c r="E5972" s="1" t="s">
        <v>26</v>
      </c>
      <c r="F5972" s="1">
        <v>5.0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1">
        <v>89.15</v>
      </c>
      <c r="T5972" s="1">
        <v>413.25</v>
      </c>
      <c r="U5972" s="1">
        <v>0.0</v>
      </c>
      <c r="V5972" s="1">
        <v>0.0</v>
      </c>
      <c r="W5972" s="1" t="s">
        <v>26</v>
      </c>
    </row>
    <row r="5973" ht="15.75" customHeight="1">
      <c r="A5973" s="1" t="s">
        <v>6010</v>
      </c>
      <c r="B5973" s="1" t="s">
        <v>32</v>
      </c>
      <c r="C5973" s="1">
        <v>0.0</v>
      </c>
      <c r="D5973" s="1" t="s">
        <v>25</v>
      </c>
      <c r="E5973" s="1" t="s">
        <v>25</v>
      </c>
      <c r="F5973" s="1">
        <v>66.0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1">
        <v>20.0</v>
      </c>
      <c r="T5973" s="1">
        <v>1374.2</v>
      </c>
      <c r="U5973" s="1">
        <v>0.0</v>
      </c>
      <c r="V5973" s="1">
        <v>0.0</v>
      </c>
      <c r="W5973" s="1" t="s">
        <v>26</v>
      </c>
    </row>
    <row r="5974" ht="15.75" customHeight="1">
      <c r="A5974" s="1" t="s">
        <v>6011</v>
      </c>
      <c r="B5974" s="1" t="s">
        <v>24</v>
      </c>
      <c r="C5974" s="1">
        <v>1.0</v>
      </c>
      <c r="D5974" s="1" t="s">
        <v>26</v>
      </c>
      <c r="E5974" s="1" t="s">
        <v>26</v>
      </c>
      <c r="F5974" s="1">
        <v>15.0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1">
        <v>55.0</v>
      </c>
      <c r="T5974" s="1">
        <v>757.1</v>
      </c>
      <c r="U5974" s="1">
        <v>0.0</v>
      </c>
      <c r="V5974" s="1">
        <v>1.0</v>
      </c>
      <c r="W5974" s="1" t="s">
        <v>25</v>
      </c>
    </row>
    <row r="5975" ht="15.75" customHeight="1">
      <c r="A5975" s="1" t="s">
        <v>6012</v>
      </c>
      <c r="B5975" s="1" t="s">
        <v>32</v>
      </c>
      <c r="C5975" s="1">
        <v>0.0</v>
      </c>
      <c r="D5975" s="1" t="s">
        <v>26</v>
      </c>
      <c r="E5975" s="1" t="s">
        <v>26</v>
      </c>
      <c r="F5975" s="1">
        <v>64.0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1">
        <v>104.4</v>
      </c>
      <c r="T5975" s="1">
        <v>6692.65</v>
      </c>
      <c r="U5975" s="1">
        <v>0.0</v>
      </c>
      <c r="V5975" s="1">
        <v>0.0</v>
      </c>
      <c r="W5975" s="1" t="s">
        <v>26</v>
      </c>
    </row>
    <row r="5976" ht="15.75" customHeight="1">
      <c r="A5976" s="1" t="s">
        <v>6013</v>
      </c>
      <c r="B5976" s="1" t="s">
        <v>32</v>
      </c>
      <c r="C5976" s="1">
        <v>0.0</v>
      </c>
      <c r="D5976" s="1" t="s">
        <v>25</v>
      </c>
      <c r="E5976" s="1" t="s">
        <v>25</v>
      </c>
      <c r="F5976" s="1">
        <v>10.0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1">
        <v>20.05</v>
      </c>
      <c r="T5976" s="1">
        <v>218.5</v>
      </c>
      <c r="U5976" s="1">
        <v>0.0</v>
      </c>
      <c r="V5976" s="1">
        <v>0.0</v>
      </c>
      <c r="W5976" s="1" t="s">
        <v>26</v>
      </c>
    </row>
    <row r="5977" ht="15.75" customHeight="1">
      <c r="A5977" s="1" t="s">
        <v>6014</v>
      </c>
      <c r="B5977" s="1" t="s">
        <v>32</v>
      </c>
      <c r="C5977" s="1">
        <v>0.0</v>
      </c>
      <c r="D5977" s="1" t="s">
        <v>25</v>
      </c>
      <c r="E5977" s="1" t="s">
        <v>25</v>
      </c>
      <c r="F5977" s="1">
        <v>7.0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1">
        <v>89.75</v>
      </c>
      <c r="T5977" s="1">
        <v>608.8</v>
      </c>
      <c r="U5977" s="1">
        <v>0.0</v>
      </c>
      <c r="V5977" s="1">
        <v>1.0</v>
      </c>
      <c r="W5977" s="1" t="s">
        <v>25</v>
      </c>
    </row>
    <row r="5978" ht="15.75" customHeight="1">
      <c r="A5978" s="1" t="s">
        <v>6015</v>
      </c>
      <c r="B5978" s="1" t="s">
        <v>32</v>
      </c>
      <c r="C5978" s="1">
        <v>0.0</v>
      </c>
      <c r="D5978" s="1" t="s">
        <v>26</v>
      </c>
      <c r="E5978" s="1" t="s">
        <v>26</v>
      </c>
      <c r="F5978" s="1">
        <v>29.0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1">
        <v>34.3</v>
      </c>
      <c r="T5978" s="1">
        <v>1004.75</v>
      </c>
      <c r="U5978" s="1">
        <v>0.0</v>
      </c>
      <c r="V5978" s="1">
        <v>0.0</v>
      </c>
      <c r="W5978" s="1" t="s">
        <v>26</v>
      </c>
    </row>
    <row r="5979" ht="15.75" customHeight="1">
      <c r="A5979" s="1" t="s">
        <v>6016</v>
      </c>
      <c r="B5979" s="1" t="s">
        <v>32</v>
      </c>
      <c r="C5979" s="1">
        <v>0.0</v>
      </c>
      <c r="D5979" s="1" t="s">
        <v>26</v>
      </c>
      <c r="E5979" s="1" t="s">
        <v>26</v>
      </c>
      <c r="F5979" s="1">
        <v>57.0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1">
        <v>20.65</v>
      </c>
      <c r="T5979" s="1">
        <v>1125.6</v>
      </c>
      <c r="U5979" s="1">
        <v>0.0</v>
      </c>
      <c r="V5979" s="1">
        <v>4.0</v>
      </c>
      <c r="W5979" s="1" t="s">
        <v>26</v>
      </c>
    </row>
    <row r="5980" ht="15.75" customHeight="1">
      <c r="A5980" s="1" t="s">
        <v>6017</v>
      </c>
      <c r="B5980" s="1" t="s">
        <v>24</v>
      </c>
      <c r="C5980" s="1">
        <v>0.0</v>
      </c>
      <c r="D5980" s="1" t="s">
        <v>26</v>
      </c>
      <c r="E5980" s="1" t="s">
        <v>26</v>
      </c>
      <c r="F5980" s="1">
        <v>46.0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1">
        <v>84.25</v>
      </c>
      <c r="T5980" s="1">
        <v>3847.6</v>
      </c>
      <c r="U5980" s="1">
        <v>0.0</v>
      </c>
      <c r="V5980" s="1">
        <v>0.0</v>
      </c>
      <c r="W5980" s="1" t="s">
        <v>26</v>
      </c>
    </row>
    <row r="5981" ht="15.75" customHeight="1">
      <c r="A5981" s="1" t="s">
        <v>6018</v>
      </c>
      <c r="B5981" s="1" t="s">
        <v>32</v>
      </c>
      <c r="C5981" s="1">
        <v>0.0</v>
      </c>
      <c r="D5981" s="1" t="s">
        <v>26</v>
      </c>
      <c r="E5981" s="1" t="s">
        <v>26</v>
      </c>
      <c r="F5981" s="1">
        <v>53.0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1">
        <v>19.65</v>
      </c>
      <c r="T5981" s="1">
        <v>978.0</v>
      </c>
      <c r="U5981" s="1">
        <v>0.0</v>
      </c>
      <c r="V5981" s="1">
        <v>0.0</v>
      </c>
      <c r="W5981" s="1" t="s">
        <v>26</v>
      </c>
    </row>
    <row r="5982" ht="15.75" customHeight="1">
      <c r="A5982" s="1" t="s">
        <v>6019</v>
      </c>
      <c r="B5982" s="1" t="s">
        <v>24</v>
      </c>
      <c r="C5982" s="1">
        <v>0.0</v>
      </c>
      <c r="D5982" s="1" t="s">
        <v>26</v>
      </c>
      <c r="E5982" s="1" t="s">
        <v>26</v>
      </c>
      <c r="F5982" s="1">
        <v>17.0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1">
        <v>79.85</v>
      </c>
      <c r="T5982" s="1">
        <v>1387.35</v>
      </c>
      <c r="U5982" s="1">
        <v>5.0</v>
      </c>
      <c r="V5982" s="1">
        <v>0.0</v>
      </c>
      <c r="W5982" s="1" t="s">
        <v>26</v>
      </c>
    </row>
    <row r="5983" ht="15.75" customHeight="1">
      <c r="A5983" s="1" t="s">
        <v>6020</v>
      </c>
      <c r="B5983" s="1" t="s">
        <v>24</v>
      </c>
      <c r="C5983" s="1">
        <v>0.0</v>
      </c>
      <c r="D5983" s="1" t="s">
        <v>25</v>
      </c>
      <c r="E5983" s="1" t="s">
        <v>25</v>
      </c>
      <c r="F5983" s="1">
        <v>38.0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1">
        <v>20.2</v>
      </c>
      <c r="T5983" s="1">
        <v>746.05</v>
      </c>
      <c r="U5983" s="1">
        <v>0.0</v>
      </c>
      <c r="V5983" s="1">
        <v>0.0</v>
      </c>
      <c r="W5983" s="1" t="s">
        <v>26</v>
      </c>
    </row>
    <row r="5984" ht="15.75" customHeight="1">
      <c r="A5984" s="1" t="s">
        <v>6021</v>
      </c>
      <c r="B5984" s="1" t="s">
        <v>32</v>
      </c>
      <c r="C5984" s="1">
        <v>0.0</v>
      </c>
      <c r="D5984" s="1" t="s">
        <v>26</v>
      </c>
      <c r="E5984" s="1" t="s">
        <v>26</v>
      </c>
      <c r="F5984" s="1">
        <v>15.0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1">
        <v>19.8</v>
      </c>
      <c r="T5984" s="1">
        <v>304.6</v>
      </c>
      <c r="U5984" s="1">
        <v>0.0</v>
      </c>
      <c r="V5984" s="1">
        <v>0.0</v>
      </c>
      <c r="W5984" s="1" t="s">
        <v>26</v>
      </c>
    </row>
    <row r="5985" ht="15.75" customHeight="1">
      <c r="A5985" s="1" t="s">
        <v>6022</v>
      </c>
      <c r="B5985" s="1" t="s">
        <v>24</v>
      </c>
      <c r="C5985" s="1">
        <v>0.0</v>
      </c>
      <c r="D5985" s="1" t="s">
        <v>26</v>
      </c>
      <c r="E5985" s="1" t="s">
        <v>26</v>
      </c>
      <c r="F5985" s="1">
        <v>22.0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1">
        <v>50.35</v>
      </c>
      <c r="T5985" s="1">
        <v>1098.85</v>
      </c>
      <c r="U5985" s="1">
        <v>0.0</v>
      </c>
      <c r="V5985" s="1">
        <v>0.0</v>
      </c>
      <c r="W5985" s="1" t="s">
        <v>26</v>
      </c>
    </row>
    <row r="5986" ht="15.75" customHeight="1">
      <c r="A5986" s="1" t="s">
        <v>6023</v>
      </c>
      <c r="B5986" s="1" t="s">
        <v>32</v>
      </c>
      <c r="C5986" s="1">
        <v>0.0</v>
      </c>
      <c r="D5986" s="1" t="s">
        <v>25</v>
      </c>
      <c r="E5986" s="1" t="s">
        <v>26</v>
      </c>
      <c r="F5986" s="1">
        <v>14.0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1">
        <v>85.15</v>
      </c>
      <c r="T5986" s="1">
        <v>1139.2</v>
      </c>
      <c r="U5986" s="1">
        <v>0.0</v>
      </c>
      <c r="V5986" s="1">
        <v>0.0</v>
      </c>
      <c r="W5986" s="1" t="s">
        <v>25</v>
      </c>
    </row>
    <row r="5987" ht="15.75" customHeight="1">
      <c r="A5987" s="1" t="s">
        <v>6024</v>
      </c>
      <c r="B5987" s="1" t="s">
        <v>24</v>
      </c>
      <c r="C5987" s="1">
        <v>0.0</v>
      </c>
      <c r="D5987" s="1" t="s">
        <v>25</v>
      </c>
      <c r="E5987" s="1" t="s">
        <v>26</v>
      </c>
      <c r="F5987" s="1">
        <v>57.0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1">
        <v>74.6</v>
      </c>
      <c r="T5987" s="1">
        <v>4368.95</v>
      </c>
      <c r="U5987" s="1">
        <v>0.0</v>
      </c>
      <c r="V5987" s="1">
        <v>0.0</v>
      </c>
      <c r="W5987" s="1" t="s">
        <v>26</v>
      </c>
    </row>
    <row r="5988" ht="15.75" customHeight="1">
      <c r="A5988" s="1" t="s">
        <v>6025</v>
      </c>
      <c r="B5988" s="1" t="s">
        <v>32</v>
      </c>
      <c r="C5988" s="1">
        <v>1.0</v>
      </c>
      <c r="D5988" s="1" t="s">
        <v>26</v>
      </c>
      <c r="E5988" s="1" t="s">
        <v>26</v>
      </c>
      <c r="F5988" s="1">
        <v>11.0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1">
        <v>79.15</v>
      </c>
      <c r="T5988" s="1">
        <v>827.7</v>
      </c>
      <c r="U5988" s="1">
        <v>0.0</v>
      </c>
      <c r="V5988" s="1">
        <v>0.0</v>
      </c>
      <c r="W5988" s="1" t="s">
        <v>26</v>
      </c>
    </row>
    <row r="5989" ht="15.75" customHeight="1">
      <c r="A5989" s="1" t="s">
        <v>6026</v>
      </c>
      <c r="B5989" s="1" t="s">
        <v>24</v>
      </c>
      <c r="C5989" s="1">
        <v>0.0</v>
      </c>
      <c r="D5989" s="1" t="s">
        <v>25</v>
      </c>
      <c r="E5989" s="1" t="s">
        <v>25</v>
      </c>
      <c r="F5989" s="1">
        <v>1.0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1">
        <v>20.35</v>
      </c>
      <c r="T5989" s="1">
        <v>20.35</v>
      </c>
      <c r="U5989" s="1">
        <v>0.0</v>
      </c>
      <c r="V5989" s="1">
        <v>0.0</v>
      </c>
      <c r="W5989" s="1" t="s">
        <v>26</v>
      </c>
    </row>
    <row r="5990" ht="15.75" customHeight="1">
      <c r="A5990" s="1" t="s">
        <v>6027</v>
      </c>
      <c r="B5990" s="1" t="s">
        <v>32</v>
      </c>
      <c r="C5990" s="1">
        <v>0.0</v>
      </c>
      <c r="D5990" s="1" t="s">
        <v>25</v>
      </c>
      <c r="E5990" s="1" t="s">
        <v>25</v>
      </c>
      <c r="F5990" s="1">
        <v>12.0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1">
        <v>21.05</v>
      </c>
      <c r="T5990" s="1">
        <v>262.05</v>
      </c>
      <c r="U5990" s="1">
        <v>0.0</v>
      </c>
      <c r="V5990" s="1">
        <v>0.0</v>
      </c>
      <c r="W5990" s="1" t="s">
        <v>26</v>
      </c>
    </row>
    <row r="5991" ht="15.75" customHeight="1">
      <c r="A5991" s="1" t="s">
        <v>6028</v>
      </c>
      <c r="B5991" s="1" t="s">
        <v>32</v>
      </c>
      <c r="C5991" s="1">
        <v>1.0</v>
      </c>
      <c r="D5991" s="1" t="s">
        <v>25</v>
      </c>
      <c r="E5991" s="1" t="s">
        <v>26</v>
      </c>
      <c r="F5991" s="1">
        <v>3.0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1">
        <v>94.6</v>
      </c>
      <c r="T5991" s="1">
        <v>279.55</v>
      </c>
      <c r="U5991" s="1">
        <v>0.0</v>
      </c>
      <c r="V5991" s="1">
        <v>0.0</v>
      </c>
      <c r="W5991" s="1" t="s">
        <v>25</v>
      </c>
    </row>
    <row r="5992" ht="15.75" customHeight="1">
      <c r="A5992" s="1" t="s">
        <v>6029</v>
      </c>
      <c r="B5992" s="1" t="s">
        <v>32</v>
      </c>
      <c r="C5992" s="1">
        <v>0.0</v>
      </c>
      <c r="D5992" s="1" t="s">
        <v>26</v>
      </c>
      <c r="E5992" s="1" t="s">
        <v>25</v>
      </c>
      <c r="F5992" s="1">
        <v>36.0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1">
        <v>94.7</v>
      </c>
      <c r="T5992" s="1">
        <v>3512.5</v>
      </c>
      <c r="U5992" s="1">
        <v>0.0</v>
      </c>
      <c r="V5992" s="1">
        <v>0.0</v>
      </c>
      <c r="W5992" s="1" t="s">
        <v>26</v>
      </c>
    </row>
    <row r="5993" ht="15.75" customHeight="1">
      <c r="A5993" s="1" t="s">
        <v>6030</v>
      </c>
      <c r="B5993" s="1" t="s">
        <v>32</v>
      </c>
      <c r="C5993" s="1">
        <v>0.0</v>
      </c>
      <c r="D5993" s="1" t="s">
        <v>26</v>
      </c>
      <c r="E5993" s="1" t="s">
        <v>26</v>
      </c>
      <c r="F5993" s="1">
        <v>16.0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1">
        <v>94.25</v>
      </c>
      <c r="T5993" s="1">
        <v>1483.25</v>
      </c>
      <c r="U5993" s="1">
        <v>0.0</v>
      </c>
      <c r="V5993" s="1">
        <v>1.0</v>
      </c>
      <c r="W5993" s="1" t="s">
        <v>25</v>
      </c>
    </row>
    <row r="5994" ht="15.75" customHeight="1">
      <c r="A5994" s="1" t="s">
        <v>6031</v>
      </c>
      <c r="B5994" s="1" t="s">
        <v>32</v>
      </c>
      <c r="C5994" s="1">
        <v>0.0</v>
      </c>
      <c r="D5994" s="1" t="s">
        <v>25</v>
      </c>
      <c r="E5994" s="1" t="s">
        <v>25</v>
      </c>
      <c r="F5994" s="1">
        <v>65.0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1">
        <v>72.45</v>
      </c>
      <c r="T5994" s="1">
        <v>4653.85</v>
      </c>
      <c r="U5994" s="1">
        <v>0.0</v>
      </c>
      <c r="V5994" s="1">
        <v>5.0</v>
      </c>
      <c r="W5994" s="1" t="s">
        <v>25</v>
      </c>
    </row>
    <row r="5995" ht="15.75" customHeight="1">
      <c r="A5995" s="1" t="s">
        <v>6032</v>
      </c>
      <c r="B5995" s="1" t="s">
        <v>32</v>
      </c>
      <c r="C5995" s="1">
        <v>0.0</v>
      </c>
      <c r="D5995" s="1" t="s">
        <v>26</v>
      </c>
      <c r="E5995" s="1" t="s">
        <v>26</v>
      </c>
      <c r="F5995" s="1">
        <v>2.0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1">
        <v>74.95</v>
      </c>
      <c r="T5995" s="1">
        <v>151.75</v>
      </c>
      <c r="U5995" s="1">
        <v>0.0</v>
      </c>
      <c r="V5995" s="1">
        <v>0.0</v>
      </c>
      <c r="W5995" s="1" t="s">
        <v>26</v>
      </c>
    </row>
    <row r="5996" ht="15.75" customHeight="1">
      <c r="A5996" s="1" t="s">
        <v>6033</v>
      </c>
      <c r="B5996" s="1" t="s">
        <v>24</v>
      </c>
      <c r="C5996" s="1">
        <v>0.0</v>
      </c>
      <c r="D5996" s="1" t="s">
        <v>26</v>
      </c>
      <c r="E5996" s="1" t="s">
        <v>26</v>
      </c>
      <c r="F5996" s="1">
        <v>42.0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1">
        <v>105.2</v>
      </c>
      <c r="T5996" s="1">
        <v>4400.75</v>
      </c>
      <c r="U5996" s="1">
        <v>0.0</v>
      </c>
      <c r="V5996" s="1">
        <v>3.0</v>
      </c>
      <c r="W5996" s="1" t="s">
        <v>25</v>
      </c>
    </row>
    <row r="5997" ht="15.75" customHeight="1">
      <c r="A5997" s="1" t="s">
        <v>6034</v>
      </c>
      <c r="B5997" s="1" t="s">
        <v>32</v>
      </c>
      <c r="C5997" s="1">
        <v>0.0</v>
      </c>
      <c r="D5997" s="1" t="s">
        <v>25</v>
      </c>
      <c r="E5997" s="1" t="s">
        <v>25</v>
      </c>
      <c r="F5997" s="1">
        <v>72.0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1">
        <v>111.95</v>
      </c>
      <c r="T5997" s="1">
        <v>8033.1</v>
      </c>
      <c r="U5997" s="1">
        <v>0.0</v>
      </c>
      <c r="V5997" s="1">
        <v>0.0</v>
      </c>
      <c r="W5997" s="1" t="s">
        <v>26</v>
      </c>
    </row>
    <row r="5998" ht="15.75" customHeight="1">
      <c r="A5998" s="1" t="s">
        <v>6035</v>
      </c>
      <c r="B5998" s="1" t="s">
        <v>32</v>
      </c>
      <c r="C5998" s="1">
        <v>0.0</v>
      </c>
      <c r="D5998" s="1" t="s">
        <v>26</v>
      </c>
      <c r="E5998" s="1" t="s">
        <v>26</v>
      </c>
      <c r="F5998" s="1">
        <v>62.0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1">
        <v>19.85</v>
      </c>
      <c r="T5998" s="1">
        <v>1253.65</v>
      </c>
      <c r="U5998" s="1">
        <v>0.0</v>
      </c>
      <c r="V5998" s="1">
        <v>0.0</v>
      </c>
      <c r="W5998" s="1" t="s">
        <v>26</v>
      </c>
    </row>
    <row r="5999" ht="15.75" customHeight="1">
      <c r="A5999" s="1" t="s">
        <v>6036</v>
      </c>
      <c r="B5999" s="1" t="s">
        <v>24</v>
      </c>
      <c r="C5999" s="1">
        <v>0.0</v>
      </c>
      <c r="D5999" s="1" t="s">
        <v>26</v>
      </c>
      <c r="E5999" s="1" t="s">
        <v>26</v>
      </c>
      <c r="F5999" s="1">
        <v>6.0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1">
        <v>89.75</v>
      </c>
      <c r="T5999" s="1">
        <v>552.65</v>
      </c>
      <c r="U5999" s="1">
        <v>0.0</v>
      </c>
      <c r="V5999" s="1">
        <v>0.0</v>
      </c>
      <c r="W5999" s="1" t="s">
        <v>26</v>
      </c>
    </row>
    <row r="6000" ht="15.75" customHeight="1">
      <c r="A6000" s="1" t="s">
        <v>6037</v>
      </c>
      <c r="B6000" s="1" t="s">
        <v>32</v>
      </c>
      <c r="C6000" s="1">
        <v>0.0</v>
      </c>
      <c r="D6000" s="1" t="s">
        <v>25</v>
      </c>
      <c r="E6000" s="1" t="s">
        <v>26</v>
      </c>
      <c r="F6000" s="1">
        <v>48.0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1">
        <v>20.05</v>
      </c>
      <c r="T6000" s="1">
        <v>1036.0</v>
      </c>
      <c r="U6000" s="1">
        <v>0.0</v>
      </c>
      <c r="V6000" s="1">
        <v>2.0</v>
      </c>
      <c r="W6000" s="1" t="s">
        <v>26</v>
      </c>
    </row>
    <row r="6001" ht="15.75" customHeight="1">
      <c r="A6001" s="1" t="s">
        <v>6038</v>
      </c>
      <c r="B6001" s="1" t="s">
        <v>32</v>
      </c>
      <c r="C6001" s="1">
        <v>0.0</v>
      </c>
      <c r="D6001" s="1" t="s">
        <v>26</v>
      </c>
      <c r="E6001" s="1" t="s">
        <v>26</v>
      </c>
      <c r="F6001" s="1">
        <v>35.0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1">
        <v>108.95</v>
      </c>
      <c r="T6001" s="1">
        <v>4025.5</v>
      </c>
      <c r="U6001" s="1">
        <v>0.0</v>
      </c>
      <c r="V6001" s="1">
        <v>0.0</v>
      </c>
      <c r="W6001" s="1" t="s">
        <v>26</v>
      </c>
    </row>
    <row r="6002" ht="15.75" customHeight="1">
      <c r="A6002" s="1" t="s">
        <v>6039</v>
      </c>
      <c r="B6002" s="1" t="s">
        <v>32</v>
      </c>
      <c r="C6002" s="1">
        <v>0.0</v>
      </c>
      <c r="D6002" s="1" t="s">
        <v>26</v>
      </c>
      <c r="E6002" s="1" t="s">
        <v>25</v>
      </c>
      <c r="F6002" s="1">
        <v>52.0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1">
        <v>19.65</v>
      </c>
      <c r="T6002" s="1">
        <v>928.4</v>
      </c>
      <c r="U6002" s="1">
        <v>0.0</v>
      </c>
      <c r="V6002" s="1">
        <v>0.0</v>
      </c>
      <c r="W6002" s="1" t="s">
        <v>26</v>
      </c>
    </row>
    <row r="6003" ht="15.75" customHeight="1">
      <c r="A6003" s="1" t="s">
        <v>6040</v>
      </c>
      <c r="B6003" s="1" t="s">
        <v>24</v>
      </c>
      <c r="C6003" s="1">
        <v>0.0</v>
      </c>
      <c r="D6003" s="1" t="s">
        <v>26</v>
      </c>
      <c r="E6003" s="1" t="s">
        <v>26</v>
      </c>
      <c r="F6003" s="1">
        <v>1.0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1">
        <v>24.9</v>
      </c>
      <c r="T6003" s="1">
        <v>24.9</v>
      </c>
      <c r="U6003" s="1">
        <v>0.0</v>
      </c>
      <c r="V6003" s="1">
        <v>0.0</v>
      </c>
      <c r="W6003" s="1" t="s">
        <v>26</v>
      </c>
    </row>
    <row r="6004" ht="15.75" customHeight="1">
      <c r="A6004" s="1" t="s">
        <v>6041</v>
      </c>
      <c r="B6004" s="1" t="s">
        <v>32</v>
      </c>
      <c r="C6004" s="1">
        <v>0.0</v>
      </c>
      <c r="D6004" s="1" t="s">
        <v>25</v>
      </c>
      <c r="E6004" s="1" t="s">
        <v>26</v>
      </c>
      <c r="F6004" s="1">
        <v>6.0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1">
        <v>82.85</v>
      </c>
      <c r="T6004" s="1">
        <v>460.25</v>
      </c>
      <c r="U6004" s="1">
        <v>0.0</v>
      </c>
      <c r="V6004" s="1">
        <v>0.0</v>
      </c>
      <c r="W6004" s="1" t="s">
        <v>25</v>
      </c>
    </row>
    <row r="6005" ht="15.75" customHeight="1">
      <c r="A6005" s="1" t="s">
        <v>6042</v>
      </c>
      <c r="B6005" s="1" t="s">
        <v>24</v>
      </c>
      <c r="C6005" s="1">
        <v>0.0</v>
      </c>
      <c r="D6005" s="1" t="s">
        <v>25</v>
      </c>
      <c r="E6005" s="1" t="s">
        <v>26</v>
      </c>
      <c r="F6005" s="1">
        <v>71.0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1">
        <v>93.2</v>
      </c>
      <c r="T6005" s="1">
        <v>6506.15</v>
      </c>
      <c r="U6005" s="1">
        <v>0.0</v>
      </c>
      <c r="V6005" s="1">
        <v>0.0</v>
      </c>
      <c r="W6005" s="1" t="s">
        <v>26</v>
      </c>
    </row>
    <row r="6006" ht="15.75" customHeight="1">
      <c r="A6006" s="1" t="s">
        <v>6043</v>
      </c>
      <c r="B6006" s="1" t="s">
        <v>24</v>
      </c>
      <c r="C6006" s="1">
        <v>0.0</v>
      </c>
      <c r="D6006" s="1" t="s">
        <v>25</v>
      </c>
      <c r="E6006" s="1" t="s">
        <v>25</v>
      </c>
      <c r="F6006" s="1">
        <v>67.0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1">
        <v>84.8</v>
      </c>
      <c r="T6006" s="1">
        <v>5598.3</v>
      </c>
      <c r="U6006" s="1">
        <v>0.0</v>
      </c>
      <c r="V6006" s="1">
        <v>0.0</v>
      </c>
      <c r="W6006" s="1" t="s">
        <v>26</v>
      </c>
    </row>
    <row r="6007" ht="15.75" customHeight="1">
      <c r="A6007" s="1" t="s">
        <v>6044</v>
      </c>
      <c r="B6007" s="1" t="s">
        <v>32</v>
      </c>
      <c r="C6007" s="1">
        <v>1.0</v>
      </c>
      <c r="D6007" s="1" t="s">
        <v>26</v>
      </c>
      <c r="E6007" s="1" t="s">
        <v>26</v>
      </c>
      <c r="F6007" s="1">
        <v>60.0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1">
        <v>71.75</v>
      </c>
      <c r="T6007" s="1">
        <v>4374.55</v>
      </c>
      <c r="U6007" s="1">
        <v>0.0</v>
      </c>
      <c r="V6007" s="1">
        <v>0.0</v>
      </c>
      <c r="W6007" s="1" t="s">
        <v>26</v>
      </c>
    </row>
    <row r="6008" ht="15.75" customHeight="1">
      <c r="A6008" s="1" t="s">
        <v>6045</v>
      </c>
      <c r="B6008" s="1" t="s">
        <v>32</v>
      </c>
      <c r="C6008" s="1">
        <v>0.0</v>
      </c>
      <c r="D6008" s="1" t="s">
        <v>25</v>
      </c>
      <c r="E6008" s="1" t="s">
        <v>25</v>
      </c>
      <c r="F6008" s="1">
        <v>23.0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1">
        <v>30.35</v>
      </c>
      <c r="T6008" s="1">
        <v>678.75</v>
      </c>
      <c r="U6008" s="1">
        <v>0.0</v>
      </c>
      <c r="V6008" s="1">
        <v>0.0</v>
      </c>
      <c r="W6008" s="1" t="s">
        <v>26</v>
      </c>
    </row>
    <row r="6009" ht="15.75" customHeight="1">
      <c r="A6009" s="1" t="s">
        <v>6046</v>
      </c>
      <c r="B6009" s="1" t="s">
        <v>32</v>
      </c>
      <c r="C6009" s="1">
        <v>0.0</v>
      </c>
      <c r="D6009" s="1" t="s">
        <v>26</v>
      </c>
      <c r="E6009" s="1" t="s">
        <v>25</v>
      </c>
      <c r="F6009" s="1">
        <v>39.0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1">
        <v>54.85</v>
      </c>
      <c r="T6009" s="1">
        <v>2191.7</v>
      </c>
      <c r="U6009" s="1">
        <v>0.0</v>
      </c>
      <c r="V6009" s="1">
        <v>0.0</v>
      </c>
      <c r="W6009" s="1" t="s">
        <v>26</v>
      </c>
    </row>
    <row r="6010" ht="15.75" customHeight="1">
      <c r="A6010" s="1" t="s">
        <v>6047</v>
      </c>
      <c r="B6010" s="1" t="s">
        <v>32</v>
      </c>
      <c r="C6010" s="1">
        <v>0.0</v>
      </c>
      <c r="D6010" s="1" t="s">
        <v>25</v>
      </c>
      <c r="E6010" s="1" t="s">
        <v>25</v>
      </c>
      <c r="F6010" s="1">
        <v>15.0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1">
        <v>19.5</v>
      </c>
      <c r="T6010" s="1">
        <v>239.75</v>
      </c>
      <c r="U6010" s="1">
        <v>0.0</v>
      </c>
      <c r="V6010" s="1">
        <v>1.0</v>
      </c>
      <c r="W6010" s="1" t="s">
        <v>26</v>
      </c>
    </row>
    <row r="6011" ht="15.75" customHeight="1">
      <c r="A6011" s="1" t="s">
        <v>6048</v>
      </c>
      <c r="B6011" s="1" t="s">
        <v>32</v>
      </c>
      <c r="C6011" s="1">
        <v>1.0</v>
      </c>
      <c r="D6011" s="1" t="s">
        <v>25</v>
      </c>
      <c r="E6011" s="1" t="s">
        <v>26</v>
      </c>
      <c r="F6011" s="1">
        <v>53.0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1">
        <v>103.85</v>
      </c>
      <c r="T6011" s="1">
        <v>5485.5</v>
      </c>
      <c r="U6011" s="1">
        <v>0.0</v>
      </c>
      <c r="V6011" s="1">
        <v>6.0</v>
      </c>
      <c r="W6011" s="1" t="s">
        <v>25</v>
      </c>
    </row>
    <row r="6012" ht="15.75" customHeight="1">
      <c r="A6012" s="1" t="s">
        <v>6049</v>
      </c>
      <c r="B6012" s="1" t="s">
        <v>32</v>
      </c>
      <c r="C6012" s="1">
        <v>0.0</v>
      </c>
      <c r="D6012" s="1" t="s">
        <v>25</v>
      </c>
      <c r="E6012" s="1" t="s">
        <v>25</v>
      </c>
      <c r="F6012" s="1">
        <v>24.0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1">
        <v>24.2</v>
      </c>
      <c r="T6012" s="1">
        <v>609.05</v>
      </c>
      <c r="U6012" s="1">
        <v>0.0</v>
      </c>
      <c r="V6012" s="1">
        <v>1.0</v>
      </c>
      <c r="W6012" s="1" t="s">
        <v>26</v>
      </c>
    </row>
    <row r="6013" ht="15.75" customHeight="1">
      <c r="A6013" s="1" t="s">
        <v>6050</v>
      </c>
      <c r="B6013" s="1" t="s">
        <v>24</v>
      </c>
      <c r="C6013" s="1">
        <v>0.0</v>
      </c>
      <c r="D6013" s="1" t="s">
        <v>25</v>
      </c>
      <c r="E6013" s="1" t="s">
        <v>25</v>
      </c>
      <c r="F6013" s="1">
        <v>37.0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1">
        <v>19.35</v>
      </c>
      <c r="T6013" s="1">
        <v>683.75</v>
      </c>
      <c r="U6013" s="1">
        <v>0.0</v>
      </c>
      <c r="V6013" s="1">
        <v>0.0</v>
      </c>
      <c r="W6013" s="1" t="s">
        <v>26</v>
      </c>
    </row>
    <row r="6014" ht="15.75" customHeight="1">
      <c r="A6014" s="1" t="s">
        <v>6051</v>
      </c>
      <c r="B6014" s="1" t="s">
        <v>24</v>
      </c>
      <c r="C6014" s="1">
        <v>0.0</v>
      </c>
      <c r="D6014" s="1" t="s">
        <v>25</v>
      </c>
      <c r="E6014" s="1" t="s">
        <v>25</v>
      </c>
      <c r="F6014" s="1">
        <v>5.0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1">
        <v>83.6</v>
      </c>
      <c r="T6014" s="1">
        <v>404.2</v>
      </c>
      <c r="U6014" s="1">
        <v>0.0</v>
      </c>
      <c r="V6014" s="1">
        <v>0.0</v>
      </c>
      <c r="W6014" s="1" t="s">
        <v>25</v>
      </c>
    </row>
    <row r="6015" ht="15.75" customHeight="1">
      <c r="A6015" s="1" t="s">
        <v>6052</v>
      </c>
      <c r="B6015" s="1" t="s">
        <v>24</v>
      </c>
      <c r="C6015" s="1">
        <v>1.0</v>
      </c>
      <c r="D6015" s="1" t="s">
        <v>25</v>
      </c>
      <c r="E6015" s="1" t="s">
        <v>26</v>
      </c>
      <c r="F6015" s="1">
        <v>50.0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1">
        <v>100.65</v>
      </c>
      <c r="T6015" s="1">
        <v>5189.75</v>
      </c>
      <c r="U6015" s="1">
        <v>0.0</v>
      </c>
      <c r="V6015" s="1">
        <v>4.0</v>
      </c>
      <c r="W6015" s="1" t="s">
        <v>26</v>
      </c>
    </row>
    <row r="6016" ht="15.75" customHeight="1">
      <c r="A6016" s="1" t="s">
        <v>6053</v>
      </c>
      <c r="B6016" s="1" t="s">
        <v>24</v>
      </c>
      <c r="C6016" s="1">
        <v>0.0</v>
      </c>
      <c r="D6016" s="1" t="s">
        <v>26</v>
      </c>
      <c r="E6016" s="1" t="s">
        <v>26</v>
      </c>
      <c r="F6016" s="1">
        <v>54.0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1">
        <v>94.1</v>
      </c>
      <c r="T6016" s="1">
        <v>5060.9</v>
      </c>
      <c r="U6016" s="1">
        <v>0.0</v>
      </c>
      <c r="V6016" s="1">
        <v>0.0</v>
      </c>
      <c r="W6016" s="1" t="s">
        <v>26</v>
      </c>
    </row>
    <row r="6017" ht="15.75" customHeight="1">
      <c r="A6017" s="1" t="s">
        <v>6054</v>
      </c>
      <c r="B6017" s="1" t="s">
        <v>24</v>
      </c>
      <c r="C6017" s="1">
        <v>0.0</v>
      </c>
      <c r="D6017" s="1" t="s">
        <v>26</v>
      </c>
      <c r="E6017" s="1" t="s">
        <v>26</v>
      </c>
      <c r="F6017" s="1">
        <v>3.0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1">
        <v>74.55</v>
      </c>
      <c r="T6017" s="1">
        <v>233.65</v>
      </c>
      <c r="U6017" s="1">
        <v>0.0</v>
      </c>
      <c r="V6017" s="1">
        <v>0.0</v>
      </c>
      <c r="W6017" s="1" t="s">
        <v>26</v>
      </c>
    </row>
    <row r="6018" ht="15.75" customHeight="1">
      <c r="A6018" s="1" t="s">
        <v>6055</v>
      </c>
      <c r="B6018" s="1" t="s">
        <v>32</v>
      </c>
      <c r="C6018" s="1">
        <v>0.0</v>
      </c>
      <c r="D6018" s="1" t="s">
        <v>26</v>
      </c>
      <c r="E6018" s="1" t="s">
        <v>26</v>
      </c>
      <c r="F6018" s="1">
        <v>68.0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1">
        <v>108.45</v>
      </c>
      <c r="T6018" s="1">
        <v>7176.55</v>
      </c>
      <c r="U6018" s="1">
        <v>0.0</v>
      </c>
      <c r="V6018" s="1">
        <v>6.0</v>
      </c>
      <c r="W6018" s="1" t="s">
        <v>25</v>
      </c>
    </row>
    <row r="6019" ht="15.75" customHeight="1">
      <c r="A6019" s="1" t="s">
        <v>6056</v>
      </c>
      <c r="B6019" s="1" t="s">
        <v>32</v>
      </c>
      <c r="C6019" s="1">
        <v>0.0</v>
      </c>
      <c r="D6019" s="1" t="s">
        <v>26</v>
      </c>
      <c r="E6019" s="1" t="s">
        <v>26</v>
      </c>
      <c r="F6019" s="1">
        <v>5.0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1">
        <v>56.15</v>
      </c>
      <c r="T6019" s="1">
        <v>291.45</v>
      </c>
      <c r="U6019" s="1">
        <v>0.0</v>
      </c>
      <c r="V6019" s="1">
        <v>0.0</v>
      </c>
      <c r="W6019" s="1" t="s">
        <v>26</v>
      </c>
    </row>
    <row r="6020" ht="15.75" customHeight="1">
      <c r="A6020" s="1" t="s">
        <v>6057</v>
      </c>
      <c r="B6020" s="1" t="s">
        <v>32</v>
      </c>
      <c r="C6020" s="1">
        <v>0.0</v>
      </c>
      <c r="D6020" s="1" t="s">
        <v>26</v>
      </c>
      <c r="E6020" s="1" t="s">
        <v>26</v>
      </c>
      <c r="F6020" s="1">
        <v>33.0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1">
        <v>20.35</v>
      </c>
      <c r="T6020" s="1">
        <v>689.75</v>
      </c>
      <c r="U6020" s="1">
        <v>4.0</v>
      </c>
      <c r="V6020" s="1">
        <v>0.0</v>
      </c>
      <c r="W6020" s="1" t="s">
        <v>26</v>
      </c>
    </row>
    <row r="6021" ht="15.75" customHeight="1">
      <c r="A6021" s="1" t="s">
        <v>6058</v>
      </c>
      <c r="B6021" s="1" t="s">
        <v>24</v>
      </c>
      <c r="C6021" s="1">
        <v>0.0</v>
      </c>
      <c r="D6021" s="1" t="s">
        <v>26</v>
      </c>
      <c r="E6021" s="1" t="s">
        <v>26</v>
      </c>
      <c r="F6021" s="1">
        <v>41.0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1">
        <v>80.55</v>
      </c>
      <c r="T6021" s="1">
        <v>3263.9</v>
      </c>
      <c r="U6021" s="1">
        <v>0.0</v>
      </c>
      <c r="V6021" s="1">
        <v>0.0</v>
      </c>
      <c r="W6021" s="1" t="s">
        <v>26</v>
      </c>
    </row>
    <row r="6022" ht="15.75" customHeight="1">
      <c r="A6022" s="1" t="s">
        <v>6059</v>
      </c>
      <c r="B6022" s="1" t="s">
        <v>24</v>
      </c>
      <c r="C6022" s="1">
        <v>0.0</v>
      </c>
      <c r="D6022" s="1" t="s">
        <v>25</v>
      </c>
      <c r="E6022" s="1" t="s">
        <v>25</v>
      </c>
      <c r="F6022" s="1">
        <v>34.0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1">
        <v>61.25</v>
      </c>
      <c r="T6022" s="1">
        <v>1993.2</v>
      </c>
      <c r="U6022" s="1">
        <v>0.0</v>
      </c>
      <c r="V6022" s="1">
        <v>0.0</v>
      </c>
      <c r="W6022" s="1" t="s">
        <v>26</v>
      </c>
    </row>
    <row r="6023" ht="15.75" customHeight="1">
      <c r="A6023" s="1" t="s">
        <v>6060</v>
      </c>
      <c r="B6023" s="1" t="s">
        <v>24</v>
      </c>
      <c r="C6023" s="1">
        <v>0.0</v>
      </c>
      <c r="D6023" s="1" t="s">
        <v>25</v>
      </c>
      <c r="E6023" s="1" t="s">
        <v>25</v>
      </c>
      <c r="F6023" s="1">
        <v>13.0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1">
        <v>20.45</v>
      </c>
      <c r="T6023" s="1">
        <v>254.5</v>
      </c>
      <c r="U6023" s="1">
        <v>1.0</v>
      </c>
      <c r="V6023" s="1">
        <v>0.0</v>
      </c>
      <c r="W6023" s="1" t="s">
        <v>26</v>
      </c>
    </row>
    <row r="6024" ht="15.75" customHeight="1">
      <c r="A6024" s="1" t="s">
        <v>6061</v>
      </c>
      <c r="B6024" s="1" t="s">
        <v>24</v>
      </c>
      <c r="C6024" s="1">
        <v>0.0</v>
      </c>
      <c r="D6024" s="1" t="s">
        <v>26</v>
      </c>
      <c r="E6024" s="1" t="s">
        <v>26</v>
      </c>
      <c r="F6024" s="1">
        <v>20.0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1">
        <v>18.9</v>
      </c>
      <c r="T6024" s="1">
        <v>347.65</v>
      </c>
      <c r="U6024" s="1">
        <v>2.0</v>
      </c>
      <c r="V6024" s="1">
        <v>0.0</v>
      </c>
      <c r="W6024" s="1" t="s">
        <v>26</v>
      </c>
    </row>
    <row r="6025" ht="15.75" customHeight="1">
      <c r="A6025" s="1" t="s">
        <v>6062</v>
      </c>
      <c r="B6025" s="1" t="s">
        <v>24</v>
      </c>
      <c r="C6025" s="1">
        <v>1.0</v>
      </c>
      <c r="D6025" s="1" t="s">
        <v>26</v>
      </c>
      <c r="E6025" s="1" t="s">
        <v>26</v>
      </c>
      <c r="F6025" s="1">
        <v>51.0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1">
        <v>19.6</v>
      </c>
      <c r="T6025" s="1">
        <v>967.9</v>
      </c>
      <c r="U6025" s="1">
        <v>0.0</v>
      </c>
      <c r="V6025" s="1">
        <v>0.0</v>
      </c>
      <c r="W6025" s="1" t="s">
        <v>26</v>
      </c>
    </row>
    <row r="6026" ht="15.75" customHeight="1">
      <c r="A6026" s="1" t="s">
        <v>6063</v>
      </c>
      <c r="B6026" s="1" t="s">
        <v>24</v>
      </c>
      <c r="C6026" s="1">
        <v>0.0</v>
      </c>
      <c r="D6026" s="1" t="s">
        <v>25</v>
      </c>
      <c r="E6026" s="1" t="s">
        <v>26</v>
      </c>
      <c r="F6026" s="1">
        <v>3.0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1">
        <v>91.5</v>
      </c>
      <c r="T6026" s="1">
        <v>242.95</v>
      </c>
      <c r="U6026" s="1">
        <v>0.0</v>
      </c>
      <c r="V6026" s="1">
        <v>0.0</v>
      </c>
      <c r="W6026" s="1" t="s">
        <v>25</v>
      </c>
    </row>
    <row r="6027" ht="15.75" customHeight="1">
      <c r="A6027" s="1" t="s">
        <v>6064</v>
      </c>
      <c r="B6027" s="1" t="s">
        <v>24</v>
      </c>
      <c r="C6027" s="1">
        <v>0.0</v>
      </c>
      <c r="D6027" s="1" t="s">
        <v>26</v>
      </c>
      <c r="E6027" s="1" t="s">
        <v>25</v>
      </c>
      <c r="F6027" s="1">
        <v>41.0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1">
        <v>45.2</v>
      </c>
      <c r="T6027" s="1">
        <v>1841.9</v>
      </c>
      <c r="U6027" s="1">
        <v>0.0</v>
      </c>
      <c r="V6027" s="1">
        <v>0.0</v>
      </c>
      <c r="W6027" s="1" t="s">
        <v>26</v>
      </c>
    </row>
    <row r="6028" ht="15.75" customHeight="1">
      <c r="A6028" s="1" t="s">
        <v>6065</v>
      </c>
      <c r="B6028" s="1" t="s">
        <v>24</v>
      </c>
      <c r="C6028" s="1">
        <v>0.0</v>
      </c>
      <c r="D6028" s="1" t="s">
        <v>26</v>
      </c>
      <c r="E6028" s="1" t="s">
        <v>26</v>
      </c>
      <c r="F6028" s="1">
        <v>13.0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1">
        <v>19.45</v>
      </c>
      <c r="T6028" s="1">
        <v>232.1</v>
      </c>
      <c r="U6028" s="1">
        <v>0.0</v>
      </c>
      <c r="V6028" s="1">
        <v>0.0</v>
      </c>
      <c r="W6028" s="1" t="s">
        <v>26</v>
      </c>
    </row>
    <row r="6029" ht="15.75" customHeight="1">
      <c r="A6029" s="1" t="s">
        <v>6066</v>
      </c>
      <c r="B6029" s="1" t="s">
        <v>32</v>
      </c>
      <c r="C6029" s="1">
        <v>0.0</v>
      </c>
      <c r="D6029" s="1" t="s">
        <v>25</v>
      </c>
      <c r="E6029" s="1" t="s">
        <v>25</v>
      </c>
      <c r="F6029" s="1">
        <v>35.0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1">
        <v>25.45</v>
      </c>
      <c r="T6029" s="1">
        <v>809.25</v>
      </c>
      <c r="U6029" s="1">
        <v>0.0</v>
      </c>
      <c r="V6029" s="1">
        <v>0.0</v>
      </c>
      <c r="W6029" s="1" t="s">
        <v>26</v>
      </c>
    </row>
    <row r="6030" ht="15.75" customHeight="1">
      <c r="A6030" s="1" t="s">
        <v>6067</v>
      </c>
      <c r="B6030" s="1" t="s">
        <v>32</v>
      </c>
      <c r="C6030" s="1">
        <v>0.0</v>
      </c>
      <c r="D6030" s="1" t="s">
        <v>25</v>
      </c>
      <c r="E6030" s="1" t="s">
        <v>26</v>
      </c>
      <c r="F6030" s="1">
        <v>12.0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1">
        <v>80.85</v>
      </c>
      <c r="T6030" s="1">
        <v>866.45</v>
      </c>
      <c r="U6030" s="1">
        <v>0.0</v>
      </c>
      <c r="V6030" s="1">
        <v>0.0</v>
      </c>
      <c r="W6030" s="1" t="s">
        <v>25</v>
      </c>
    </row>
    <row r="6031" ht="15.75" customHeight="1">
      <c r="A6031" s="1" t="s">
        <v>6068</v>
      </c>
      <c r="B6031" s="1" t="s">
        <v>32</v>
      </c>
      <c r="C6031" s="1">
        <v>0.0</v>
      </c>
      <c r="D6031" s="1" t="s">
        <v>26</v>
      </c>
      <c r="E6031" s="1" t="s">
        <v>26</v>
      </c>
      <c r="F6031" s="1">
        <v>4.0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1">
        <v>94.9</v>
      </c>
      <c r="T6031" s="1">
        <v>360.55</v>
      </c>
      <c r="U6031" s="1">
        <v>0.0</v>
      </c>
      <c r="V6031" s="1">
        <v>0.0</v>
      </c>
      <c r="W6031" s="1" t="s">
        <v>26</v>
      </c>
    </row>
    <row r="6032" ht="15.75" customHeight="1">
      <c r="A6032" s="1" t="s">
        <v>6069</v>
      </c>
      <c r="B6032" s="1" t="s">
        <v>24</v>
      </c>
      <c r="C6032" s="1">
        <v>0.0</v>
      </c>
      <c r="D6032" s="1" t="s">
        <v>26</v>
      </c>
      <c r="E6032" s="1" t="s">
        <v>26</v>
      </c>
      <c r="F6032" s="1">
        <v>43.0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1">
        <v>49.05</v>
      </c>
      <c r="T6032" s="1">
        <v>2076.2</v>
      </c>
      <c r="U6032" s="1">
        <v>0.0</v>
      </c>
      <c r="V6032" s="1">
        <v>5.0</v>
      </c>
      <c r="W6032" s="1" t="s">
        <v>25</v>
      </c>
    </row>
    <row r="6033" ht="15.75" customHeight="1">
      <c r="A6033" s="1" t="s">
        <v>6070</v>
      </c>
      <c r="B6033" s="1" t="s">
        <v>24</v>
      </c>
      <c r="C6033" s="1">
        <v>1.0</v>
      </c>
      <c r="D6033" s="1" t="s">
        <v>25</v>
      </c>
      <c r="E6033" s="1" t="s">
        <v>25</v>
      </c>
      <c r="F6033" s="1">
        <v>12.0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1">
        <v>29.3</v>
      </c>
      <c r="T6033" s="1">
        <v>355.9</v>
      </c>
      <c r="U6033" s="1">
        <v>5.0</v>
      </c>
      <c r="V6033" s="1">
        <v>0.0</v>
      </c>
      <c r="W6033" s="1" t="s">
        <v>26</v>
      </c>
    </row>
    <row r="6034" ht="15.75" customHeight="1">
      <c r="A6034" s="1" t="s">
        <v>6071</v>
      </c>
      <c r="B6034" s="1" t="s">
        <v>32</v>
      </c>
      <c r="C6034" s="1">
        <v>1.0</v>
      </c>
      <c r="D6034" s="1" t="s">
        <v>25</v>
      </c>
      <c r="E6034" s="1" t="s">
        <v>26</v>
      </c>
      <c r="F6034" s="1">
        <v>68.0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1">
        <v>105.3</v>
      </c>
      <c r="T6034" s="1">
        <v>7299.65</v>
      </c>
      <c r="U6034" s="1">
        <v>0.0</v>
      </c>
      <c r="V6034" s="1">
        <v>5.0</v>
      </c>
      <c r="W6034" s="1" t="s">
        <v>25</v>
      </c>
    </row>
    <row r="6035" ht="15.75" customHeight="1">
      <c r="A6035" s="1" t="s">
        <v>6072</v>
      </c>
      <c r="B6035" s="1" t="s">
        <v>32</v>
      </c>
      <c r="C6035" s="1">
        <v>1.0</v>
      </c>
      <c r="D6035" s="1" t="s">
        <v>26</v>
      </c>
      <c r="E6035" s="1" t="s">
        <v>26</v>
      </c>
      <c r="F6035" s="1">
        <v>25.0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1">
        <v>88.95</v>
      </c>
      <c r="T6035" s="1">
        <v>2291.2</v>
      </c>
      <c r="U6035" s="1">
        <v>0.0</v>
      </c>
      <c r="V6035" s="1">
        <v>2.0</v>
      </c>
      <c r="W6035" s="1" t="s">
        <v>25</v>
      </c>
    </row>
    <row r="6036" ht="15.75" customHeight="1">
      <c r="A6036" s="1" t="s">
        <v>6073</v>
      </c>
      <c r="B6036" s="1" t="s">
        <v>24</v>
      </c>
      <c r="C6036" s="1">
        <v>0.0</v>
      </c>
      <c r="D6036" s="1" t="s">
        <v>26</v>
      </c>
      <c r="E6036" s="1" t="s">
        <v>26</v>
      </c>
      <c r="F6036" s="1">
        <v>7.0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1">
        <v>20.25</v>
      </c>
      <c r="T6036" s="1">
        <v>129.15</v>
      </c>
      <c r="U6036" s="1">
        <v>0.0</v>
      </c>
      <c r="V6036" s="1">
        <v>0.0</v>
      </c>
      <c r="W6036" s="1" t="s">
        <v>26</v>
      </c>
    </row>
    <row r="6037" ht="15.75" customHeight="1">
      <c r="A6037" s="1" t="s">
        <v>6074</v>
      </c>
      <c r="B6037" s="1" t="s">
        <v>32</v>
      </c>
      <c r="C6037" s="1">
        <v>1.0</v>
      </c>
      <c r="D6037" s="1" t="s">
        <v>25</v>
      </c>
      <c r="E6037" s="1" t="s">
        <v>26</v>
      </c>
      <c r="F6037" s="1">
        <v>66.0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1">
        <v>110.85</v>
      </c>
      <c r="T6037" s="1">
        <v>7491.75</v>
      </c>
      <c r="U6037" s="1">
        <v>2.0</v>
      </c>
      <c r="V6037" s="1">
        <v>5.0</v>
      </c>
      <c r="W6037" s="1" t="s">
        <v>25</v>
      </c>
    </row>
    <row r="6038" ht="15.75" customHeight="1">
      <c r="A6038" s="1" t="s">
        <v>6075</v>
      </c>
      <c r="B6038" s="1" t="s">
        <v>24</v>
      </c>
      <c r="C6038" s="1">
        <v>0.0</v>
      </c>
      <c r="D6038" s="1" t="s">
        <v>25</v>
      </c>
      <c r="E6038" s="1" t="s">
        <v>26</v>
      </c>
      <c r="F6038" s="1">
        <v>53.0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1">
        <v>110.5</v>
      </c>
      <c r="T6038" s="1">
        <v>5835.5</v>
      </c>
      <c r="U6038" s="1">
        <v>0.0</v>
      </c>
      <c r="V6038" s="1">
        <v>0.0</v>
      </c>
      <c r="W6038" s="1" t="s">
        <v>26</v>
      </c>
    </row>
    <row r="6039" ht="15.75" customHeight="1">
      <c r="A6039" s="1" t="s">
        <v>6076</v>
      </c>
      <c r="B6039" s="1" t="s">
        <v>32</v>
      </c>
      <c r="C6039" s="1">
        <v>1.0</v>
      </c>
      <c r="D6039" s="1" t="s">
        <v>26</v>
      </c>
      <c r="E6039" s="1" t="s">
        <v>26</v>
      </c>
      <c r="F6039" s="1">
        <v>63.0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1">
        <v>109.4</v>
      </c>
      <c r="T6039" s="1">
        <v>7031.45</v>
      </c>
      <c r="U6039" s="1">
        <v>0.0</v>
      </c>
      <c r="V6039" s="1">
        <v>0.0</v>
      </c>
      <c r="W6039" s="1" t="s">
        <v>26</v>
      </c>
    </row>
    <row r="6040" ht="15.75" customHeight="1">
      <c r="A6040" s="1" t="s">
        <v>6077</v>
      </c>
      <c r="B6040" s="1" t="s">
        <v>24</v>
      </c>
      <c r="C6040" s="1">
        <v>0.0</v>
      </c>
      <c r="D6040" s="1" t="s">
        <v>25</v>
      </c>
      <c r="E6040" s="1" t="s">
        <v>25</v>
      </c>
      <c r="F6040" s="1">
        <v>70.0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1">
        <v>114.2</v>
      </c>
      <c r="T6040" s="1">
        <v>7723.9</v>
      </c>
      <c r="U6040" s="1">
        <v>4.0</v>
      </c>
      <c r="V6040" s="1">
        <v>6.0</v>
      </c>
      <c r="W6040" s="1" t="s">
        <v>25</v>
      </c>
    </row>
    <row r="6041" ht="15.75" customHeight="1">
      <c r="A6041" s="1" t="s">
        <v>6078</v>
      </c>
      <c r="B6041" s="1" t="s">
        <v>32</v>
      </c>
      <c r="C6041" s="1">
        <v>1.0</v>
      </c>
      <c r="D6041" s="1" t="s">
        <v>25</v>
      </c>
      <c r="E6041" s="1" t="s">
        <v>26</v>
      </c>
      <c r="F6041" s="1">
        <v>27.0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1">
        <v>36.5</v>
      </c>
      <c r="T6041" s="1">
        <v>1032.0</v>
      </c>
      <c r="U6041" s="1">
        <v>0.0</v>
      </c>
      <c r="V6041" s="1">
        <v>0.0</v>
      </c>
      <c r="W6041" s="1" t="s">
        <v>25</v>
      </c>
    </row>
    <row r="6042" ht="15.75" customHeight="1">
      <c r="A6042" s="1" t="s">
        <v>6079</v>
      </c>
      <c r="B6042" s="1" t="s">
        <v>24</v>
      </c>
      <c r="C6042" s="1">
        <v>0.0</v>
      </c>
      <c r="D6042" s="1" t="s">
        <v>26</v>
      </c>
      <c r="E6042" s="1" t="s">
        <v>26</v>
      </c>
      <c r="F6042" s="1">
        <v>1.0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1">
        <v>70.75</v>
      </c>
      <c r="T6042" s="1">
        <v>70.75</v>
      </c>
      <c r="U6042" s="1">
        <v>0.0</v>
      </c>
      <c r="V6042" s="1">
        <v>0.0</v>
      </c>
      <c r="W6042" s="1" t="s">
        <v>25</v>
      </c>
    </row>
    <row r="6043" ht="15.75" customHeight="1">
      <c r="A6043" s="1" t="s">
        <v>6080</v>
      </c>
      <c r="B6043" s="1" t="s">
        <v>24</v>
      </c>
      <c r="C6043" s="1">
        <v>0.0</v>
      </c>
      <c r="D6043" s="1" t="s">
        <v>26</v>
      </c>
      <c r="E6043" s="1" t="s">
        <v>26</v>
      </c>
      <c r="F6043" s="1">
        <v>5.0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1">
        <v>19.95</v>
      </c>
      <c r="T6043" s="1">
        <v>109.6</v>
      </c>
      <c r="U6043" s="1">
        <v>2.0</v>
      </c>
      <c r="V6043" s="1">
        <v>0.0</v>
      </c>
      <c r="W6043" s="1" t="s">
        <v>26</v>
      </c>
    </row>
    <row r="6044" ht="15.75" customHeight="1">
      <c r="A6044" s="1" t="s">
        <v>6081</v>
      </c>
      <c r="B6044" s="1" t="s">
        <v>24</v>
      </c>
      <c r="C6044" s="1">
        <v>1.0</v>
      </c>
      <c r="D6044" s="1" t="s">
        <v>25</v>
      </c>
      <c r="E6044" s="1" t="s">
        <v>26</v>
      </c>
      <c r="F6044" s="1">
        <v>37.0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1">
        <v>19.6</v>
      </c>
      <c r="T6044" s="1">
        <v>727.8</v>
      </c>
      <c r="U6044" s="1">
        <v>0.0</v>
      </c>
      <c r="V6044" s="1">
        <v>0.0</v>
      </c>
      <c r="W6044" s="1" t="s">
        <v>26</v>
      </c>
    </row>
    <row r="6045" ht="15.75" customHeight="1">
      <c r="A6045" s="1" t="s">
        <v>6082</v>
      </c>
      <c r="B6045" s="1" t="s">
        <v>32</v>
      </c>
      <c r="C6045" s="1">
        <v>0.0</v>
      </c>
      <c r="D6045" s="1" t="s">
        <v>26</v>
      </c>
      <c r="E6045" s="1" t="s">
        <v>26</v>
      </c>
      <c r="F6045" s="1">
        <v>3.0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1">
        <v>40.15</v>
      </c>
      <c r="T6045" s="1">
        <v>130.75</v>
      </c>
      <c r="U6045" s="1">
        <v>0.0</v>
      </c>
      <c r="V6045" s="1">
        <v>2.0</v>
      </c>
      <c r="W6045" s="1" t="s">
        <v>25</v>
      </c>
    </row>
    <row r="6046" ht="15.75" customHeight="1">
      <c r="A6046" s="1" t="s">
        <v>6083</v>
      </c>
      <c r="B6046" s="1" t="s">
        <v>24</v>
      </c>
      <c r="C6046" s="1">
        <v>0.0</v>
      </c>
      <c r="D6046" s="1" t="s">
        <v>26</v>
      </c>
      <c r="E6046" s="1" t="s">
        <v>25</v>
      </c>
      <c r="F6046" s="1">
        <v>12.0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1">
        <v>76.6</v>
      </c>
      <c r="T6046" s="1">
        <v>893.0</v>
      </c>
      <c r="U6046" s="1">
        <v>0.0</v>
      </c>
      <c r="V6046" s="1">
        <v>0.0</v>
      </c>
      <c r="W6046" s="1" t="s">
        <v>26</v>
      </c>
    </row>
    <row r="6047" ht="15.75" customHeight="1">
      <c r="A6047" s="1" t="s">
        <v>6084</v>
      </c>
      <c r="B6047" s="1" t="s">
        <v>24</v>
      </c>
      <c r="C6047" s="1">
        <v>0.0</v>
      </c>
      <c r="D6047" s="1" t="s">
        <v>25</v>
      </c>
      <c r="E6047" s="1" t="s">
        <v>25</v>
      </c>
      <c r="F6047" s="1">
        <v>38.0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1">
        <v>19.6</v>
      </c>
      <c r="T6047" s="1">
        <v>763.1</v>
      </c>
      <c r="U6047" s="1">
        <v>0.0</v>
      </c>
      <c r="V6047" s="1">
        <v>0.0</v>
      </c>
      <c r="W6047" s="1" t="s">
        <v>26</v>
      </c>
    </row>
    <row r="6048" ht="15.75" customHeight="1">
      <c r="A6048" s="1" t="s">
        <v>6085</v>
      </c>
      <c r="B6048" s="1" t="s">
        <v>24</v>
      </c>
      <c r="C6048" s="1">
        <v>0.0</v>
      </c>
      <c r="D6048" s="1" t="s">
        <v>26</v>
      </c>
      <c r="E6048" s="1" t="s">
        <v>26</v>
      </c>
      <c r="F6048" s="1">
        <v>9.0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1">
        <v>85.3</v>
      </c>
      <c r="T6048" s="1">
        <v>781.4</v>
      </c>
      <c r="U6048" s="1">
        <v>0.0</v>
      </c>
      <c r="V6048" s="1">
        <v>0.0</v>
      </c>
      <c r="W6048" s="1" t="s">
        <v>26</v>
      </c>
    </row>
    <row r="6049" ht="15.75" customHeight="1">
      <c r="A6049" s="1" t="s">
        <v>6086</v>
      </c>
      <c r="B6049" s="1" t="s">
        <v>32</v>
      </c>
      <c r="C6049" s="1">
        <v>0.0</v>
      </c>
      <c r="D6049" s="1" t="s">
        <v>25</v>
      </c>
      <c r="E6049" s="1" t="s">
        <v>26</v>
      </c>
      <c r="F6049" s="1">
        <v>13.0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1">
        <v>65.85</v>
      </c>
      <c r="T6049" s="1">
        <v>902.25</v>
      </c>
      <c r="U6049" s="1">
        <v>1.0</v>
      </c>
      <c r="V6049" s="1">
        <v>0.0</v>
      </c>
      <c r="W6049" s="1" t="s">
        <v>26</v>
      </c>
    </row>
    <row r="6050" ht="15.75" customHeight="1">
      <c r="A6050" s="1" t="s">
        <v>6087</v>
      </c>
      <c r="B6050" s="1" t="s">
        <v>32</v>
      </c>
      <c r="C6050" s="1">
        <v>1.0</v>
      </c>
      <c r="D6050" s="1" t="s">
        <v>25</v>
      </c>
      <c r="E6050" s="1" t="s">
        <v>26</v>
      </c>
      <c r="F6050" s="1">
        <v>29.0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1">
        <v>94.45</v>
      </c>
      <c r="T6050" s="1">
        <v>2653.65</v>
      </c>
      <c r="U6050" s="1">
        <v>0.0</v>
      </c>
      <c r="V6050" s="1">
        <v>2.0</v>
      </c>
      <c r="W6050" s="1" t="s">
        <v>25</v>
      </c>
    </row>
    <row r="6051" ht="15.75" customHeight="1">
      <c r="A6051" s="1" t="s">
        <v>6088</v>
      </c>
      <c r="B6051" s="1" t="s">
        <v>24</v>
      </c>
      <c r="C6051" s="1">
        <v>0.0</v>
      </c>
      <c r="D6051" s="1" t="s">
        <v>25</v>
      </c>
      <c r="E6051" s="1" t="s">
        <v>25</v>
      </c>
      <c r="F6051" s="1">
        <v>47.0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1">
        <v>20.05</v>
      </c>
      <c r="T6051" s="1">
        <v>1016.7</v>
      </c>
      <c r="U6051" s="1">
        <v>0.0</v>
      </c>
      <c r="V6051" s="1">
        <v>0.0</v>
      </c>
      <c r="W6051" s="1" t="s">
        <v>26</v>
      </c>
    </row>
    <row r="6052" ht="15.75" customHeight="1">
      <c r="A6052" s="1" t="s">
        <v>6089</v>
      </c>
      <c r="B6052" s="1" t="s">
        <v>32</v>
      </c>
      <c r="C6052" s="1">
        <v>0.0</v>
      </c>
      <c r="D6052" s="1" t="s">
        <v>25</v>
      </c>
      <c r="E6052" s="1" t="s">
        <v>26</v>
      </c>
      <c r="F6052" s="1">
        <v>61.0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1">
        <v>99.4</v>
      </c>
      <c r="T6052" s="1">
        <v>5943.65</v>
      </c>
      <c r="U6052" s="1">
        <v>0.0</v>
      </c>
      <c r="V6052" s="1">
        <v>0.0</v>
      </c>
      <c r="W6052" s="1" t="s">
        <v>26</v>
      </c>
    </row>
    <row r="6053" ht="15.75" customHeight="1">
      <c r="A6053" s="1" t="s">
        <v>6090</v>
      </c>
      <c r="B6053" s="1" t="s">
        <v>32</v>
      </c>
      <c r="C6053" s="1">
        <v>0.0</v>
      </c>
      <c r="D6053" s="1" t="s">
        <v>26</v>
      </c>
      <c r="E6053" s="1" t="s">
        <v>26</v>
      </c>
      <c r="F6053" s="1">
        <v>16.0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1">
        <v>20.0</v>
      </c>
      <c r="T6053" s="1">
        <v>275.7</v>
      </c>
      <c r="U6053" s="1">
        <v>0.0</v>
      </c>
      <c r="V6053" s="1">
        <v>1.0</v>
      </c>
      <c r="W6053" s="1" t="s">
        <v>26</v>
      </c>
    </row>
    <row r="6054" ht="15.75" customHeight="1">
      <c r="A6054" s="1" t="s">
        <v>6091</v>
      </c>
      <c r="B6054" s="1" t="s">
        <v>24</v>
      </c>
      <c r="C6054" s="1">
        <v>0.0</v>
      </c>
      <c r="D6054" s="1" t="s">
        <v>25</v>
      </c>
      <c r="E6054" s="1" t="s">
        <v>25</v>
      </c>
      <c r="F6054" s="1">
        <v>41.0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1">
        <v>78.45</v>
      </c>
      <c r="T6054" s="1">
        <v>3126.45</v>
      </c>
      <c r="U6054" s="1">
        <v>0.0</v>
      </c>
      <c r="V6054" s="1">
        <v>0.0</v>
      </c>
      <c r="W6054" s="1" t="s">
        <v>26</v>
      </c>
    </row>
    <row r="6055" ht="15.75" customHeight="1">
      <c r="A6055" s="1" t="s">
        <v>6092</v>
      </c>
      <c r="B6055" s="1" t="s">
        <v>24</v>
      </c>
      <c r="C6055" s="1">
        <v>0.0</v>
      </c>
      <c r="D6055" s="1" t="s">
        <v>26</v>
      </c>
      <c r="E6055" s="1" t="s">
        <v>25</v>
      </c>
      <c r="F6055" s="1">
        <v>43.0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1">
        <v>25.1</v>
      </c>
      <c r="T6055" s="1">
        <v>1070.15</v>
      </c>
      <c r="U6055" s="1">
        <v>0.0</v>
      </c>
      <c r="V6055" s="1">
        <v>0.0</v>
      </c>
      <c r="W6055" s="1" t="s">
        <v>26</v>
      </c>
    </row>
    <row r="6056" ht="15.75" customHeight="1">
      <c r="A6056" s="1" t="s">
        <v>6093</v>
      </c>
      <c r="B6056" s="1" t="s">
        <v>24</v>
      </c>
      <c r="C6056" s="1">
        <v>0.0</v>
      </c>
      <c r="D6056" s="1" t="s">
        <v>25</v>
      </c>
      <c r="E6056" s="1" t="s">
        <v>25</v>
      </c>
      <c r="F6056" s="1">
        <v>36.0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1">
        <v>97.35</v>
      </c>
      <c r="T6056" s="1">
        <v>3457.9</v>
      </c>
      <c r="U6056" s="1">
        <v>0.0</v>
      </c>
      <c r="V6056" s="1">
        <v>3.0</v>
      </c>
      <c r="W6056" s="1" t="s">
        <v>25</v>
      </c>
    </row>
    <row r="6057" ht="15.75" customHeight="1">
      <c r="A6057" s="1" t="s">
        <v>6094</v>
      </c>
      <c r="B6057" s="1" t="s">
        <v>24</v>
      </c>
      <c r="C6057" s="1">
        <v>0.0</v>
      </c>
      <c r="D6057" s="1" t="s">
        <v>26</v>
      </c>
      <c r="E6057" s="1" t="s">
        <v>26</v>
      </c>
      <c r="F6057" s="1">
        <v>6.0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1">
        <v>55.0</v>
      </c>
      <c r="T6057" s="1">
        <v>340.4</v>
      </c>
      <c r="U6057" s="1">
        <v>0.0</v>
      </c>
      <c r="V6057" s="1">
        <v>0.0</v>
      </c>
      <c r="W6057" s="1" t="s">
        <v>26</v>
      </c>
    </row>
    <row r="6058" ht="15.75" customHeight="1">
      <c r="A6058" s="1" t="s">
        <v>6095</v>
      </c>
      <c r="B6058" s="1" t="s">
        <v>24</v>
      </c>
      <c r="C6058" s="1">
        <v>0.0</v>
      </c>
      <c r="D6058" s="1" t="s">
        <v>26</v>
      </c>
      <c r="E6058" s="1" t="s">
        <v>26</v>
      </c>
      <c r="F6058" s="1">
        <v>58.0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1">
        <v>71.1</v>
      </c>
      <c r="T6058" s="1">
        <v>4299.2</v>
      </c>
      <c r="U6058" s="1">
        <v>0.0</v>
      </c>
      <c r="V6058" s="1">
        <v>0.0</v>
      </c>
      <c r="W6058" s="1" t="s">
        <v>26</v>
      </c>
    </row>
    <row r="6059" ht="15.75" customHeight="1">
      <c r="A6059" s="1" t="s">
        <v>6096</v>
      </c>
      <c r="B6059" s="1" t="s">
        <v>32</v>
      </c>
      <c r="C6059" s="1">
        <v>0.0</v>
      </c>
      <c r="D6059" s="1" t="s">
        <v>26</v>
      </c>
      <c r="E6059" s="1" t="s">
        <v>26</v>
      </c>
      <c r="F6059" s="1">
        <v>19.0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1">
        <v>61.55</v>
      </c>
      <c r="T6059" s="1">
        <v>1093.2</v>
      </c>
      <c r="U6059" s="1">
        <v>0.0</v>
      </c>
      <c r="V6059" s="1">
        <v>0.0</v>
      </c>
      <c r="W6059" s="1" t="s">
        <v>26</v>
      </c>
    </row>
    <row r="6060" ht="15.75" customHeight="1">
      <c r="A6060" s="1" t="s">
        <v>6097</v>
      </c>
      <c r="B6060" s="1" t="s">
        <v>32</v>
      </c>
      <c r="C6060" s="1">
        <v>0.0</v>
      </c>
      <c r="D6060" s="1" t="s">
        <v>25</v>
      </c>
      <c r="E6060" s="1" t="s">
        <v>26</v>
      </c>
      <c r="F6060" s="1">
        <v>11.0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1">
        <v>45.9</v>
      </c>
      <c r="T6060" s="1">
        <v>521.9</v>
      </c>
      <c r="U6060" s="1">
        <v>0.0</v>
      </c>
      <c r="V6060" s="1">
        <v>0.0</v>
      </c>
      <c r="W6060" s="1" t="s">
        <v>26</v>
      </c>
    </row>
    <row r="6061" ht="15.75" customHeight="1">
      <c r="A6061" s="1" t="s">
        <v>6098</v>
      </c>
      <c r="B6061" s="1" t="s">
        <v>24</v>
      </c>
      <c r="C6061" s="1">
        <v>0.0</v>
      </c>
      <c r="D6061" s="1" t="s">
        <v>26</v>
      </c>
      <c r="E6061" s="1" t="s">
        <v>26</v>
      </c>
      <c r="F6061" s="1">
        <v>39.0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1">
        <v>40.3</v>
      </c>
      <c r="T6061" s="1">
        <v>1630.4</v>
      </c>
      <c r="U6061" s="1">
        <v>0.0</v>
      </c>
      <c r="V6061" s="1">
        <v>0.0</v>
      </c>
      <c r="W6061" s="1" t="s">
        <v>26</v>
      </c>
    </row>
    <row r="6062" ht="15.75" customHeight="1">
      <c r="A6062" s="1" t="s">
        <v>6099</v>
      </c>
      <c r="B6062" s="1" t="s">
        <v>24</v>
      </c>
      <c r="C6062" s="1">
        <v>1.0</v>
      </c>
      <c r="D6062" s="1" t="s">
        <v>26</v>
      </c>
      <c r="E6062" s="1" t="s">
        <v>26</v>
      </c>
      <c r="F6062" s="1">
        <v>8.0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1">
        <v>87.1</v>
      </c>
      <c r="T6062" s="1">
        <v>713.6</v>
      </c>
      <c r="U6062" s="1">
        <v>0.0</v>
      </c>
      <c r="V6062" s="1">
        <v>0.0</v>
      </c>
      <c r="W6062" s="1" t="s">
        <v>26</v>
      </c>
    </row>
    <row r="6063" ht="15.75" customHeight="1">
      <c r="A6063" s="1" t="s">
        <v>6100</v>
      </c>
      <c r="B6063" s="1" t="s">
        <v>24</v>
      </c>
      <c r="C6063" s="1">
        <v>0.0</v>
      </c>
      <c r="D6063" s="1" t="s">
        <v>26</v>
      </c>
      <c r="E6063" s="1" t="s">
        <v>25</v>
      </c>
      <c r="F6063" s="1">
        <v>26.0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1">
        <v>49.5</v>
      </c>
      <c r="T6063" s="1">
        <v>1265.65</v>
      </c>
      <c r="U6063" s="1">
        <v>0.0</v>
      </c>
      <c r="V6063" s="1">
        <v>0.0</v>
      </c>
      <c r="W6063" s="1" t="s">
        <v>26</v>
      </c>
    </row>
    <row r="6064" ht="15.75" customHeight="1">
      <c r="A6064" s="1" t="s">
        <v>6101</v>
      </c>
      <c r="B6064" s="1" t="s">
        <v>24</v>
      </c>
      <c r="C6064" s="1">
        <v>1.0</v>
      </c>
      <c r="D6064" s="1" t="s">
        <v>26</v>
      </c>
      <c r="E6064" s="1" t="s">
        <v>26</v>
      </c>
      <c r="F6064" s="1">
        <v>53.0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1">
        <v>73.8</v>
      </c>
      <c r="T6064" s="1">
        <v>4003.85</v>
      </c>
      <c r="U6064" s="1">
        <v>0.0</v>
      </c>
      <c r="V6064" s="1">
        <v>0.0</v>
      </c>
      <c r="W6064" s="1" t="s">
        <v>26</v>
      </c>
    </row>
    <row r="6065" ht="15.75" customHeight="1">
      <c r="A6065" s="1" t="s">
        <v>6102</v>
      </c>
      <c r="B6065" s="1" t="s">
        <v>24</v>
      </c>
      <c r="C6065" s="1">
        <v>0.0</v>
      </c>
      <c r="D6065" s="1" t="s">
        <v>25</v>
      </c>
      <c r="E6065" s="1" t="s">
        <v>25</v>
      </c>
      <c r="F6065" s="1">
        <v>70.0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1">
        <v>19.2</v>
      </c>
      <c r="T6065" s="1">
        <v>1401.4</v>
      </c>
      <c r="U6065" s="1">
        <v>0.0</v>
      </c>
      <c r="V6065" s="1">
        <v>0.0</v>
      </c>
      <c r="W6065" s="1" t="s">
        <v>26</v>
      </c>
    </row>
    <row r="6066" ht="15.75" customHeight="1">
      <c r="A6066" s="1" t="s">
        <v>6103</v>
      </c>
      <c r="B6066" s="1" t="s">
        <v>32</v>
      </c>
      <c r="C6066" s="1">
        <v>0.0</v>
      </c>
      <c r="D6066" s="1" t="s">
        <v>26</v>
      </c>
      <c r="E6066" s="1" t="s">
        <v>26</v>
      </c>
      <c r="F6066" s="1">
        <v>1.0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1">
        <v>45.3</v>
      </c>
      <c r="T6066" s="1">
        <v>45.3</v>
      </c>
      <c r="U6066" s="1">
        <v>0.0</v>
      </c>
      <c r="V6066" s="1">
        <v>0.0</v>
      </c>
      <c r="W6066" s="1" t="s">
        <v>25</v>
      </c>
    </row>
    <row r="6067" ht="15.75" customHeight="1">
      <c r="A6067" s="1" t="s">
        <v>6104</v>
      </c>
      <c r="B6067" s="1" t="s">
        <v>32</v>
      </c>
      <c r="C6067" s="1">
        <v>0.0</v>
      </c>
      <c r="D6067" s="1" t="s">
        <v>26</v>
      </c>
      <c r="E6067" s="1" t="s">
        <v>26</v>
      </c>
      <c r="F6067" s="1">
        <v>59.0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1">
        <v>25.0</v>
      </c>
      <c r="T6067" s="1">
        <v>1510.5</v>
      </c>
      <c r="U6067" s="1">
        <v>0.0</v>
      </c>
      <c r="V6067" s="1">
        <v>0.0</v>
      </c>
      <c r="W6067" s="1" t="s">
        <v>26</v>
      </c>
    </row>
    <row r="6068" ht="15.75" customHeight="1">
      <c r="A6068" s="1" t="s">
        <v>6105</v>
      </c>
      <c r="B6068" s="1" t="s">
        <v>32</v>
      </c>
      <c r="C6068" s="1">
        <v>0.0</v>
      </c>
      <c r="D6068" s="1" t="s">
        <v>26</v>
      </c>
      <c r="E6068" s="1" t="s">
        <v>26</v>
      </c>
      <c r="F6068" s="1">
        <v>2.0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1">
        <v>94.95</v>
      </c>
      <c r="T6068" s="1">
        <v>178.1</v>
      </c>
      <c r="U6068" s="1">
        <v>0.0</v>
      </c>
      <c r="V6068" s="1">
        <v>0.0</v>
      </c>
      <c r="W6068" s="1" t="s">
        <v>25</v>
      </c>
    </row>
    <row r="6069" ht="15.75" customHeight="1">
      <c r="A6069" s="1" t="s">
        <v>6106</v>
      </c>
      <c r="B6069" s="1" t="s">
        <v>32</v>
      </c>
      <c r="C6069" s="1">
        <v>0.0</v>
      </c>
      <c r="D6069" s="1" t="s">
        <v>26</v>
      </c>
      <c r="E6069" s="1" t="s">
        <v>26</v>
      </c>
      <c r="F6069" s="1">
        <v>7.0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1">
        <v>35.3</v>
      </c>
      <c r="T6069" s="1">
        <v>264.8</v>
      </c>
      <c r="U6069" s="1">
        <v>3.0</v>
      </c>
      <c r="V6069" s="1">
        <v>0.0</v>
      </c>
      <c r="W6069" s="1" t="s">
        <v>26</v>
      </c>
    </row>
    <row r="6070" ht="15.75" customHeight="1">
      <c r="A6070" s="1" t="s">
        <v>6107</v>
      </c>
      <c r="B6070" s="1" t="s">
        <v>24</v>
      </c>
      <c r="C6070" s="1">
        <v>0.0</v>
      </c>
      <c r="D6070" s="1" t="s">
        <v>26</v>
      </c>
      <c r="E6070" s="1" t="s">
        <v>25</v>
      </c>
      <c r="F6070" s="1">
        <v>12.0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1">
        <v>44.55</v>
      </c>
      <c r="T6070" s="1">
        <v>480.6</v>
      </c>
      <c r="U6070" s="1">
        <v>0.0</v>
      </c>
      <c r="V6070" s="1">
        <v>0.0</v>
      </c>
      <c r="W6070" s="1" t="s">
        <v>25</v>
      </c>
    </row>
    <row r="6071" ht="15.75" customHeight="1">
      <c r="A6071" s="1" t="s">
        <v>6108</v>
      </c>
      <c r="B6071" s="1" t="s">
        <v>32</v>
      </c>
      <c r="C6071" s="1">
        <v>0.0</v>
      </c>
      <c r="D6071" s="1" t="s">
        <v>25</v>
      </c>
      <c r="E6071" s="1" t="s">
        <v>25</v>
      </c>
      <c r="F6071" s="1">
        <v>59.0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1">
        <v>76.75</v>
      </c>
      <c r="T6071" s="1">
        <v>4541.9</v>
      </c>
      <c r="U6071" s="1">
        <v>0.0</v>
      </c>
      <c r="V6071" s="1">
        <v>0.0</v>
      </c>
      <c r="W6071" s="1" t="s">
        <v>26</v>
      </c>
    </row>
    <row r="6072" ht="15.75" customHeight="1">
      <c r="A6072" s="1" t="s">
        <v>6109</v>
      </c>
      <c r="B6072" s="1" t="s">
        <v>32</v>
      </c>
      <c r="C6072" s="1">
        <v>0.0</v>
      </c>
      <c r="D6072" s="1" t="s">
        <v>25</v>
      </c>
      <c r="E6072" s="1" t="s">
        <v>25</v>
      </c>
      <c r="F6072" s="1">
        <v>61.0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1">
        <v>81.0</v>
      </c>
      <c r="T6072" s="1">
        <v>4976.15</v>
      </c>
      <c r="U6072" s="1">
        <v>0.0</v>
      </c>
      <c r="V6072" s="1">
        <v>0.0</v>
      </c>
      <c r="W6072" s="1" t="s">
        <v>26</v>
      </c>
    </row>
    <row r="6073" ht="15.75" customHeight="1">
      <c r="A6073" s="1" t="s">
        <v>6110</v>
      </c>
      <c r="B6073" s="1" t="s">
        <v>32</v>
      </c>
      <c r="C6073" s="1">
        <v>0.0</v>
      </c>
      <c r="D6073" s="1" t="s">
        <v>25</v>
      </c>
      <c r="E6073" s="1" t="s">
        <v>25</v>
      </c>
      <c r="F6073" s="1">
        <v>72.0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1">
        <v>105.55</v>
      </c>
      <c r="T6073" s="1">
        <v>7542.25</v>
      </c>
      <c r="U6073" s="1">
        <v>0.0</v>
      </c>
      <c r="V6073" s="1">
        <v>0.0</v>
      </c>
      <c r="W6073" s="1" t="s">
        <v>26</v>
      </c>
    </row>
    <row r="6074" ht="15.75" customHeight="1">
      <c r="A6074" s="1" t="s">
        <v>6111</v>
      </c>
      <c r="B6074" s="1" t="s">
        <v>24</v>
      </c>
      <c r="C6074" s="1">
        <v>0.0</v>
      </c>
      <c r="D6074" s="1" t="s">
        <v>25</v>
      </c>
      <c r="E6074" s="1" t="s">
        <v>25</v>
      </c>
      <c r="F6074" s="1">
        <v>13.0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1">
        <v>18.8</v>
      </c>
      <c r="T6074" s="1">
        <v>251.25</v>
      </c>
      <c r="U6074" s="1">
        <v>0.0</v>
      </c>
      <c r="V6074" s="1">
        <v>0.0</v>
      </c>
      <c r="W6074" s="1" t="s">
        <v>26</v>
      </c>
    </row>
    <row r="6075" ht="15.75" customHeight="1">
      <c r="A6075" s="1" t="s">
        <v>6112</v>
      </c>
      <c r="B6075" s="1" t="s">
        <v>24</v>
      </c>
      <c r="C6075" s="1">
        <v>0.0</v>
      </c>
      <c r="D6075" s="1" t="s">
        <v>25</v>
      </c>
      <c r="E6075" s="1" t="s">
        <v>25</v>
      </c>
      <c r="F6075" s="1">
        <v>64.0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1">
        <v>24.9</v>
      </c>
      <c r="T6075" s="1">
        <v>1595.5</v>
      </c>
      <c r="U6075" s="1">
        <v>0.0</v>
      </c>
      <c r="V6075" s="1">
        <v>0.0</v>
      </c>
      <c r="W6075" s="1" t="s">
        <v>26</v>
      </c>
    </row>
    <row r="6076" ht="15.75" customHeight="1">
      <c r="A6076" s="1" t="s">
        <v>6113</v>
      </c>
      <c r="B6076" s="1" t="s">
        <v>32</v>
      </c>
      <c r="C6076" s="1">
        <v>0.0</v>
      </c>
      <c r="D6076" s="1" t="s">
        <v>25</v>
      </c>
      <c r="E6076" s="1" t="s">
        <v>26</v>
      </c>
      <c r="F6076" s="1">
        <v>1.0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1">
        <v>23.45</v>
      </c>
      <c r="T6076" s="1">
        <v>23.45</v>
      </c>
      <c r="U6076" s="1">
        <v>0.0</v>
      </c>
      <c r="V6076" s="1">
        <v>0.0</v>
      </c>
      <c r="W6076" s="1" t="s">
        <v>25</v>
      </c>
    </row>
    <row r="6077" ht="15.75" customHeight="1">
      <c r="A6077" s="1" t="s">
        <v>6114</v>
      </c>
      <c r="B6077" s="1" t="s">
        <v>24</v>
      </c>
      <c r="C6077" s="1">
        <v>0.0</v>
      </c>
      <c r="D6077" s="1" t="s">
        <v>26</v>
      </c>
      <c r="E6077" s="1" t="s">
        <v>26</v>
      </c>
      <c r="F6077" s="1">
        <v>10.0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1">
        <v>64.9</v>
      </c>
      <c r="T6077" s="1">
        <v>685.55</v>
      </c>
      <c r="U6077" s="1">
        <v>0.0</v>
      </c>
      <c r="V6077" s="1">
        <v>0.0</v>
      </c>
      <c r="W6077" s="1" t="s">
        <v>26</v>
      </c>
    </row>
    <row r="6078" ht="15.75" customHeight="1">
      <c r="A6078" s="1" t="s">
        <v>6115</v>
      </c>
      <c r="B6078" s="1" t="s">
        <v>24</v>
      </c>
      <c r="C6078" s="1">
        <v>0.0</v>
      </c>
      <c r="D6078" s="1" t="s">
        <v>25</v>
      </c>
      <c r="E6078" s="1" t="s">
        <v>25</v>
      </c>
      <c r="F6078" s="1">
        <v>65.0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1">
        <v>61.35</v>
      </c>
      <c r="T6078" s="1">
        <v>3874.1</v>
      </c>
      <c r="U6078" s="1">
        <v>0.0</v>
      </c>
      <c r="V6078" s="1">
        <v>0.0</v>
      </c>
      <c r="W6078" s="1" t="s">
        <v>26</v>
      </c>
    </row>
    <row r="6079" ht="15.75" customHeight="1">
      <c r="A6079" s="1" t="s">
        <v>6116</v>
      </c>
      <c r="B6079" s="1" t="s">
        <v>24</v>
      </c>
      <c r="C6079" s="1">
        <v>0.0</v>
      </c>
      <c r="D6079" s="1" t="s">
        <v>25</v>
      </c>
      <c r="E6079" s="1" t="s">
        <v>26</v>
      </c>
      <c r="F6079" s="1">
        <v>62.0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1">
        <v>113.95</v>
      </c>
      <c r="T6079" s="1">
        <v>6891.4</v>
      </c>
      <c r="U6079" s="1">
        <v>0.0</v>
      </c>
      <c r="V6079" s="1">
        <v>0.0</v>
      </c>
      <c r="W6079" s="1" t="s">
        <v>26</v>
      </c>
    </row>
    <row r="6080" ht="15.75" customHeight="1">
      <c r="A6080" s="1" t="s">
        <v>6117</v>
      </c>
      <c r="B6080" s="1" t="s">
        <v>24</v>
      </c>
      <c r="C6080" s="1">
        <v>0.0</v>
      </c>
      <c r="D6080" s="1" t="s">
        <v>25</v>
      </c>
      <c r="E6080" s="1" t="s">
        <v>26</v>
      </c>
      <c r="F6080" s="1">
        <v>55.0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1">
        <v>90.15</v>
      </c>
      <c r="T6080" s="1">
        <v>4916.95</v>
      </c>
      <c r="U6080" s="1">
        <v>0.0</v>
      </c>
      <c r="V6080" s="1">
        <v>0.0</v>
      </c>
      <c r="W6080" s="1" t="s">
        <v>26</v>
      </c>
    </row>
    <row r="6081" ht="15.75" customHeight="1">
      <c r="A6081" s="1" t="s">
        <v>6118</v>
      </c>
      <c r="B6081" s="1" t="s">
        <v>24</v>
      </c>
      <c r="C6081" s="1">
        <v>0.0</v>
      </c>
      <c r="D6081" s="1" t="s">
        <v>25</v>
      </c>
      <c r="E6081" s="1" t="s">
        <v>26</v>
      </c>
      <c r="F6081" s="1">
        <v>25.0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1">
        <v>54.1</v>
      </c>
      <c r="T6081" s="1">
        <v>1373.0</v>
      </c>
      <c r="U6081" s="1">
        <v>0.0</v>
      </c>
      <c r="V6081" s="1">
        <v>0.0</v>
      </c>
      <c r="W6081" s="1" t="s">
        <v>26</v>
      </c>
    </row>
    <row r="6082" ht="15.75" customHeight="1">
      <c r="A6082" s="1" t="s">
        <v>6119</v>
      </c>
      <c r="B6082" s="1" t="s">
        <v>32</v>
      </c>
      <c r="C6082" s="1">
        <v>0.0</v>
      </c>
      <c r="D6082" s="1" t="s">
        <v>26</v>
      </c>
      <c r="E6082" s="1" t="s">
        <v>26</v>
      </c>
      <c r="F6082" s="1">
        <v>1.0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1">
        <v>29.7</v>
      </c>
      <c r="T6082" s="1">
        <v>29.7</v>
      </c>
      <c r="U6082" s="1">
        <v>0.0</v>
      </c>
      <c r="V6082" s="1">
        <v>0.0</v>
      </c>
      <c r="W6082" s="1" t="s">
        <v>25</v>
      </c>
    </row>
    <row r="6083" ht="15.75" customHeight="1">
      <c r="A6083" s="1" t="s">
        <v>6120</v>
      </c>
      <c r="B6083" s="1" t="s">
        <v>32</v>
      </c>
      <c r="C6083" s="1">
        <v>0.0</v>
      </c>
      <c r="D6083" s="1" t="s">
        <v>26</v>
      </c>
      <c r="E6083" s="1" t="s">
        <v>26</v>
      </c>
      <c r="F6083" s="1">
        <v>1.0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1">
        <v>49.8</v>
      </c>
      <c r="T6083" s="1">
        <v>49.8</v>
      </c>
      <c r="U6083" s="1">
        <v>0.0</v>
      </c>
      <c r="V6083" s="1">
        <v>0.0</v>
      </c>
      <c r="W6083" s="1" t="s">
        <v>26</v>
      </c>
    </row>
    <row r="6084" ht="15.75" customHeight="1">
      <c r="A6084" s="1" t="s">
        <v>6121</v>
      </c>
      <c r="B6084" s="1" t="s">
        <v>24</v>
      </c>
      <c r="C6084" s="1">
        <v>0.0</v>
      </c>
      <c r="D6084" s="1" t="s">
        <v>25</v>
      </c>
      <c r="E6084" s="1" t="s">
        <v>26</v>
      </c>
      <c r="F6084" s="1">
        <v>59.0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1">
        <v>101.1</v>
      </c>
      <c r="T6084" s="1">
        <v>6039.9</v>
      </c>
      <c r="U6084" s="1">
        <v>0.0</v>
      </c>
      <c r="V6084" s="1">
        <v>5.0</v>
      </c>
      <c r="W6084" s="1" t="s">
        <v>25</v>
      </c>
    </row>
    <row r="6085" ht="15.75" customHeight="1">
      <c r="A6085" s="1" t="s">
        <v>6122</v>
      </c>
      <c r="B6085" s="1" t="s">
        <v>32</v>
      </c>
      <c r="C6085" s="1">
        <v>1.0</v>
      </c>
      <c r="D6085" s="1" t="s">
        <v>25</v>
      </c>
      <c r="E6085" s="1" t="s">
        <v>25</v>
      </c>
      <c r="F6085" s="1">
        <v>64.0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1">
        <v>24.4</v>
      </c>
      <c r="T6085" s="1">
        <v>1548.65</v>
      </c>
      <c r="U6085" s="1">
        <v>0.0</v>
      </c>
      <c r="V6085" s="1">
        <v>0.0</v>
      </c>
      <c r="W6085" s="1" t="s">
        <v>26</v>
      </c>
    </row>
    <row r="6086" ht="15.75" customHeight="1">
      <c r="A6086" s="1" t="s">
        <v>6123</v>
      </c>
      <c r="B6086" s="1" t="s">
        <v>32</v>
      </c>
      <c r="C6086" s="1">
        <v>0.0</v>
      </c>
      <c r="D6086" s="1" t="s">
        <v>25</v>
      </c>
      <c r="E6086" s="1" t="s">
        <v>26</v>
      </c>
      <c r="F6086" s="1">
        <v>36.0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1">
        <v>95.0</v>
      </c>
      <c r="T6086" s="1">
        <v>3440.25</v>
      </c>
      <c r="U6086" s="1">
        <v>0.0</v>
      </c>
      <c r="V6086" s="1">
        <v>0.0</v>
      </c>
      <c r="W6086" s="1" t="s">
        <v>26</v>
      </c>
    </row>
    <row r="6087" ht="15.75" customHeight="1">
      <c r="A6087" s="1" t="s">
        <v>6124</v>
      </c>
      <c r="B6087" s="1" t="s">
        <v>24</v>
      </c>
      <c r="C6087" s="1">
        <v>0.0</v>
      </c>
      <c r="D6087" s="1" t="s">
        <v>26</v>
      </c>
      <c r="E6087" s="1" t="s">
        <v>26</v>
      </c>
      <c r="F6087" s="1">
        <v>3.0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1">
        <v>50.65</v>
      </c>
      <c r="T6087" s="1">
        <v>151.3</v>
      </c>
      <c r="U6087" s="1">
        <v>0.0</v>
      </c>
      <c r="V6087" s="1">
        <v>0.0</v>
      </c>
      <c r="W6087" s="1" t="s">
        <v>25</v>
      </c>
    </row>
    <row r="6088" ht="15.75" customHeight="1">
      <c r="A6088" s="1" t="s">
        <v>6125</v>
      </c>
      <c r="B6088" s="1" t="s">
        <v>32</v>
      </c>
      <c r="C6088" s="1">
        <v>0.0</v>
      </c>
      <c r="D6088" s="1" t="s">
        <v>25</v>
      </c>
      <c r="E6088" s="1" t="s">
        <v>26</v>
      </c>
      <c r="F6088" s="1">
        <v>61.0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1">
        <v>69.9</v>
      </c>
      <c r="T6088" s="1">
        <v>4226.7</v>
      </c>
      <c r="U6088" s="1">
        <v>0.0</v>
      </c>
      <c r="V6088" s="1">
        <v>0.0</v>
      </c>
      <c r="W6088" s="1" t="s">
        <v>26</v>
      </c>
    </row>
    <row r="6089" ht="15.75" customHeight="1">
      <c r="A6089" s="1" t="s">
        <v>6126</v>
      </c>
      <c r="B6089" s="1" t="s">
        <v>32</v>
      </c>
      <c r="C6089" s="1">
        <v>0.0</v>
      </c>
      <c r="D6089" s="1" t="s">
        <v>26</v>
      </c>
      <c r="E6089" s="1" t="s">
        <v>25</v>
      </c>
      <c r="F6089" s="1">
        <v>26.0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1">
        <v>39.95</v>
      </c>
      <c r="T6089" s="1">
        <v>1023.75</v>
      </c>
      <c r="U6089" s="1">
        <v>0.0</v>
      </c>
      <c r="V6089" s="1">
        <v>0.0</v>
      </c>
      <c r="W6089" s="1" t="s">
        <v>26</v>
      </c>
    </row>
    <row r="6090" ht="15.75" customHeight="1">
      <c r="A6090" s="1" t="s">
        <v>6127</v>
      </c>
      <c r="B6090" s="1" t="s">
        <v>24</v>
      </c>
      <c r="C6090" s="1">
        <v>0.0</v>
      </c>
      <c r="D6090" s="1" t="s">
        <v>26</v>
      </c>
      <c r="E6090" s="1" t="s">
        <v>26</v>
      </c>
      <c r="F6090" s="1">
        <v>1.0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1">
        <v>55.4</v>
      </c>
      <c r="T6090" s="1">
        <v>55.4</v>
      </c>
      <c r="U6090" s="1">
        <v>0.0</v>
      </c>
      <c r="V6090" s="1">
        <v>0.0</v>
      </c>
      <c r="W6090" s="1" t="s">
        <v>25</v>
      </c>
    </row>
    <row r="6091" ht="15.75" customHeight="1">
      <c r="A6091" s="1" t="s">
        <v>6128</v>
      </c>
      <c r="B6091" s="1" t="s">
        <v>24</v>
      </c>
      <c r="C6091" s="1">
        <v>1.0</v>
      </c>
      <c r="D6091" s="1" t="s">
        <v>25</v>
      </c>
      <c r="E6091" s="1" t="s">
        <v>26</v>
      </c>
      <c r="F6091" s="1">
        <v>1.0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1">
        <v>90.6</v>
      </c>
      <c r="T6091" s="1">
        <v>90.6</v>
      </c>
      <c r="U6091" s="1">
        <v>0.0</v>
      </c>
      <c r="V6091" s="1">
        <v>0.0</v>
      </c>
      <c r="W6091" s="1" t="s">
        <v>25</v>
      </c>
    </row>
    <row r="6092" ht="15.75" customHeight="1">
      <c r="A6092" s="1" t="s">
        <v>6129</v>
      </c>
      <c r="B6092" s="1" t="s">
        <v>32</v>
      </c>
      <c r="C6092" s="1">
        <v>0.0</v>
      </c>
      <c r="D6092" s="1" t="s">
        <v>25</v>
      </c>
      <c r="E6092" s="1" t="s">
        <v>25</v>
      </c>
      <c r="F6092" s="1">
        <v>68.0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1">
        <v>103.25</v>
      </c>
      <c r="T6092" s="1">
        <v>7074.4</v>
      </c>
      <c r="U6092" s="1">
        <v>0.0</v>
      </c>
      <c r="V6092" s="1">
        <v>0.0</v>
      </c>
      <c r="W6092" s="1" t="s">
        <v>26</v>
      </c>
    </row>
    <row r="6093" ht="15.75" customHeight="1">
      <c r="A6093" s="1" t="s">
        <v>6130</v>
      </c>
      <c r="B6093" s="1" t="s">
        <v>32</v>
      </c>
      <c r="C6093" s="1">
        <v>1.0</v>
      </c>
      <c r="D6093" s="1" t="s">
        <v>25</v>
      </c>
      <c r="E6093" s="1" t="s">
        <v>26</v>
      </c>
      <c r="F6093" s="1">
        <v>2.0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1">
        <v>86.85</v>
      </c>
      <c r="T6093" s="1">
        <v>156.35</v>
      </c>
      <c r="U6093" s="1">
        <v>0.0</v>
      </c>
      <c r="V6093" s="1">
        <v>0.0</v>
      </c>
      <c r="W6093" s="1" t="s">
        <v>25</v>
      </c>
    </row>
    <row r="6094" ht="15.75" customHeight="1">
      <c r="A6094" s="1" t="s">
        <v>6131</v>
      </c>
      <c r="B6094" s="1" t="s">
        <v>24</v>
      </c>
      <c r="C6094" s="1">
        <v>0.0</v>
      </c>
      <c r="D6094" s="1" t="s">
        <v>25</v>
      </c>
      <c r="E6094" s="1" t="s">
        <v>26</v>
      </c>
      <c r="F6094" s="1">
        <v>72.0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1">
        <v>94.25</v>
      </c>
      <c r="T6094" s="1">
        <v>6849.75</v>
      </c>
      <c r="U6094" s="1">
        <v>0.0</v>
      </c>
      <c r="V6094" s="1">
        <v>0.0</v>
      </c>
      <c r="W6094" s="1" t="s">
        <v>26</v>
      </c>
    </row>
    <row r="6095" ht="15.75" customHeight="1">
      <c r="A6095" s="1" t="s">
        <v>6132</v>
      </c>
      <c r="B6095" s="1" t="s">
        <v>24</v>
      </c>
      <c r="C6095" s="1">
        <v>0.0</v>
      </c>
      <c r="D6095" s="1" t="s">
        <v>25</v>
      </c>
      <c r="E6095" s="1" t="s">
        <v>26</v>
      </c>
      <c r="F6095" s="1">
        <v>71.0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1">
        <v>47.05</v>
      </c>
      <c r="T6095" s="1">
        <v>3263.6</v>
      </c>
      <c r="U6095" s="1">
        <v>0.0</v>
      </c>
      <c r="V6095" s="1">
        <v>0.0</v>
      </c>
      <c r="W6095" s="1" t="s">
        <v>26</v>
      </c>
    </row>
    <row r="6096" ht="15.75" customHeight="1">
      <c r="A6096" s="1" t="s">
        <v>6133</v>
      </c>
      <c r="B6096" s="1" t="s">
        <v>32</v>
      </c>
      <c r="C6096" s="1">
        <v>0.0</v>
      </c>
      <c r="D6096" s="1" t="s">
        <v>26</v>
      </c>
      <c r="E6096" s="1" t="s">
        <v>26</v>
      </c>
      <c r="F6096" s="1">
        <v>57.0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1">
        <v>20.55</v>
      </c>
      <c r="T6096" s="1">
        <v>1252.85</v>
      </c>
      <c r="U6096" s="1">
        <v>0.0</v>
      </c>
      <c r="V6096" s="1">
        <v>0.0</v>
      </c>
      <c r="W6096" s="1" t="s">
        <v>26</v>
      </c>
    </row>
    <row r="6097" ht="15.75" customHeight="1">
      <c r="A6097" s="1" t="s">
        <v>6134</v>
      </c>
      <c r="B6097" s="1" t="s">
        <v>32</v>
      </c>
      <c r="C6097" s="1">
        <v>0.0</v>
      </c>
      <c r="D6097" s="1" t="s">
        <v>26</v>
      </c>
      <c r="E6097" s="1" t="s">
        <v>26</v>
      </c>
      <c r="F6097" s="1">
        <v>4.0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1">
        <v>19.65</v>
      </c>
      <c r="T6097" s="1">
        <v>67.55</v>
      </c>
      <c r="U6097" s="1">
        <v>0.0</v>
      </c>
      <c r="V6097" s="1">
        <v>0.0</v>
      </c>
      <c r="W6097" s="1" t="s">
        <v>26</v>
      </c>
    </row>
    <row r="6098" ht="15.75" customHeight="1">
      <c r="A6098" s="1" t="s">
        <v>6135</v>
      </c>
      <c r="B6098" s="1" t="s">
        <v>24</v>
      </c>
      <c r="C6098" s="1">
        <v>1.0</v>
      </c>
      <c r="D6098" s="1" t="s">
        <v>26</v>
      </c>
      <c r="E6098" s="1" t="s">
        <v>26</v>
      </c>
      <c r="F6098" s="1">
        <v>1.0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1">
        <v>70.2</v>
      </c>
      <c r="T6098" s="1">
        <v>70.2</v>
      </c>
      <c r="U6098" s="1">
        <v>0.0</v>
      </c>
      <c r="V6098" s="1">
        <v>0.0</v>
      </c>
      <c r="W6098" s="1" t="s">
        <v>26</v>
      </c>
    </row>
    <row r="6099" ht="15.75" customHeight="1">
      <c r="A6099" s="1" t="s">
        <v>6136</v>
      </c>
      <c r="B6099" s="1" t="s">
        <v>32</v>
      </c>
      <c r="C6099" s="1">
        <v>0.0</v>
      </c>
      <c r="D6099" s="1" t="s">
        <v>25</v>
      </c>
      <c r="E6099" s="1" t="s">
        <v>25</v>
      </c>
      <c r="F6099" s="1">
        <v>72.0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1">
        <v>81.0</v>
      </c>
      <c r="T6099" s="1">
        <v>5750.0</v>
      </c>
      <c r="U6099" s="1">
        <v>0.0</v>
      </c>
      <c r="V6099" s="1">
        <v>0.0</v>
      </c>
      <c r="W6099" s="1" t="s">
        <v>26</v>
      </c>
    </row>
    <row r="6100" ht="15.75" customHeight="1">
      <c r="A6100" s="1" t="s">
        <v>6137</v>
      </c>
      <c r="B6100" s="1" t="s">
        <v>32</v>
      </c>
      <c r="C6100" s="1">
        <v>0.0</v>
      </c>
      <c r="D6100" s="1" t="s">
        <v>25</v>
      </c>
      <c r="E6100" s="1" t="s">
        <v>25</v>
      </c>
      <c r="F6100" s="1">
        <v>21.0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1">
        <v>75.9</v>
      </c>
      <c r="T6100" s="1">
        <v>1549.75</v>
      </c>
      <c r="U6100" s="1">
        <v>0.0</v>
      </c>
      <c r="V6100" s="1">
        <v>0.0</v>
      </c>
      <c r="W6100" s="1" t="s">
        <v>26</v>
      </c>
    </row>
    <row r="6101" ht="15.75" customHeight="1">
      <c r="A6101" s="1" t="s">
        <v>6138</v>
      </c>
      <c r="B6101" s="1" t="s">
        <v>24</v>
      </c>
      <c r="C6101" s="1">
        <v>0.0</v>
      </c>
      <c r="D6101" s="1" t="s">
        <v>25</v>
      </c>
      <c r="E6101" s="1" t="s">
        <v>25</v>
      </c>
      <c r="F6101" s="1">
        <v>71.0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1">
        <v>24.7</v>
      </c>
      <c r="T6101" s="1">
        <v>1810.55</v>
      </c>
      <c r="U6101" s="1">
        <v>0.0</v>
      </c>
      <c r="V6101" s="1">
        <v>5.0</v>
      </c>
      <c r="W6101" s="1" t="s">
        <v>26</v>
      </c>
    </row>
    <row r="6102" ht="15.75" customHeight="1">
      <c r="A6102" s="1" t="s">
        <v>6139</v>
      </c>
      <c r="B6102" s="1" t="s">
        <v>24</v>
      </c>
      <c r="C6102" s="1">
        <v>1.0</v>
      </c>
      <c r="D6102" s="1" t="s">
        <v>25</v>
      </c>
      <c r="E6102" s="1" t="s">
        <v>26</v>
      </c>
      <c r="F6102" s="1">
        <v>29.0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1">
        <v>99.05</v>
      </c>
      <c r="T6102" s="1">
        <v>2952.85</v>
      </c>
      <c r="U6102" s="1">
        <v>0.0</v>
      </c>
      <c r="V6102" s="1">
        <v>1.0</v>
      </c>
      <c r="W6102" s="1" t="s">
        <v>25</v>
      </c>
    </row>
    <row r="6103" ht="15.75" customHeight="1">
      <c r="A6103" s="1" t="s">
        <v>6140</v>
      </c>
      <c r="B6103" s="1" t="s">
        <v>24</v>
      </c>
      <c r="C6103" s="1">
        <v>1.0</v>
      </c>
      <c r="D6103" s="1" t="s">
        <v>26</v>
      </c>
      <c r="E6103" s="1" t="s">
        <v>26</v>
      </c>
      <c r="F6103" s="1">
        <v>69.0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1">
        <v>110.25</v>
      </c>
      <c r="T6103" s="1">
        <v>7467.55</v>
      </c>
      <c r="U6103" s="1">
        <v>0.0</v>
      </c>
      <c r="V6103" s="1">
        <v>0.0</v>
      </c>
      <c r="W6103" s="1" t="s">
        <v>26</v>
      </c>
    </row>
    <row r="6104" ht="15.75" customHeight="1">
      <c r="A6104" s="1" t="s">
        <v>6141</v>
      </c>
      <c r="B6104" s="1" t="s">
        <v>24</v>
      </c>
      <c r="C6104" s="1">
        <v>0.0</v>
      </c>
      <c r="D6104" s="1" t="s">
        <v>25</v>
      </c>
      <c r="E6104" s="1" t="s">
        <v>26</v>
      </c>
      <c r="F6104" s="1">
        <v>64.0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1">
        <v>85.0</v>
      </c>
      <c r="T6104" s="1">
        <v>5484.4</v>
      </c>
      <c r="U6104" s="1">
        <v>0.0</v>
      </c>
      <c r="V6104" s="1">
        <v>0.0</v>
      </c>
      <c r="W6104" s="1" t="s">
        <v>26</v>
      </c>
    </row>
    <row r="6105" ht="15.75" customHeight="1">
      <c r="A6105" s="1" t="s">
        <v>6142</v>
      </c>
      <c r="B6105" s="1" t="s">
        <v>32</v>
      </c>
      <c r="C6105" s="1">
        <v>0.0</v>
      </c>
      <c r="D6105" s="1" t="s">
        <v>26</v>
      </c>
      <c r="E6105" s="1" t="s">
        <v>26</v>
      </c>
      <c r="F6105" s="1">
        <v>16.0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1">
        <v>19.75</v>
      </c>
      <c r="T6105" s="1">
        <v>294.9</v>
      </c>
      <c r="U6105" s="1">
        <v>0.0</v>
      </c>
      <c r="V6105" s="1">
        <v>0.0</v>
      </c>
      <c r="W6105" s="1" t="s">
        <v>26</v>
      </c>
    </row>
    <row r="6106" ht="15.75" customHeight="1">
      <c r="A6106" s="1" t="s">
        <v>6143</v>
      </c>
      <c r="B6106" s="1" t="s">
        <v>24</v>
      </c>
      <c r="C6106" s="1">
        <v>0.0</v>
      </c>
      <c r="D6106" s="1" t="s">
        <v>26</v>
      </c>
      <c r="E6106" s="1" t="s">
        <v>26</v>
      </c>
      <c r="F6106" s="1">
        <v>4.0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1">
        <v>23.9</v>
      </c>
      <c r="T6106" s="1">
        <v>97.5</v>
      </c>
      <c r="U6106" s="1">
        <v>0.0</v>
      </c>
      <c r="V6106" s="1">
        <v>0.0</v>
      </c>
      <c r="W6106" s="1" t="s">
        <v>26</v>
      </c>
    </row>
    <row r="6107" ht="15.75" customHeight="1">
      <c r="A6107" s="1" t="s">
        <v>6144</v>
      </c>
      <c r="B6107" s="1" t="s">
        <v>24</v>
      </c>
      <c r="C6107" s="1">
        <v>0.0</v>
      </c>
      <c r="D6107" s="1" t="s">
        <v>26</v>
      </c>
      <c r="E6107" s="1" t="s">
        <v>26</v>
      </c>
      <c r="F6107" s="1">
        <v>52.0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1">
        <v>111.25</v>
      </c>
      <c r="T6107" s="1">
        <v>5916.45</v>
      </c>
      <c r="U6107" s="1">
        <v>0.0</v>
      </c>
      <c r="V6107" s="1">
        <v>4.0</v>
      </c>
      <c r="W6107" s="1" t="s">
        <v>25</v>
      </c>
    </row>
    <row r="6108" ht="15.75" customHeight="1">
      <c r="A6108" s="1" t="s">
        <v>6145</v>
      </c>
      <c r="B6108" s="1" t="s">
        <v>32</v>
      </c>
      <c r="C6108" s="1">
        <v>0.0</v>
      </c>
      <c r="D6108" s="1" t="s">
        <v>26</v>
      </c>
      <c r="E6108" s="1" t="s">
        <v>26</v>
      </c>
      <c r="F6108" s="1">
        <v>2.0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1">
        <v>55.1</v>
      </c>
      <c r="T6108" s="1">
        <v>113.35</v>
      </c>
      <c r="U6108" s="1">
        <v>0.0</v>
      </c>
      <c r="V6108" s="1">
        <v>1.0</v>
      </c>
      <c r="W6108" s="1" t="s">
        <v>25</v>
      </c>
    </row>
    <row r="6109" ht="15.75" customHeight="1">
      <c r="A6109" s="1" t="s">
        <v>6146</v>
      </c>
      <c r="B6109" s="1" t="s">
        <v>32</v>
      </c>
      <c r="C6109" s="1">
        <v>0.0</v>
      </c>
      <c r="D6109" s="1" t="s">
        <v>26</v>
      </c>
      <c r="E6109" s="1" t="s">
        <v>26</v>
      </c>
      <c r="F6109" s="1">
        <v>1.0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1">
        <v>19.95</v>
      </c>
      <c r="T6109" s="1">
        <v>19.95</v>
      </c>
      <c r="U6109" s="1">
        <v>0.0</v>
      </c>
      <c r="V6109" s="1">
        <v>0.0</v>
      </c>
      <c r="W6109" s="1" t="s">
        <v>26</v>
      </c>
    </row>
    <row r="6110" ht="15.75" customHeight="1">
      <c r="A6110" s="1" t="s">
        <v>6147</v>
      </c>
      <c r="B6110" s="1" t="s">
        <v>32</v>
      </c>
      <c r="C6110" s="1">
        <v>0.0</v>
      </c>
      <c r="D6110" s="1" t="s">
        <v>26</v>
      </c>
      <c r="E6110" s="1" t="s">
        <v>26</v>
      </c>
      <c r="F6110" s="1">
        <v>18.0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1">
        <v>25.15</v>
      </c>
      <c r="T6110" s="1">
        <v>476.8</v>
      </c>
      <c r="U6110" s="1">
        <v>0.0</v>
      </c>
      <c r="V6110" s="1">
        <v>0.0</v>
      </c>
      <c r="W6110" s="1" t="s">
        <v>26</v>
      </c>
    </row>
    <row r="6111" ht="15.75" customHeight="1">
      <c r="A6111" s="1" t="s">
        <v>6148</v>
      </c>
      <c r="B6111" s="1" t="s">
        <v>24</v>
      </c>
      <c r="C6111" s="1">
        <v>0.0</v>
      </c>
      <c r="D6111" s="1" t="s">
        <v>26</v>
      </c>
      <c r="E6111" s="1" t="s">
        <v>26</v>
      </c>
      <c r="F6111" s="1">
        <v>2.0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1">
        <v>54.15</v>
      </c>
      <c r="T6111" s="1">
        <v>101.65</v>
      </c>
      <c r="U6111" s="1">
        <v>0.0</v>
      </c>
      <c r="V6111" s="1">
        <v>0.0</v>
      </c>
      <c r="W6111" s="1" t="s">
        <v>26</v>
      </c>
    </row>
    <row r="6112" ht="15.75" customHeight="1">
      <c r="A6112" s="1" t="s">
        <v>6149</v>
      </c>
      <c r="B6112" s="1" t="s">
        <v>24</v>
      </c>
      <c r="C6112" s="1">
        <v>0.0</v>
      </c>
      <c r="D6112" s="1" t="s">
        <v>25</v>
      </c>
      <c r="E6112" s="1" t="s">
        <v>26</v>
      </c>
      <c r="F6112" s="1">
        <v>19.0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1">
        <v>59.8</v>
      </c>
      <c r="T6112" s="1">
        <v>1130.85</v>
      </c>
      <c r="U6112" s="1">
        <v>0.0</v>
      </c>
      <c r="V6112" s="1">
        <v>0.0</v>
      </c>
      <c r="W6112" s="1" t="s">
        <v>26</v>
      </c>
    </row>
    <row r="6113" ht="15.75" customHeight="1">
      <c r="A6113" s="1" t="s">
        <v>6150</v>
      </c>
      <c r="B6113" s="1" t="s">
        <v>24</v>
      </c>
      <c r="C6113" s="1">
        <v>0.0</v>
      </c>
      <c r="D6113" s="1" t="s">
        <v>26</v>
      </c>
      <c r="E6113" s="1" t="s">
        <v>26</v>
      </c>
      <c r="F6113" s="1">
        <v>40.0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1">
        <v>83.85</v>
      </c>
      <c r="T6113" s="1">
        <v>3532.25</v>
      </c>
      <c r="U6113" s="1">
        <v>0.0</v>
      </c>
      <c r="V6113" s="1">
        <v>0.0</v>
      </c>
      <c r="W6113" s="1" t="s">
        <v>26</v>
      </c>
    </row>
    <row r="6114" ht="15.75" customHeight="1">
      <c r="A6114" s="1" t="s">
        <v>6151</v>
      </c>
      <c r="B6114" s="1" t="s">
        <v>24</v>
      </c>
      <c r="C6114" s="1">
        <v>1.0</v>
      </c>
      <c r="D6114" s="1" t="s">
        <v>25</v>
      </c>
      <c r="E6114" s="1" t="s">
        <v>25</v>
      </c>
      <c r="F6114" s="1">
        <v>66.0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1">
        <v>104.9</v>
      </c>
      <c r="T6114" s="1">
        <v>6891.45</v>
      </c>
      <c r="U6114" s="1">
        <v>0.0</v>
      </c>
      <c r="V6114" s="1">
        <v>0.0</v>
      </c>
      <c r="W6114" s="1" t="s">
        <v>26</v>
      </c>
    </row>
    <row r="6115" ht="15.75" customHeight="1">
      <c r="A6115" s="1" t="s">
        <v>6152</v>
      </c>
      <c r="B6115" s="1" t="s">
        <v>32</v>
      </c>
      <c r="C6115" s="1">
        <v>0.0</v>
      </c>
      <c r="D6115" s="1" t="s">
        <v>26</v>
      </c>
      <c r="E6115" s="1" t="s">
        <v>26</v>
      </c>
      <c r="F6115" s="1">
        <v>21.0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1">
        <v>75.3</v>
      </c>
      <c r="T6115" s="1">
        <v>1570.7</v>
      </c>
      <c r="U6115" s="1">
        <v>0.0</v>
      </c>
      <c r="V6115" s="1">
        <v>0.0</v>
      </c>
      <c r="W6115" s="1" t="s">
        <v>26</v>
      </c>
    </row>
    <row r="6116" ht="15.75" customHeight="1">
      <c r="A6116" s="1" t="s">
        <v>6153</v>
      </c>
      <c r="B6116" s="1" t="s">
        <v>32</v>
      </c>
      <c r="C6116" s="1">
        <v>0.0</v>
      </c>
      <c r="D6116" s="1" t="s">
        <v>26</v>
      </c>
      <c r="E6116" s="1" t="s">
        <v>26</v>
      </c>
      <c r="F6116" s="1">
        <v>8.0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1">
        <v>66.65</v>
      </c>
      <c r="T6116" s="1">
        <v>520.95</v>
      </c>
      <c r="U6116" s="1">
        <v>0.0</v>
      </c>
      <c r="V6116" s="1">
        <v>0.0</v>
      </c>
      <c r="W6116" s="1" t="s">
        <v>26</v>
      </c>
    </row>
    <row r="6117" ht="15.75" customHeight="1">
      <c r="A6117" s="1" t="s">
        <v>6154</v>
      </c>
      <c r="B6117" s="1" t="s">
        <v>24</v>
      </c>
      <c r="C6117" s="1">
        <v>0.0</v>
      </c>
      <c r="D6117" s="1" t="s">
        <v>25</v>
      </c>
      <c r="E6117" s="1" t="s">
        <v>25</v>
      </c>
      <c r="F6117" s="1">
        <v>72.0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1">
        <v>109.5</v>
      </c>
      <c r="T6117" s="1">
        <v>7854.9</v>
      </c>
      <c r="U6117" s="1">
        <v>0.0</v>
      </c>
      <c r="V6117" s="1">
        <v>0.0</v>
      </c>
      <c r="W6117" s="1" t="s">
        <v>26</v>
      </c>
    </row>
    <row r="6118" ht="15.75" customHeight="1">
      <c r="A6118" s="1" t="s">
        <v>6155</v>
      </c>
      <c r="B6118" s="1" t="s">
        <v>24</v>
      </c>
      <c r="C6118" s="1">
        <v>0.0</v>
      </c>
      <c r="D6118" s="1" t="s">
        <v>26</v>
      </c>
      <c r="E6118" s="1" t="s">
        <v>26</v>
      </c>
      <c r="F6118" s="1">
        <v>48.0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1">
        <v>73.85</v>
      </c>
      <c r="T6118" s="1">
        <v>3581.4</v>
      </c>
      <c r="U6118" s="1">
        <v>0.0</v>
      </c>
      <c r="V6118" s="1">
        <v>0.0</v>
      </c>
      <c r="W6118" s="1" t="s">
        <v>26</v>
      </c>
    </row>
    <row r="6119" ht="15.75" customHeight="1">
      <c r="A6119" s="1" t="s">
        <v>6156</v>
      </c>
      <c r="B6119" s="1" t="s">
        <v>32</v>
      </c>
      <c r="C6119" s="1">
        <v>0.0</v>
      </c>
      <c r="D6119" s="1" t="s">
        <v>26</v>
      </c>
      <c r="E6119" s="1" t="s">
        <v>26</v>
      </c>
      <c r="F6119" s="1">
        <v>69.0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1">
        <v>19.3</v>
      </c>
      <c r="T6119" s="1">
        <v>1447.9</v>
      </c>
      <c r="U6119" s="1">
        <v>0.0</v>
      </c>
      <c r="V6119" s="1">
        <v>0.0</v>
      </c>
      <c r="W6119" s="1" t="s">
        <v>26</v>
      </c>
    </row>
    <row r="6120" ht="15.75" customHeight="1">
      <c r="A6120" s="1" t="s">
        <v>6157</v>
      </c>
      <c r="B6120" s="1" t="s">
        <v>32</v>
      </c>
      <c r="C6120" s="1">
        <v>0.0</v>
      </c>
      <c r="D6120" s="1" t="s">
        <v>26</v>
      </c>
      <c r="E6120" s="1" t="s">
        <v>26</v>
      </c>
      <c r="F6120" s="1">
        <v>72.0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1">
        <v>118.2</v>
      </c>
      <c r="T6120" s="1">
        <v>8547.15</v>
      </c>
      <c r="U6120" s="1">
        <v>0.0</v>
      </c>
      <c r="V6120" s="1">
        <v>1.0</v>
      </c>
      <c r="W6120" s="1" t="s">
        <v>26</v>
      </c>
    </row>
    <row r="6121" ht="15.75" customHeight="1">
      <c r="A6121" s="1" t="s">
        <v>6158</v>
      </c>
      <c r="B6121" s="1" t="s">
        <v>24</v>
      </c>
      <c r="C6121" s="1">
        <v>0.0</v>
      </c>
      <c r="D6121" s="1" t="s">
        <v>26</v>
      </c>
      <c r="E6121" s="1" t="s">
        <v>26</v>
      </c>
      <c r="F6121" s="1">
        <v>14.0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1">
        <v>51.45</v>
      </c>
      <c r="T6121" s="1">
        <v>727.85</v>
      </c>
      <c r="U6121" s="1">
        <v>0.0</v>
      </c>
      <c r="V6121" s="1">
        <v>0.0</v>
      </c>
      <c r="W6121" s="1" t="s">
        <v>26</v>
      </c>
    </row>
    <row r="6122" ht="15.75" customHeight="1">
      <c r="A6122" s="1" t="s">
        <v>6159</v>
      </c>
      <c r="B6122" s="1" t="s">
        <v>32</v>
      </c>
      <c r="C6122" s="1">
        <v>0.0</v>
      </c>
      <c r="D6122" s="1" t="s">
        <v>26</v>
      </c>
      <c r="E6122" s="1" t="s">
        <v>26</v>
      </c>
      <c r="F6122" s="1">
        <v>6.0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1">
        <v>59.45</v>
      </c>
      <c r="T6122" s="1">
        <v>357.6</v>
      </c>
      <c r="U6122" s="1">
        <v>0.0</v>
      </c>
      <c r="V6122" s="1">
        <v>0.0</v>
      </c>
      <c r="W6122" s="1" t="s">
        <v>26</v>
      </c>
    </row>
    <row r="6123" ht="15.75" customHeight="1">
      <c r="A6123" s="1" t="s">
        <v>6160</v>
      </c>
      <c r="B6123" s="1" t="s">
        <v>24</v>
      </c>
      <c r="C6123" s="1">
        <v>0.0</v>
      </c>
      <c r="D6123" s="1" t="s">
        <v>25</v>
      </c>
      <c r="E6123" s="1" t="s">
        <v>25</v>
      </c>
      <c r="F6123" s="1">
        <v>8.0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1">
        <v>19.5</v>
      </c>
      <c r="T6123" s="1">
        <v>159.35</v>
      </c>
      <c r="U6123" s="1">
        <v>0.0</v>
      </c>
      <c r="V6123" s="1">
        <v>0.0</v>
      </c>
      <c r="W6123" s="1" t="s">
        <v>26</v>
      </c>
    </row>
    <row r="6124" ht="15.75" customHeight="1">
      <c r="A6124" s="1" t="s">
        <v>6161</v>
      </c>
      <c r="B6124" s="1" t="s">
        <v>24</v>
      </c>
      <c r="C6124" s="1">
        <v>0.0</v>
      </c>
      <c r="D6124" s="1" t="s">
        <v>26</v>
      </c>
      <c r="E6124" s="1" t="s">
        <v>26</v>
      </c>
      <c r="F6124" s="1">
        <v>17.0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1">
        <v>19.55</v>
      </c>
      <c r="T6124" s="1">
        <v>280.85</v>
      </c>
      <c r="U6124" s="1">
        <v>0.0</v>
      </c>
      <c r="V6124" s="1">
        <v>0.0</v>
      </c>
      <c r="W6124" s="1" t="s">
        <v>26</v>
      </c>
    </row>
    <row r="6125" ht="15.75" customHeight="1">
      <c r="A6125" s="1" t="s">
        <v>6162</v>
      </c>
      <c r="B6125" s="1" t="s">
        <v>32</v>
      </c>
      <c r="C6125" s="1">
        <v>0.0</v>
      </c>
      <c r="D6125" s="1" t="s">
        <v>26</v>
      </c>
      <c r="E6125" s="1" t="s">
        <v>26</v>
      </c>
      <c r="F6125" s="1">
        <v>65.0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1">
        <v>93.55</v>
      </c>
      <c r="T6125" s="1">
        <v>6069.25</v>
      </c>
      <c r="U6125" s="1">
        <v>0.0</v>
      </c>
      <c r="V6125" s="1">
        <v>0.0</v>
      </c>
      <c r="W6125" s="1" t="s">
        <v>26</v>
      </c>
    </row>
    <row r="6126" ht="15.75" customHeight="1">
      <c r="A6126" s="1" t="s">
        <v>6163</v>
      </c>
      <c r="B6126" s="1" t="s">
        <v>24</v>
      </c>
      <c r="C6126" s="1">
        <v>0.0</v>
      </c>
      <c r="D6126" s="1" t="s">
        <v>25</v>
      </c>
      <c r="E6126" s="1" t="s">
        <v>25</v>
      </c>
      <c r="F6126" s="1">
        <v>57.0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1">
        <v>59.3</v>
      </c>
      <c r="T6126" s="1">
        <v>3274.35</v>
      </c>
      <c r="U6126" s="1">
        <v>0.0</v>
      </c>
      <c r="V6126" s="1">
        <v>0.0</v>
      </c>
      <c r="W6126" s="1" t="s">
        <v>26</v>
      </c>
    </row>
    <row r="6127" ht="15.75" customHeight="1">
      <c r="A6127" s="1" t="s">
        <v>6164</v>
      </c>
      <c r="B6127" s="1" t="s">
        <v>32</v>
      </c>
      <c r="C6127" s="1">
        <v>0.0</v>
      </c>
      <c r="D6127" s="1" t="s">
        <v>25</v>
      </c>
      <c r="E6127" s="1" t="s">
        <v>26</v>
      </c>
      <c r="F6127" s="1">
        <v>13.0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1">
        <v>102.25</v>
      </c>
      <c r="T6127" s="1">
        <v>1359.0</v>
      </c>
      <c r="U6127" s="1">
        <v>0.0</v>
      </c>
      <c r="V6127" s="1">
        <v>2.0</v>
      </c>
      <c r="W6127" s="1" t="s">
        <v>25</v>
      </c>
    </row>
    <row r="6128" ht="15.75" customHeight="1">
      <c r="A6128" s="1" t="s">
        <v>6165</v>
      </c>
      <c r="B6128" s="1" t="s">
        <v>32</v>
      </c>
      <c r="C6128" s="1">
        <v>1.0</v>
      </c>
      <c r="D6128" s="1" t="s">
        <v>26</v>
      </c>
      <c r="E6128" s="1" t="s">
        <v>26</v>
      </c>
      <c r="F6128" s="1">
        <v>19.0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1">
        <v>95.9</v>
      </c>
      <c r="T6128" s="1">
        <v>1777.9</v>
      </c>
      <c r="U6128" s="1">
        <v>0.0</v>
      </c>
      <c r="V6128" s="1">
        <v>1.0</v>
      </c>
      <c r="W6128" s="1" t="s">
        <v>25</v>
      </c>
    </row>
    <row r="6129" ht="15.75" customHeight="1">
      <c r="A6129" s="1" t="s">
        <v>6166</v>
      </c>
      <c r="B6129" s="1" t="s">
        <v>24</v>
      </c>
      <c r="C6129" s="1">
        <v>0.0</v>
      </c>
      <c r="D6129" s="1" t="s">
        <v>25</v>
      </c>
      <c r="E6129" s="1" t="s">
        <v>26</v>
      </c>
      <c r="F6129" s="1">
        <v>56.0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1">
        <v>109.8</v>
      </c>
      <c r="T6129" s="1">
        <v>6109.65</v>
      </c>
      <c r="U6129" s="1">
        <v>0.0</v>
      </c>
      <c r="V6129" s="1">
        <v>0.0</v>
      </c>
      <c r="W6129" s="1" t="s">
        <v>26</v>
      </c>
    </row>
    <row r="6130" ht="15.75" customHeight="1">
      <c r="A6130" s="1" t="s">
        <v>6167</v>
      </c>
      <c r="B6130" s="1" t="s">
        <v>24</v>
      </c>
      <c r="C6130" s="1">
        <v>0.0</v>
      </c>
      <c r="D6130" s="1" t="s">
        <v>25</v>
      </c>
      <c r="E6130" s="1" t="s">
        <v>26</v>
      </c>
      <c r="F6130" s="1">
        <v>14.0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1">
        <v>78.1</v>
      </c>
      <c r="T6130" s="1">
        <v>1122.4</v>
      </c>
      <c r="U6130" s="1">
        <v>3.0</v>
      </c>
      <c r="V6130" s="1">
        <v>0.0</v>
      </c>
      <c r="W6130" s="1" t="s">
        <v>26</v>
      </c>
    </row>
    <row r="6131" ht="15.75" customHeight="1">
      <c r="A6131" s="1" t="s">
        <v>6168</v>
      </c>
      <c r="B6131" s="1" t="s">
        <v>32</v>
      </c>
      <c r="C6131" s="1">
        <v>0.0</v>
      </c>
      <c r="D6131" s="1" t="s">
        <v>25</v>
      </c>
      <c r="E6131" s="1" t="s">
        <v>26</v>
      </c>
      <c r="F6131" s="1">
        <v>52.0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1">
        <v>39.9</v>
      </c>
      <c r="T6131" s="1">
        <v>2020.9</v>
      </c>
      <c r="U6131" s="1">
        <v>0.0</v>
      </c>
      <c r="V6131" s="1">
        <v>3.0</v>
      </c>
      <c r="W6131" s="1" t="s">
        <v>26</v>
      </c>
    </row>
    <row r="6132" ht="15.75" customHeight="1">
      <c r="A6132" s="1" t="s">
        <v>6169</v>
      </c>
      <c r="B6132" s="1" t="s">
        <v>24</v>
      </c>
      <c r="C6132" s="1">
        <v>0.0</v>
      </c>
      <c r="D6132" s="1" t="s">
        <v>26</v>
      </c>
      <c r="E6132" s="1" t="s">
        <v>26</v>
      </c>
      <c r="F6132" s="1">
        <v>58.0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1">
        <v>64.9</v>
      </c>
      <c r="T6132" s="1">
        <v>3795.45</v>
      </c>
      <c r="U6132" s="1">
        <v>0.0</v>
      </c>
      <c r="V6132" s="1">
        <v>0.0</v>
      </c>
      <c r="W6132" s="1" t="s">
        <v>26</v>
      </c>
    </row>
    <row r="6133" ht="15.75" customHeight="1">
      <c r="A6133" s="1" t="s">
        <v>6170</v>
      </c>
      <c r="B6133" s="1" t="s">
        <v>24</v>
      </c>
      <c r="C6133" s="1">
        <v>1.0</v>
      </c>
      <c r="D6133" s="1" t="s">
        <v>26</v>
      </c>
      <c r="E6133" s="1" t="s">
        <v>26</v>
      </c>
      <c r="F6133" s="1">
        <v>47.0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1">
        <v>95.05</v>
      </c>
      <c r="T6133" s="1">
        <v>4504.55</v>
      </c>
      <c r="U6133" s="1">
        <v>0.0</v>
      </c>
      <c r="V6133" s="1">
        <v>4.0</v>
      </c>
      <c r="W6133" s="1" t="s">
        <v>25</v>
      </c>
    </row>
    <row r="6134" ht="15.75" customHeight="1">
      <c r="A6134" s="1" t="s">
        <v>6171</v>
      </c>
      <c r="B6134" s="1" t="s">
        <v>24</v>
      </c>
      <c r="C6134" s="1">
        <v>0.0</v>
      </c>
      <c r="D6134" s="1" t="s">
        <v>26</v>
      </c>
      <c r="E6134" s="1" t="s">
        <v>26</v>
      </c>
      <c r="F6134" s="1">
        <v>67.0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1">
        <v>53.4</v>
      </c>
      <c r="T6134" s="1">
        <v>3579.15</v>
      </c>
      <c r="U6134" s="1">
        <v>1.0</v>
      </c>
      <c r="V6134" s="1">
        <v>3.0</v>
      </c>
      <c r="W6134" s="1" t="s">
        <v>26</v>
      </c>
    </row>
    <row r="6135" ht="15.75" customHeight="1">
      <c r="A6135" s="1" t="s">
        <v>6172</v>
      </c>
      <c r="B6135" s="1" t="s">
        <v>32</v>
      </c>
      <c r="C6135" s="1">
        <v>0.0</v>
      </c>
      <c r="D6135" s="1" t="s">
        <v>26</v>
      </c>
      <c r="E6135" s="1" t="s">
        <v>26</v>
      </c>
      <c r="F6135" s="1">
        <v>2.0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1">
        <v>24.9</v>
      </c>
      <c r="T6135" s="1">
        <v>49.7</v>
      </c>
      <c r="U6135" s="1">
        <v>0.0</v>
      </c>
      <c r="V6135" s="1">
        <v>0.0</v>
      </c>
      <c r="W6135" s="1" t="s">
        <v>26</v>
      </c>
    </row>
    <row r="6136" ht="15.75" customHeight="1">
      <c r="A6136" s="1" t="s">
        <v>6173</v>
      </c>
      <c r="B6136" s="1" t="s">
        <v>32</v>
      </c>
      <c r="C6136" s="1">
        <v>1.0</v>
      </c>
      <c r="D6136" s="1" t="s">
        <v>26</v>
      </c>
      <c r="E6136" s="1" t="s">
        <v>26</v>
      </c>
      <c r="F6136" s="1">
        <v>6.0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1">
        <v>44.7</v>
      </c>
      <c r="T6136" s="1">
        <v>276.5</v>
      </c>
      <c r="U6136" s="1">
        <v>0.0</v>
      </c>
      <c r="V6136" s="1">
        <v>0.0</v>
      </c>
      <c r="W6136" s="1" t="s">
        <v>26</v>
      </c>
    </row>
    <row r="6137" ht="15.75" customHeight="1">
      <c r="A6137" s="1" t="s">
        <v>6174</v>
      </c>
      <c r="B6137" s="1" t="s">
        <v>32</v>
      </c>
      <c r="C6137" s="1">
        <v>0.0</v>
      </c>
      <c r="D6137" s="1" t="s">
        <v>25</v>
      </c>
      <c r="E6137" s="1" t="s">
        <v>25</v>
      </c>
      <c r="F6137" s="1">
        <v>71.0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1">
        <v>114.0</v>
      </c>
      <c r="T6137" s="1">
        <v>8175.9</v>
      </c>
      <c r="U6137" s="1">
        <v>0.0</v>
      </c>
      <c r="V6137" s="1">
        <v>0.0</v>
      </c>
      <c r="W6137" s="1" t="s">
        <v>26</v>
      </c>
    </row>
    <row r="6138" ht="15.75" customHeight="1">
      <c r="A6138" s="1" t="s">
        <v>6175</v>
      </c>
      <c r="B6138" s="1" t="s">
        <v>24</v>
      </c>
      <c r="C6138" s="1">
        <v>0.0</v>
      </c>
      <c r="D6138" s="1" t="s">
        <v>25</v>
      </c>
      <c r="E6138" s="1" t="s">
        <v>25</v>
      </c>
      <c r="F6138" s="1">
        <v>46.0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1">
        <v>20.25</v>
      </c>
      <c r="T6138" s="1">
        <v>890.35</v>
      </c>
      <c r="U6138" s="1">
        <v>0.0</v>
      </c>
      <c r="V6138" s="1">
        <v>0.0</v>
      </c>
      <c r="W6138" s="1" t="s">
        <v>26</v>
      </c>
    </row>
    <row r="6139" ht="15.75" customHeight="1">
      <c r="A6139" s="1" t="s">
        <v>6176</v>
      </c>
      <c r="B6139" s="1" t="s">
        <v>24</v>
      </c>
      <c r="C6139" s="1">
        <v>0.0</v>
      </c>
      <c r="D6139" s="1" t="s">
        <v>26</v>
      </c>
      <c r="E6139" s="1" t="s">
        <v>26</v>
      </c>
      <c r="F6139" s="1">
        <v>5.0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1">
        <v>53.85</v>
      </c>
      <c r="T6139" s="1">
        <v>259.8</v>
      </c>
      <c r="U6139" s="1">
        <v>0.0</v>
      </c>
      <c r="V6139" s="1">
        <v>0.0</v>
      </c>
      <c r="W6139" s="1" t="s">
        <v>25</v>
      </c>
    </row>
    <row r="6140" ht="15.75" customHeight="1">
      <c r="A6140" s="1" t="s">
        <v>6177</v>
      </c>
      <c r="B6140" s="1" t="s">
        <v>32</v>
      </c>
      <c r="C6140" s="1">
        <v>1.0</v>
      </c>
      <c r="D6140" s="1" t="s">
        <v>25</v>
      </c>
      <c r="E6140" s="1" t="s">
        <v>26</v>
      </c>
      <c r="F6140" s="1">
        <v>67.0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1">
        <v>83.85</v>
      </c>
      <c r="T6140" s="1">
        <v>5588.8</v>
      </c>
      <c r="U6140" s="1">
        <v>3.0</v>
      </c>
      <c r="V6140" s="1">
        <v>0.0</v>
      </c>
      <c r="W6140" s="1" t="s">
        <v>26</v>
      </c>
    </row>
    <row r="6141" ht="15.75" customHeight="1">
      <c r="A6141" s="1" t="s">
        <v>6178</v>
      </c>
      <c r="B6141" s="1" t="s">
        <v>32</v>
      </c>
      <c r="C6141" s="1">
        <v>0.0</v>
      </c>
      <c r="D6141" s="1" t="s">
        <v>26</v>
      </c>
      <c r="E6141" s="1" t="s">
        <v>25</v>
      </c>
      <c r="F6141" s="1">
        <v>3.0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1">
        <v>20.2</v>
      </c>
      <c r="T6141" s="1">
        <v>50.6</v>
      </c>
      <c r="U6141" s="1">
        <v>0.0</v>
      </c>
      <c r="V6141" s="1">
        <v>0.0</v>
      </c>
      <c r="W6141" s="1" t="s">
        <v>26</v>
      </c>
    </row>
    <row r="6142" ht="15.75" customHeight="1">
      <c r="A6142" s="1" t="s">
        <v>6179</v>
      </c>
      <c r="B6142" s="1" t="s">
        <v>24</v>
      </c>
      <c r="C6142" s="1">
        <v>0.0</v>
      </c>
      <c r="D6142" s="1" t="s">
        <v>26</v>
      </c>
      <c r="E6142" s="1" t="s">
        <v>26</v>
      </c>
      <c r="F6142" s="1">
        <v>3.0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1">
        <v>19.95</v>
      </c>
      <c r="T6142" s="1">
        <v>58.0</v>
      </c>
      <c r="U6142" s="1">
        <v>0.0</v>
      </c>
      <c r="V6142" s="1">
        <v>0.0</v>
      </c>
      <c r="W6142" s="1" t="s">
        <v>26</v>
      </c>
    </row>
    <row r="6143" ht="15.75" customHeight="1">
      <c r="A6143" s="1" t="s">
        <v>6180</v>
      </c>
      <c r="B6143" s="1" t="s">
        <v>32</v>
      </c>
      <c r="C6143" s="1">
        <v>1.0</v>
      </c>
      <c r="D6143" s="1" t="s">
        <v>25</v>
      </c>
      <c r="E6143" s="1" t="s">
        <v>26</v>
      </c>
      <c r="F6143" s="1">
        <v>52.0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1">
        <v>104.2</v>
      </c>
      <c r="T6143" s="1">
        <v>5568.35</v>
      </c>
      <c r="U6143" s="1">
        <v>4.0</v>
      </c>
      <c r="V6143" s="1">
        <v>5.0</v>
      </c>
      <c r="W6143" s="1" t="s">
        <v>25</v>
      </c>
    </row>
    <row r="6144" ht="15.75" customHeight="1">
      <c r="A6144" s="1" t="s">
        <v>6181</v>
      </c>
      <c r="B6144" s="1" t="s">
        <v>24</v>
      </c>
      <c r="C6144" s="1">
        <v>0.0</v>
      </c>
      <c r="D6144" s="1" t="s">
        <v>25</v>
      </c>
      <c r="E6144" s="1" t="s">
        <v>26</v>
      </c>
      <c r="F6144" s="1">
        <v>42.0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1">
        <v>50.25</v>
      </c>
      <c r="T6144" s="1">
        <v>2203.65</v>
      </c>
      <c r="U6144" s="1">
        <v>1.0</v>
      </c>
      <c r="V6144" s="1">
        <v>0.0</v>
      </c>
      <c r="W6144" s="1" t="s">
        <v>25</v>
      </c>
    </row>
    <row r="6145" ht="15.75" customHeight="1">
      <c r="A6145" s="1" t="s">
        <v>6182</v>
      </c>
      <c r="B6145" s="1" t="s">
        <v>32</v>
      </c>
      <c r="C6145" s="1">
        <v>0.0</v>
      </c>
      <c r="D6145" s="1" t="s">
        <v>25</v>
      </c>
      <c r="E6145" s="1" t="s">
        <v>25</v>
      </c>
      <c r="F6145" s="1">
        <v>50.0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1">
        <v>20.35</v>
      </c>
      <c r="T6145" s="1">
        <v>938.95</v>
      </c>
      <c r="U6145" s="1">
        <v>0.0</v>
      </c>
      <c r="V6145" s="1">
        <v>0.0</v>
      </c>
      <c r="W6145" s="1" t="s">
        <v>26</v>
      </c>
    </row>
    <row r="6146" ht="15.75" customHeight="1">
      <c r="A6146" s="1" t="s">
        <v>6183</v>
      </c>
      <c r="B6146" s="1" t="s">
        <v>32</v>
      </c>
      <c r="C6146" s="1">
        <v>1.0</v>
      </c>
      <c r="D6146" s="1" t="s">
        <v>25</v>
      </c>
      <c r="E6146" s="1" t="s">
        <v>26</v>
      </c>
      <c r="F6146" s="1">
        <v>23.0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1">
        <v>90.0</v>
      </c>
      <c r="T6146" s="1">
        <v>2024.1</v>
      </c>
      <c r="U6146" s="1">
        <v>0.0</v>
      </c>
      <c r="V6146" s="1">
        <v>0.0</v>
      </c>
      <c r="W6146" s="1" t="s">
        <v>26</v>
      </c>
    </row>
    <row r="6147" ht="15.75" customHeight="1">
      <c r="A6147" s="1" t="s">
        <v>6184</v>
      </c>
      <c r="B6147" s="1" t="s">
        <v>24</v>
      </c>
      <c r="C6147" s="1">
        <v>0.0</v>
      </c>
      <c r="D6147" s="1" t="s">
        <v>25</v>
      </c>
      <c r="E6147" s="1" t="s">
        <v>25</v>
      </c>
      <c r="F6147" s="1">
        <v>67.0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1">
        <v>54.2</v>
      </c>
      <c r="T6147" s="1">
        <v>3623.95</v>
      </c>
      <c r="U6147" s="1">
        <v>5.0</v>
      </c>
      <c r="V6147" s="1">
        <v>0.0</v>
      </c>
      <c r="W6147" s="1" t="s">
        <v>26</v>
      </c>
    </row>
    <row r="6148" ht="15.75" customHeight="1">
      <c r="A6148" s="1" t="s">
        <v>6185</v>
      </c>
      <c r="B6148" s="1" t="s">
        <v>24</v>
      </c>
      <c r="C6148" s="1">
        <v>0.0</v>
      </c>
      <c r="D6148" s="1" t="s">
        <v>26</v>
      </c>
      <c r="E6148" s="1" t="s">
        <v>26</v>
      </c>
      <c r="F6148" s="1">
        <v>25.0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1">
        <v>99.5</v>
      </c>
      <c r="T6148" s="1">
        <v>2369.05</v>
      </c>
      <c r="U6148" s="1">
        <v>0.0</v>
      </c>
      <c r="V6148" s="1">
        <v>2.0</v>
      </c>
      <c r="W6148" s="1" t="s">
        <v>25</v>
      </c>
    </row>
    <row r="6149" ht="15.75" customHeight="1">
      <c r="A6149" s="1" t="s">
        <v>6186</v>
      </c>
      <c r="B6149" s="1" t="s">
        <v>24</v>
      </c>
      <c r="C6149" s="1">
        <v>1.0</v>
      </c>
      <c r="D6149" s="1" t="s">
        <v>25</v>
      </c>
      <c r="E6149" s="1" t="s">
        <v>26</v>
      </c>
      <c r="F6149" s="1">
        <v>39.0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1">
        <v>99.1</v>
      </c>
      <c r="T6149" s="1">
        <v>3877.95</v>
      </c>
      <c r="U6149" s="1">
        <v>1.0</v>
      </c>
      <c r="V6149" s="1">
        <v>1.0</v>
      </c>
      <c r="W6149" s="1" t="s">
        <v>26</v>
      </c>
    </row>
    <row r="6150" ht="15.75" customHeight="1">
      <c r="A6150" s="1" t="s">
        <v>6187</v>
      </c>
      <c r="B6150" s="1" t="s">
        <v>24</v>
      </c>
      <c r="C6150" s="1">
        <v>0.0</v>
      </c>
      <c r="D6150" s="1" t="s">
        <v>26</v>
      </c>
      <c r="E6150" s="1" t="s">
        <v>26</v>
      </c>
      <c r="F6150" s="1">
        <v>69.0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1">
        <v>66.9</v>
      </c>
      <c r="T6150" s="1">
        <v>4577.9</v>
      </c>
      <c r="U6150" s="1">
        <v>0.0</v>
      </c>
      <c r="V6150" s="1">
        <v>0.0</v>
      </c>
      <c r="W6150" s="1" t="s">
        <v>26</v>
      </c>
    </row>
    <row r="6151" ht="15.75" customHeight="1">
      <c r="A6151" s="1" t="s">
        <v>6188</v>
      </c>
      <c r="B6151" s="1" t="s">
        <v>24</v>
      </c>
      <c r="C6151" s="1">
        <v>0.0</v>
      </c>
      <c r="D6151" s="1" t="s">
        <v>26</v>
      </c>
      <c r="E6151" s="1" t="s">
        <v>26</v>
      </c>
      <c r="F6151" s="1">
        <v>1.0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1">
        <v>25.85</v>
      </c>
      <c r="T6151" s="1">
        <v>25.85</v>
      </c>
      <c r="U6151" s="1">
        <v>0.0</v>
      </c>
      <c r="V6151" s="1">
        <v>0.0</v>
      </c>
      <c r="W6151" s="1" t="s">
        <v>26</v>
      </c>
    </row>
    <row r="6152" ht="15.75" customHeight="1">
      <c r="A6152" s="1" t="s">
        <v>6189</v>
      </c>
      <c r="B6152" s="1" t="s">
        <v>32</v>
      </c>
      <c r="C6152" s="1">
        <v>0.0</v>
      </c>
      <c r="D6152" s="1" t="s">
        <v>26</v>
      </c>
      <c r="E6152" s="1" t="s">
        <v>26</v>
      </c>
      <c r="F6152" s="1">
        <v>32.0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1">
        <v>91.05</v>
      </c>
      <c r="T6152" s="1">
        <v>2871.5</v>
      </c>
      <c r="U6152" s="1">
        <v>0.0</v>
      </c>
      <c r="V6152" s="1">
        <v>0.0</v>
      </c>
      <c r="W6152" s="1" t="s">
        <v>26</v>
      </c>
    </row>
    <row r="6153" ht="15.75" customHeight="1">
      <c r="A6153" s="1" t="s">
        <v>6190</v>
      </c>
      <c r="B6153" s="1" t="s">
        <v>24</v>
      </c>
      <c r="C6153" s="1">
        <v>0.0</v>
      </c>
      <c r="D6153" s="1" t="s">
        <v>26</v>
      </c>
      <c r="E6153" s="1" t="s">
        <v>26</v>
      </c>
      <c r="F6153" s="1">
        <v>9.0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1">
        <v>71.0</v>
      </c>
      <c r="T6153" s="1">
        <v>672.55</v>
      </c>
      <c r="U6153" s="1">
        <v>3.0</v>
      </c>
      <c r="V6153" s="1">
        <v>0.0</v>
      </c>
      <c r="W6153" s="1" t="s">
        <v>25</v>
      </c>
    </row>
    <row r="6154" ht="15.75" customHeight="1">
      <c r="A6154" s="1" t="s">
        <v>6191</v>
      </c>
      <c r="B6154" s="1" t="s">
        <v>24</v>
      </c>
      <c r="C6154" s="1">
        <v>0.0</v>
      </c>
      <c r="D6154" s="1" t="s">
        <v>26</v>
      </c>
      <c r="E6154" s="1" t="s">
        <v>26</v>
      </c>
      <c r="F6154" s="1">
        <v>16.0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1">
        <v>93.2</v>
      </c>
      <c r="T6154" s="1">
        <v>1573.7</v>
      </c>
      <c r="U6154" s="1">
        <v>0.0</v>
      </c>
      <c r="V6154" s="1">
        <v>1.0</v>
      </c>
      <c r="W6154" s="1" t="s">
        <v>25</v>
      </c>
    </row>
    <row r="6155" ht="15.75" customHeight="1">
      <c r="A6155" s="1" t="s">
        <v>6192</v>
      </c>
      <c r="B6155" s="1" t="s">
        <v>32</v>
      </c>
      <c r="C6155" s="1">
        <v>0.0</v>
      </c>
      <c r="D6155" s="1" t="s">
        <v>25</v>
      </c>
      <c r="E6155" s="1" t="s">
        <v>25</v>
      </c>
      <c r="F6155" s="1">
        <v>60.0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1">
        <v>20.95</v>
      </c>
      <c r="T6155" s="1">
        <v>1270.55</v>
      </c>
      <c r="U6155" s="1">
        <v>0.0</v>
      </c>
      <c r="V6155" s="1">
        <v>0.0</v>
      </c>
      <c r="W6155" s="1" t="s">
        <v>26</v>
      </c>
    </row>
    <row r="6156" ht="15.75" customHeight="1">
      <c r="A6156" s="1" t="s">
        <v>6193</v>
      </c>
      <c r="B6156" s="1" t="s">
        <v>24</v>
      </c>
      <c r="C6156" s="1">
        <v>0.0</v>
      </c>
      <c r="D6156" s="1" t="s">
        <v>25</v>
      </c>
      <c r="E6156" s="1" t="s">
        <v>25</v>
      </c>
      <c r="F6156" s="1">
        <v>72.0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1">
        <v>109.2</v>
      </c>
      <c r="T6156" s="1">
        <v>7711.45</v>
      </c>
      <c r="U6156" s="1">
        <v>0.0</v>
      </c>
      <c r="V6156" s="1">
        <v>0.0</v>
      </c>
      <c r="W6156" s="1" t="s">
        <v>26</v>
      </c>
    </row>
    <row r="6157" ht="15.75" customHeight="1">
      <c r="A6157" s="1" t="s">
        <v>6194</v>
      </c>
      <c r="B6157" s="1" t="s">
        <v>32</v>
      </c>
      <c r="C6157" s="1">
        <v>0.0</v>
      </c>
      <c r="D6157" s="1" t="s">
        <v>25</v>
      </c>
      <c r="E6157" s="1" t="s">
        <v>26</v>
      </c>
      <c r="F6157" s="1">
        <v>5.0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1">
        <v>19.35</v>
      </c>
      <c r="T6157" s="1">
        <v>126.05</v>
      </c>
      <c r="U6157" s="1">
        <v>0.0</v>
      </c>
      <c r="V6157" s="1">
        <v>0.0</v>
      </c>
      <c r="W6157" s="1" t="s">
        <v>25</v>
      </c>
    </row>
    <row r="6158" ht="15.75" customHeight="1">
      <c r="A6158" s="1" t="s">
        <v>6195</v>
      </c>
      <c r="B6158" s="1" t="s">
        <v>24</v>
      </c>
      <c r="C6158" s="1">
        <v>1.0</v>
      </c>
      <c r="D6158" s="1" t="s">
        <v>26</v>
      </c>
      <c r="E6158" s="1" t="s">
        <v>26</v>
      </c>
      <c r="F6158" s="1">
        <v>26.0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1">
        <v>85.8</v>
      </c>
      <c r="T6158" s="1">
        <v>2193.65</v>
      </c>
      <c r="U6158" s="1">
        <v>0.0</v>
      </c>
      <c r="V6158" s="1">
        <v>0.0</v>
      </c>
      <c r="W6158" s="1" t="s">
        <v>26</v>
      </c>
    </row>
    <row r="6159" ht="15.75" customHeight="1">
      <c r="A6159" s="1" t="s">
        <v>6196</v>
      </c>
      <c r="B6159" s="1" t="s">
        <v>32</v>
      </c>
      <c r="C6159" s="1">
        <v>0.0</v>
      </c>
      <c r="D6159" s="1" t="s">
        <v>26</v>
      </c>
      <c r="E6159" s="1" t="s">
        <v>26</v>
      </c>
      <c r="F6159" s="1">
        <v>3.0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1">
        <v>19.85</v>
      </c>
      <c r="T6159" s="1">
        <v>64.55</v>
      </c>
      <c r="U6159" s="1">
        <v>0.0</v>
      </c>
      <c r="V6159" s="1">
        <v>0.0</v>
      </c>
      <c r="W6159" s="1" t="s">
        <v>25</v>
      </c>
    </row>
    <row r="6160" ht="15.75" customHeight="1">
      <c r="A6160" s="1" t="s">
        <v>6197</v>
      </c>
      <c r="B6160" s="1" t="s">
        <v>32</v>
      </c>
      <c r="C6160" s="1">
        <v>0.0</v>
      </c>
      <c r="D6160" s="1" t="s">
        <v>26</v>
      </c>
      <c r="E6160" s="1" t="s">
        <v>26</v>
      </c>
      <c r="F6160" s="1">
        <v>2.0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1">
        <v>19.65</v>
      </c>
      <c r="T6160" s="1">
        <v>31.2</v>
      </c>
      <c r="U6160" s="1">
        <v>0.0</v>
      </c>
      <c r="V6160" s="1">
        <v>0.0</v>
      </c>
      <c r="W6160" s="1" t="s">
        <v>26</v>
      </c>
    </row>
    <row r="6161" ht="15.75" customHeight="1">
      <c r="A6161" s="1" t="s">
        <v>6198</v>
      </c>
      <c r="B6161" s="1" t="s">
        <v>24</v>
      </c>
      <c r="C6161" s="1">
        <v>0.0</v>
      </c>
      <c r="D6161" s="1" t="s">
        <v>26</v>
      </c>
      <c r="E6161" s="1" t="s">
        <v>25</v>
      </c>
      <c r="F6161" s="1">
        <v>2.0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1">
        <v>20.5</v>
      </c>
      <c r="T6161" s="1">
        <v>38.25</v>
      </c>
      <c r="U6161" s="1">
        <v>0.0</v>
      </c>
      <c r="V6161" s="1">
        <v>0.0</v>
      </c>
      <c r="W6161" s="1" t="s">
        <v>26</v>
      </c>
    </row>
    <row r="6162" ht="15.75" customHeight="1">
      <c r="A6162" s="1" t="s">
        <v>6199</v>
      </c>
      <c r="B6162" s="1" t="s">
        <v>24</v>
      </c>
      <c r="C6162" s="1">
        <v>0.0</v>
      </c>
      <c r="D6162" s="1" t="s">
        <v>26</v>
      </c>
      <c r="E6162" s="1" t="s">
        <v>26</v>
      </c>
      <c r="F6162" s="1">
        <v>36.0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1">
        <v>89.65</v>
      </c>
      <c r="T6162" s="1">
        <v>3348.1</v>
      </c>
      <c r="U6162" s="1">
        <v>0.0</v>
      </c>
      <c r="V6162" s="1">
        <v>0.0</v>
      </c>
      <c r="W6162" s="1" t="s">
        <v>26</v>
      </c>
    </row>
    <row r="6163" ht="15.75" customHeight="1">
      <c r="A6163" s="1" t="s">
        <v>6200</v>
      </c>
      <c r="B6163" s="1" t="s">
        <v>32</v>
      </c>
      <c r="C6163" s="1">
        <v>0.0</v>
      </c>
      <c r="D6163" s="1" t="s">
        <v>26</v>
      </c>
      <c r="E6163" s="1" t="s">
        <v>26</v>
      </c>
      <c r="F6163" s="1">
        <v>7.0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1">
        <v>74.35</v>
      </c>
      <c r="T6163" s="1">
        <v>533.6</v>
      </c>
      <c r="U6163" s="1">
        <v>0.0</v>
      </c>
      <c r="V6163" s="1">
        <v>0.0</v>
      </c>
      <c r="W6163" s="1" t="s">
        <v>26</v>
      </c>
    </row>
    <row r="6164" ht="15.75" customHeight="1">
      <c r="A6164" s="1" t="s">
        <v>6201</v>
      </c>
      <c r="B6164" s="1" t="s">
        <v>24</v>
      </c>
      <c r="C6164" s="1">
        <v>1.0</v>
      </c>
      <c r="D6164" s="1" t="s">
        <v>25</v>
      </c>
      <c r="E6164" s="1" t="s">
        <v>26</v>
      </c>
      <c r="F6164" s="1">
        <v>60.0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1">
        <v>49.45</v>
      </c>
      <c r="T6164" s="1">
        <v>2907.55</v>
      </c>
      <c r="U6164" s="1">
        <v>0.0</v>
      </c>
      <c r="V6164" s="1">
        <v>0.0</v>
      </c>
      <c r="W6164" s="1" t="s">
        <v>26</v>
      </c>
    </row>
    <row r="6165" ht="15.75" customHeight="1">
      <c r="A6165" s="1" t="s">
        <v>6202</v>
      </c>
      <c r="B6165" s="1" t="s">
        <v>24</v>
      </c>
      <c r="C6165" s="1">
        <v>0.0</v>
      </c>
      <c r="D6165" s="1" t="s">
        <v>25</v>
      </c>
      <c r="E6165" s="1" t="s">
        <v>26</v>
      </c>
      <c r="F6165" s="1">
        <v>19.0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1">
        <v>89.1</v>
      </c>
      <c r="T6165" s="1">
        <v>1620.8</v>
      </c>
      <c r="U6165" s="1">
        <v>0.0</v>
      </c>
      <c r="V6165" s="1">
        <v>1.0</v>
      </c>
      <c r="W6165" s="1" t="s">
        <v>26</v>
      </c>
    </row>
    <row r="6166" ht="15.75" customHeight="1">
      <c r="A6166" s="1" t="s">
        <v>6203</v>
      </c>
      <c r="B6166" s="1" t="s">
        <v>32</v>
      </c>
      <c r="C6166" s="1">
        <v>1.0</v>
      </c>
      <c r="D6166" s="1" t="s">
        <v>25</v>
      </c>
      <c r="E6166" s="1" t="s">
        <v>26</v>
      </c>
      <c r="F6166" s="1">
        <v>45.0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1">
        <v>75.15</v>
      </c>
      <c r="T6166" s="1">
        <v>3480.35</v>
      </c>
      <c r="U6166" s="1">
        <v>0.0</v>
      </c>
      <c r="V6166" s="1">
        <v>0.0</v>
      </c>
      <c r="W6166" s="1" t="s">
        <v>26</v>
      </c>
    </row>
    <row r="6167" ht="15.75" customHeight="1">
      <c r="A6167" s="1" t="s">
        <v>6204</v>
      </c>
      <c r="B6167" s="1" t="s">
        <v>32</v>
      </c>
      <c r="C6167" s="1">
        <v>1.0</v>
      </c>
      <c r="D6167" s="1" t="s">
        <v>26</v>
      </c>
      <c r="E6167" s="1" t="s">
        <v>26</v>
      </c>
      <c r="F6167" s="1">
        <v>4.0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1">
        <v>70.65</v>
      </c>
      <c r="T6167" s="1">
        <v>293.85</v>
      </c>
      <c r="U6167" s="1">
        <v>0.0</v>
      </c>
      <c r="V6167" s="1">
        <v>0.0</v>
      </c>
      <c r="W6167" s="1" t="s">
        <v>26</v>
      </c>
    </row>
    <row r="6168" ht="15.75" customHeight="1">
      <c r="A6168" s="1" t="s">
        <v>6205</v>
      </c>
      <c r="B6168" s="1" t="s">
        <v>24</v>
      </c>
      <c r="C6168" s="1">
        <v>0.0</v>
      </c>
      <c r="D6168" s="1" t="s">
        <v>25</v>
      </c>
      <c r="E6168" s="1" t="s">
        <v>25</v>
      </c>
      <c r="F6168" s="1">
        <v>31.0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1">
        <v>104.2</v>
      </c>
      <c r="T6168" s="1">
        <v>3243.45</v>
      </c>
      <c r="U6168" s="1">
        <v>0.0</v>
      </c>
      <c r="V6168" s="1">
        <v>3.0</v>
      </c>
      <c r="W6168" s="1" t="s">
        <v>25</v>
      </c>
    </row>
    <row r="6169" ht="15.75" customHeight="1">
      <c r="A6169" s="1" t="s">
        <v>6206</v>
      </c>
      <c r="B6169" s="1" t="s">
        <v>32</v>
      </c>
      <c r="C6169" s="1">
        <v>0.0</v>
      </c>
      <c r="D6169" s="1" t="s">
        <v>25</v>
      </c>
      <c r="E6169" s="1" t="s">
        <v>25</v>
      </c>
      <c r="F6169" s="1">
        <v>47.0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1">
        <v>90.05</v>
      </c>
      <c r="T6169" s="1">
        <v>4137.2</v>
      </c>
      <c r="U6169" s="1">
        <v>0.0</v>
      </c>
      <c r="V6169" s="1">
        <v>0.0</v>
      </c>
      <c r="W6169" s="1" t="s">
        <v>26</v>
      </c>
    </row>
    <row r="6170" ht="15.75" customHeight="1">
      <c r="A6170" s="1" t="s">
        <v>6207</v>
      </c>
      <c r="B6170" s="1" t="s">
        <v>32</v>
      </c>
      <c r="C6170" s="1">
        <v>0.0</v>
      </c>
      <c r="D6170" s="1" t="s">
        <v>26</v>
      </c>
      <c r="E6170" s="1" t="s">
        <v>26</v>
      </c>
      <c r="F6170" s="1">
        <v>1.0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1">
        <v>79.25</v>
      </c>
      <c r="T6170" s="1">
        <v>79.25</v>
      </c>
      <c r="U6170" s="1">
        <v>0.0</v>
      </c>
      <c r="V6170" s="1">
        <v>0.0</v>
      </c>
      <c r="W6170" s="1" t="s">
        <v>25</v>
      </c>
    </row>
    <row r="6171" ht="15.75" customHeight="1">
      <c r="A6171" s="1" t="s">
        <v>6208</v>
      </c>
      <c r="B6171" s="1" t="s">
        <v>24</v>
      </c>
      <c r="C6171" s="1">
        <v>0.0</v>
      </c>
      <c r="D6171" s="1" t="s">
        <v>26</v>
      </c>
      <c r="E6171" s="1" t="s">
        <v>26</v>
      </c>
      <c r="F6171" s="1">
        <v>1.0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1">
        <v>44.9</v>
      </c>
      <c r="T6171" s="1">
        <v>44.9</v>
      </c>
      <c r="U6171" s="1">
        <v>0.0</v>
      </c>
      <c r="V6171" s="1">
        <v>0.0</v>
      </c>
      <c r="W6171" s="1" t="s">
        <v>25</v>
      </c>
    </row>
    <row r="6172" ht="15.75" customHeight="1">
      <c r="A6172" s="1" t="s">
        <v>6209</v>
      </c>
      <c r="B6172" s="1" t="s">
        <v>24</v>
      </c>
      <c r="C6172" s="1">
        <v>0.0</v>
      </c>
      <c r="D6172" s="1" t="s">
        <v>26</v>
      </c>
      <c r="E6172" s="1" t="s">
        <v>26</v>
      </c>
      <c r="F6172" s="1">
        <v>1.0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1">
        <v>19.4</v>
      </c>
      <c r="T6172" s="1">
        <v>19.4</v>
      </c>
      <c r="U6172" s="1">
        <v>0.0</v>
      </c>
      <c r="V6172" s="1">
        <v>0.0</v>
      </c>
      <c r="W6172" s="1" t="s">
        <v>26</v>
      </c>
    </row>
    <row r="6173" ht="15.75" customHeight="1">
      <c r="A6173" s="1" t="s">
        <v>6210</v>
      </c>
      <c r="B6173" s="1" t="s">
        <v>24</v>
      </c>
      <c r="C6173" s="1">
        <v>1.0</v>
      </c>
      <c r="D6173" s="1" t="s">
        <v>25</v>
      </c>
      <c r="E6173" s="1" t="s">
        <v>25</v>
      </c>
      <c r="F6173" s="1">
        <v>59.0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1">
        <v>88.75</v>
      </c>
      <c r="T6173" s="1">
        <v>5348.65</v>
      </c>
      <c r="U6173" s="1">
        <v>0.0</v>
      </c>
      <c r="V6173" s="1">
        <v>1.0</v>
      </c>
      <c r="W6173" s="1" t="s">
        <v>26</v>
      </c>
    </row>
    <row r="6174" ht="15.75" customHeight="1">
      <c r="A6174" s="1" t="s">
        <v>6211</v>
      </c>
      <c r="B6174" s="1" t="s">
        <v>32</v>
      </c>
      <c r="C6174" s="1">
        <v>0.0</v>
      </c>
      <c r="D6174" s="1" t="s">
        <v>25</v>
      </c>
      <c r="E6174" s="1" t="s">
        <v>26</v>
      </c>
      <c r="F6174" s="1">
        <v>10.0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1">
        <v>70.1</v>
      </c>
      <c r="T6174" s="1">
        <v>659.65</v>
      </c>
      <c r="U6174" s="1">
        <v>0.0</v>
      </c>
      <c r="V6174" s="1">
        <v>0.0</v>
      </c>
      <c r="W6174" s="1" t="s">
        <v>25</v>
      </c>
    </row>
    <row r="6175" ht="15.75" customHeight="1">
      <c r="A6175" s="1" t="s">
        <v>6212</v>
      </c>
      <c r="B6175" s="1" t="s">
        <v>32</v>
      </c>
      <c r="C6175" s="1">
        <v>1.0</v>
      </c>
      <c r="D6175" s="1" t="s">
        <v>26</v>
      </c>
      <c r="E6175" s="1" t="s">
        <v>26</v>
      </c>
      <c r="F6175" s="1">
        <v>35.0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1">
        <v>91.0</v>
      </c>
      <c r="T6175" s="1">
        <v>3180.5</v>
      </c>
      <c r="U6175" s="1">
        <v>0.0</v>
      </c>
      <c r="V6175" s="1">
        <v>1.0</v>
      </c>
      <c r="W6175" s="1" t="s">
        <v>26</v>
      </c>
    </row>
    <row r="6176" ht="15.75" customHeight="1">
      <c r="A6176" s="1" t="s">
        <v>6213</v>
      </c>
      <c r="B6176" s="1" t="s">
        <v>32</v>
      </c>
      <c r="C6176" s="1">
        <v>0.0</v>
      </c>
      <c r="D6176" s="1" t="s">
        <v>26</v>
      </c>
      <c r="E6176" s="1" t="s">
        <v>26</v>
      </c>
      <c r="F6176" s="1">
        <v>4.0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1">
        <v>29.65</v>
      </c>
      <c r="T6176" s="1">
        <v>118.5</v>
      </c>
      <c r="U6176" s="1">
        <v>3.0</v>
      </c>
      <c r="V6176" s="1">
        <v>0.0</v>
      </c>
      <c r="W6176" s="1" t="s">
        <v>25</v>
      </c>
    </row>
    <row r="6177" ht="15.75" customHeight="1">
      <c r="A6177" s="1" t="s">
        <v>6214</v>
      </c>
      <c r="B6177" s="1" t="s">
        <v>32</v>
      </c>
      <c r="C6177" s="1">
        <v>0.0</v>
      </c>
      <c r="D6177" s="1" t="s">
        <v>25</v>
      </c>
      <c r="E6177" s="1" t="s">
        <v>25</v>
      </c>
      <c r="F6177" s="1">
        <v>32.0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1">
        <v>90.8</v>
      </c>
      <c r="T6177" s="1">
        <v>3023.85</v>
      </c>
      <c r="U6177" s="1">
        <v>0.0</v>
      </c>
      <c r="V6177" s="1">
        <v>0.0</v>
      </c>
      <c r="W6177" s="1" t="s">
        <v>26</v>
      </c>
    </row>
    <row r="6178" ht="15.75" customHeight="1">
      <c r="A6178" s="1" t="s">
        <v>6215</v>
      </c>
      <c r="B6178" s="1" t="s">
        <v>32</v>
      </c>
      <c r="C6178" s="1">
        <v>0.0</v>
      </c>
      <c r="D6178" s="1" t="s">
        <v>26</v>
      </c>
      <c r="E6178" s="1" t="s">
        <v>26</v>
      </c>
      <c r="F6178" s="1">
        <v>43.0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1">
        <v>77.85</v>
      </c>
      <c r="T6178" s="1">
        <v>3365.85</v>
      </c>
      <c r="U6178" s="1">
        <v>0.0</v>
      </c>
      <c r="V6178" s="1">
        <v>0.0</v>
      </c>
      <c r="W6178" s="1" t="s">
        <v>25</v>
      </c>
    </row>
    <row r="6179" ht="15.75" customHeight="1">
      <c r="A6179" s="1" t="s">
        <v>6216</v>
      </c>
      <c r="B6179" s="1" t="s">
        <v>32</v>
      </c>
      <c r="C6179" s="1">
        <v>0.0</v>
      </c>
      <c r="D6179" s="1" t="s">
        <v>26</v>
      </c>
      <c r="E6179" s="1" t="s">
        <v>26</v>
      </c>
      <c r="F6179" s="1">
        <v>4.0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1">
        <v>54.3</v>
      </c>
      <c r="T6179" s="1">
        <v>195.3</v>
      </c>
      <c r="U6179" s="1">
        <v>4.0</v>
      </c>
      <c r="V6179" s="1">
        <v>0.0</v>
      </c>
      <c r="W6179" s="1" t="s">
        <v>25</v>
      </c>
    </row>
    <row r="6180" ht="15.75" customHeight="1">
      <c r="A6180" s="1" t="s">
        <v>6217</v>
      </c>
      <c r="B6180" s="1" t="s">
        <v>24</v>
      </c>
      <c r="C6180" s="1">
        <v>1.0</v>
      </c>
      <c r="D6180" s="1" t="s">
        <v>25</v>
      </c>
      <c r="E6180" s="1" t="s">
        <v>26</v>
      </c>
      <c r="F6180" s="1">
        <v>54.0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1">
        <v>18.95</v>
      </c>
      <c r="T6180" s="1">
        <v>1031.1</v>
      </c>
      <c r="U6180" s="1">
        <v>0.0</v>
      </c>
      <c r="V6180" s="1">
        <v>0.0</v>
      </c>
      <c r="W6180" s="1" t="s">
        <v>26</v>
      </c>
    </row>
    <row r="6181" ht="15.75" customHeight="1">
      <c r="A6181" s="1" t="s">
        <v>6218</v>
      </c>
      <c r="B6181" s="1" t="s">
        <v>24</v>
      </c>
      <c r="C6181" s="1">
        <v>1.0</v>
      </c>
      <c r="D6181" s="1" t="s">
        <v>26</v>
      </c>
      <c r="E6181" s="1" t="s">
        <v>26</v>
      </c>
      <c r="F6181" s="1">
        <v>11.0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1">
        <v>95.15</v>
      </c>
      <c r="T6181" s="1">
        <v>997.65</v>
      </c>
      <c r="U6181" s="1">
        <v>0.0</v>
      </c>
      <c r="V6181" s="1">
        <v>1.0</v>
      </c>
      <c r="W6181" s="1" t="s">
        <v>25</v>
      </c>
    </row>
    <row r="6182" ht="15.75" customHeight="1">
      <c r="A6182" s="1" t="s">
        <v>6219</v>
      </c>
      <c r="B6182" s="1" t="s">
        <v>24</v>
      </c>
      <c r="C6182" s="1">
        <v>1.0</v>
      </c>
      <c r="D6182" s="1" t="s">
        <v>26</v>
      </c>
      <c r="E6182" s="1" t="s">
        <v>26</v>
      </c>
      <c r="F6182" s="1">
        <v>66.0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1">
        <v>102.4</v>
      </c>
      <c r="T6182" s="1">
        <v>6471.85</v>
      </c>
      <c r="U6182" s="1">
        <v>0.0</v>
      </c>
      <c r="V6182" s="1">
        <v>3.0</v>
      </c>
      <c r="W6182" s="1" t="s">
        <v>26</v>
      </c>
    </row>
    <row r="6183" ht="15.75" customHeight="1">
      <c r="A6183" s="1" t="s">
        <v>6220</v>
      </c>
      <c r="B6183" s="1" t="s">
        <v>32</v>
      </c>
      <c r="C6183" s="1">
        <v>0.0</v>
      </c>
      <c r="D6183" s="1" t="s">
        <v>25</v>
      </c>
      <c r="E6183" s="1" t="s">
        <v>25</v>
      </c>
      <c r="F6183" s="1">
        <v>61.0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1">
        <v>99.9</v>
      </c>
      <c r="T6183" s="1">
        <v>6241.35</v>
      </c>
      <c r="U6183" s="1">
        <v>0.0</v>
      </c>
      <c r="V6183" s="1">
        <v>0.0</v>
      </c>
      <c r="W6183" s="1" t="s">
        <v>26</v>
      </c>
    </row>
    <row r="6184" ht="15.75" customHeight="1">
      <c r="A6184" s="1" t="s">
        <v>6221</v>
      </c>
      <c r="B6184" s="1" t="s">
        <v>32</v>
      </c>
      <c r="C6184" s="1">
        <v>0.0</v>
      </c>
      <c r="D6184" s="1" t="s">
        <v>25</v>
      </c>
      <c r="E6184" s="1" t="s">
        <v>25</v>
      </c>
      <c r="F6184" s="1">
        <v>72.0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1">
        <v>88.7</v>
      </c>
      <c r="T6184" s="1">
        <v>6501.35</v>
      </c>
      <c r="U6184" s="1">
        <v>0.0</v>
      </c>
      <c r="V6184" s="1">
        <v>0.0</v>
      </c>
      <c r="W6184" s="1" t="s">
        <v>26</v>
      </c>
    </row>
    <row r="6185" ht="15.75" customHeight="1">
      <c r="A6185" s="1" t="s">
        <v>6222</v>
      </c>
      <c r="B6185" s="1" t="s">
        <v>32</v>
      </c>
      <c r="C6185" s="1">
        <v>0.0</v>
      </c>
      <c r="D6185" s="1" t="s">
        <v>25</v>
      </c>
      <c r="E6185" s="1" t="s">
        <v>25</v>
      </c>
      <c r="F6185" s="1">
        <v>44.0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1">
        <v>54.3</v>
      </c>
      <c r="T6185" s="1">
        <v>2317.1</v>
      </c>
      <c r="U6185" s="1">
        <v>0.0</v>
      </c>
      <c r="V6185" s="1">
        <v>0.0</v>
      </c>
      <c r="W6185" s="1" t="s">
        <v>26</v>
      </c>
    </row>
    <row r="6186" ht="15.75" customHeight="1">
      <c r="A6186" s="1" t="s">
        <v>6223</v>
      </c>
      <c r="B6186" s="1" t="s">
        <v>32</v>
      </c>
      <c r="C6186" s="1">
        <v>0.0</v>
      </c>
      <c r="D6186" s="1" t="s">
        <v>26</v>
      </c>
      <c r="E6186" s="1" t="s">
        <v>26</v>
      </c>
      <c r="F6186" s="1">
        <v>41.0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1">
        <v>55.7</v>
      </c>
      <c r="T6186" s="1">
        <v>2237.55</v>
      </c>
      <c r="U6186" s="1">
        <v>0.0</v>
      </c>
      <c r="V6186" s="1">
        <v>0.0</v>
      </c>
      <c r="W6186" s="1" t="s">
        <v>26</v>
      </c>
    </row>
    <row r="6187" ht="15.75" customHeight="1">
      <c r="A6187" s="1" t="s">
        <v>6224</v>
      </c>
      <c r="B6187" s="1" t="s">
        <v>32</v>
      </c>
      <c r="C6187" s="1">
        <v>0.0</v>
      </c>
      <c r="D6187" s="1" t="s">
        <v>25</v>
      </c>
      <c r="E6187" s="1" t="s">
        <v>26</v>
      </c>
      <c r="F6187" s="1">
        <v>50.0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1">
        <v>103.95</v>
      </c>
      <c r="T6187" s="1">
        <v>5231.3</v>
      </c>
      <c r="U6187" s="1">
        <v>0.0</v>
      </c>
      <c r="V6187" s="1">
        <v>0.0</v>
      </c>
      <c r="W6187" s="1" t="s">
        <v>26</v>
      </c>
    </row>
    <row r="6188" ht="15.75" customHeight="1">
      <c r="A6188" s="1" t="s">
        <v>6225</v>
      </c>
      <c r="B6188" s="1" t="s">
        <v>32</v>
      </c>
      <c r="C6188" s="1">
        <v>0.0</v>
      </c>
      <c r="D6188" s="1" t="s">
        <v>25</v>
      </c>
      <c r="E6188" s="1" t="s">
        <v>26</v>
      </c>
      <c r="F6188" s="1">
        <v>47.0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1">
        <v>110.85</v>
      </c>
      <c r="T6188" s="1">
        <v>5275.8</v>
      </c>
      <c r="U6188" s="1">
        <v>0.0</v>
      </c>
      <c r="V6188" s="1">
        <v>5.0</v>
      </c>
      <c r="W6188" s="1" t="s">
        <v>25</v>
      </c>
    </row>
    <row r="6189" ht="15.75" customHeight="1">
      <c r="A6189" s="1" t="s">
        <v>6226</v>
      </c>
      <c r="B6189" s="1" t="s">
        <v>32</v>
      </c>
      <c r="C6189" s="1">
        <v>0.0</v>
      </c>
      <c r="D6189" s="1" t="s">
        <v>25</v>
      </c>
      <c r="E6189" s="1" t="s">
        <v>25</v>
      </c>
      <c r="F6189" s="1">
        <v>8.0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1">
        <v>20.15</v>
      </c>
      <c r="T6189" s="1">
        <v>165.5</v>
      </c>
      <c r="U6189" s="1">
        <v>5.0</v>
      </c>
      <c r="V6189" s="1">
        <v>0.0</v>
      </c>
      <c r="W6189" s="1" t="s">
        <v>26</v>
      </c>
    </row>
    <row r="6190" ht="15.75" customHeight="1">
      <c r="A6190" s="1" t="s">
        <v>6227</v>
      </c>
      <c r="B6190" s="1" t="s">
        <v>32</v>
      </c>
      <c r="C6190" s="1">
        <v>0.0</v>
      </c>
      <c r="D6190" s="1" t="s">
        <v>26</v>
      </c>
      <c r="E6190" s="1" t="s">
        <v>26</v>
      </c>
      <c r="F6190" s="1">
        <v>18.0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1">
        <v>20.05</v>
      </c>
      <c r="T6190" s="1">
        <v>358.5</v>
      </c>
      <c r="U6190" s="1">
        <v>0.0</v>
      </c>
      <c r="V6190" s="1">
        <v>0.0</v>
      </c>
      <c r="W6190" s="1" t="s">
        <v>26</v>
      </c>
    </row>
    <row r="6191" ht="15.75" customHeight="1">
      <c r="A6191" s="1" t="s">
        <v>6228</v>
      </c>
      <c r="B6191" s="1" t="s">
        <v>32</v>
      </c>
      <c r="C6191" s="1">
        <v>0.0</v>
      </c>
      <c r="D6191" s="1" t="s">
        <v>25</v>
      </c>
      <c r="E6191" s="1" t="s">
        <v>25</v>
      </c>
      <c r="F6191" s="1">
        <v>72.0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1">
        <v>91.95</v>
      </c>
      <c r="T6191" s="1">
        <v>6614.9</v>
      </c>
      <c r="U6191" s="1">
        <v>0.0</v>
      </c>
      <c r="V6191" s="1">
        <v>0.0</v>
      </c>
      <c r="W6191" s="1" t="s">
        <v>26</v>
      </c>
    </row>
    <row r="6192" ht="15.75" customHeight="1">
      <c r="A6192" s="1" t="s">
        <v>6229</v>
      </c>
      <c r="B6192" s="1" t="s">
        <v>32</v>
      </c>
      <c r="C6192" s="1">
        <v>0.0</v>
      </c>
      <c r="D6192" s="1" t="s">
        <v>26</v>
      </c>
      <c r="E6192" s="1" t="s">
        <v>26</v>
      </c>
      <c r="F6192" s="1">
        <v>1.0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1">
        <v>80.5</v>
      </c>
      <c r="T6192" s="1">
        <v>80.5</v>
      </c>
      <c r="U6192" s="1">
        <v>0.0</v>
      </c>
      <c r="V6192" s="1">
        <v>0.0</v>
      </c>
      <c r="W6192" s="1" t="s">
        <v>25</v>
      </c>
    </row>
    <row r="6193" ht="15.75" customHeight="1">
      <c r="A6193" s="1" t="s">
        <v>6230</v>
      </c>
      <c r="B6193" s="1" t="s">
        <v>24</v>
      </c>
      <c r="C6193" s="1">
        <v>1.0</v>
      </c>
      <c r="D6193" s="1" t="s">
        <v>26</v>
      </c>
      <c r="E6193" s="1" t="s">
        <v>26</v>
      </c>
      <c r="F6193" s="1">
        <v>42.0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1">
        <v>55.65</v>
      </c>
      <c r="T6193" s="1">
        <v>2421.75</v>
      </c>
      <c r="U6193" s="1">
        <v>0.0</v>
      </c>
      <c r="V6193" s="1">
        <v>0.0</v>
      </c>
      <c r="W6193" s="1" t="s">
        <v>26</v>
      </c>
    </row>
    <row r="6194" ht="15.75" customHeight="1">
      <c r="A6194" s="1" t="s">
        <v>6231</v>
      </c>
      <c r="B6194" s="1" t="s">
        <v>24</v>
      </c>
      <c r="C6194" s="1">
        <v>1.0</v>
      </c>
      <c r="D6194" s="1" t="s">
        <v>26</v>
      </c>
      <c r="E6194" s="1" t="s">
        <v>26</v>
      </c>
      <c r="F6194" s="1">
        <v>18.0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1">
        <v>74.7</v>
      </c>
      <c r="T6194" s="1">
        <v>1294.6</v>
      </c>
      <c r="U6194" s="1">
        <v>0.0</v>
      </c>
      <c r="V6194" s="1">
        <v>0.0</v>
      </c>
      <c r="W6194" s="1" t="s">
        <v>26</v>
      </c>
    </row>
    <row r="6195" ht="15.75" customHeight="1">
      <c r="A6195" s="1" t="s">
        <v>6232</v>
      </c>
      <c r="B6195" s="1" t="s">
        <v>24</v>
      </c>
      <c r="C6195" s="1">
        <v>0.0</v>
      </c>
      <c r="D6195" s="1" t="s">
        <v>26</v>
      </c>
      <c r="E6195" s="1" t="s">
        <v>25</v>
      </c>
      <c r="F6195" s="1">
        <v>13.0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1">
        <v>104.15</v>
      </c>
      <c r="T6195" s="1">
        <v>1299.1</v>
      </c>
      <c r="U6195" s="1">
        <v>0.0</v>
      </c>
      <c r="V6195" s="1">
        <v>0.0</v>
      </c>
      <c r="W6195" s="1" t="s">
        <v>26</v>
      </c>
    </row>
    <row r="6196" ht="15.75" customHeight="1">
      <c r="A6196" s="1" t="s">
        <v>6233</v>
      </c>
      <c r="B6196" s="1" t="s">
        <v>24</v>
      </c>
      <c r="C6196" s="1">
        <v>0.0</v>
      </c>
      <c r="D6196" s="1" t="s">
        <v>25</v>
      </c>
      <c r="E6196" s="1" t="s">
        <v>25</v>
      </c>
      <c r="F6196" s="1">
        <v>68.0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1">
        <v>83.65</v>
      </c>
      <c r="T6196" s="1">
        <v>5733.4</v>
      </c>
      <c r="U6196" s="1">
        <v>0.0</v>
      </c>
      <c r="V6196" s="1">
        <v>0.0</v>
      </c>
      <c r="W6196" s="1" t="s">
        <v>26</v>
      </c>
    </row>
    <row r="6197" ht="15.75" customHeight="1">
      <c r="A6197" s="1" t="s">
        <v>6234</v>
      </c>
      <c r="B6197" s="1" t="s">
        <v>32</v>
      </c>
      <c r="C6197" s="1">
        <v>0.0</v>
      </c>
      <c r="D6197" s="1" t="s">
        <v>26</v>
      </c>
      <c r="E6197" s="1" t="s">
        <v>26</v>
      </c>
      <c r="F6197" s="1">
        <v>4.0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1">
        <v>72.2</v>
      </c>
      <c r="T6197" s="1">
        <v>305.55</v>
      </c>
      <c r="U6197" s="1">
        <v>0.0</v>
      </c>
      <c r="V6197" s="1">
        <v>0.0</v>
      </c>
      <c r="W6197" s="1" t="s">
        <v>25</v>
      </c>
    </row>
    <row r="6198" ht="15.75" customHeight="1">
      <c r="A6198" s="1" t="s">
        <v>6235</v>
      </c>
      <c r="B6198" s="1" t="s">
        <v>32</v>
      </c>
      <c r="C6198" s="1">
        <v>0.0</v>
      </c>
      <c r="D6198" s="1" t="s">
        <v>26</v>
      </c>
      <c r="E6198" s="1" t="s">
        <v>26</v>
      </c>
      <c r="F6198" s="1">
        <v>69.0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1">
        <v>110.05</v>
      </c>
      <c r="T6198" s="1">
        <v>7430.75</v>
      </c>
      <c r="U6198" s="1">
        <v>0.0</v>
      </c>
      <c r="V6198" s="1">
        <v>0.0</v>
      </c>
      <c r="W6198" s="1" t="s">
        <v>26</v>
      </c>
    </row>
    <row r="6199" ht="15.75" customHeight="1">
      <c r="A6199" s="1" t="s">
        <v>6236</v>
      </c>
      <c r="B6199" s="1" t="s">
        <v>32</v>
      </c>
      <c r="C6199" s="1">
        <v>0.0</v>
      </c>
      <c r="D6199" s="1" t="s">
        <v>26</v>
      </c>
      <c r="E6199" s="1" t="s">
        <v>26</v>
      </c>
      <c r="F6199" s="1">
        <v>17.0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1">
        <v>51.5</v>
      </c>
      <c r="T6199" s="1">
        <v>900.5</v>
      </c>
      <c r="U6199" s="1">
        <v>0.0</v>
      </c>
      <c r="V6199" s="1">
        <v>0.0</v>
      </c>
      <c r="W6199" s="1" t="s">
        <v>25</v>
      </c>
    </row>
    <row r="6200" ht="15.75" customHeight="1">
      <c r="A6200" s="1" t="s">
        <v>6237</v>
      </c>
      <c r="B6200" s="1" t="s">
        <v>32</v>
      </c>
      <c r="C6200" s="1">
        <v>0.0</v>
      </c>
      <c r="D6200" s="1" t="s">
        <v>25</v>
      </c>
      <c r="E6200" s="1" t="s">
        <v>25</v>
      </c>
      <c r="F6200" s="1">
        <v>25.0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1">
        <v>25.5</v>
      </c>
      <c r="T6200" s="1">
        <v>630.6</v>
      </c>
      <c r="U6200" s="1">
        <v>0.0</v>
      </c>
      <c r="V6200" s="1">
        <v>0.0</v>
      </c>
      <c r="W6200" s="1" t="s">
        <v>26</v>
      </c>
    </row>
    <row r="6201" ht="15.75" customHeight="1">
      <c r="A6201" s="1" t="s">
        <v>6238</v>
      </c>
      <c r="B6201" s="1" t="s">
        <v>32</v>
      </c>
      <c r="C6201" s="1">
        <v>1.0</v>
      </c>
      <c r="D6201" s="1" t="s">
        <v>26</v>
      </c>
      <c r="E6201" s="1" t="s">
        <v>26</v>
      </c>
      <c r="F6201" s="1">
        <v>43.0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1">
        <v>89.55</v>
      </c>
      <c r="T6201" s="1">
        <v>3856.75</v>
      </c>
      <c r="U6201" s="1">
        <v>0.0</v>
      </c>
      <c r="V6201" s="1">
        <v>4.0</v>
      </c>
      <c r="W6201" s="1" t="s">
        <v>25</v>
      </c>
    </row>
    <row r="6202" ht="15.75" customHeight="1">
      <c r="A6202" s="1" t="s">
        <v>6239</v>
      </c>
      <c r="B6202" s="1" t="s">
        <v>24</v>
      </c>
      <c r="C6202" s="1">
        <v>0.0</v>
      </c>
      <c r="D6202" s="1" t="s">
        <v>25</v>
      </c>
      <c r="E6202" s="1" t="s">
        <v>25</v>
      </c>
      <c r="F6202" s="1">
        <v>59.0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1">
        <v>19.5</v>
      </c>
      <c r="T6202" s="1">
        <v>1222.65</v>
      </c>
      <c r="U6202" s="1">
        <v>5.0</v>
      </c>
      <c r="V6202" s="1">
        <v>0.0</v>
      </c>
      <c r="W6202" s="1" t="s">
        <v>26</v>
      </c>
    </row>
    <row r="6203" ht="15.75" customHeight="1">
      <c r="A6203" s="1" t="s">
        <v>6240</v>
      </c>
      <c r="B6203" s="1" t="s">
        <v>24</v>
      </c>
      <c r="C6203" s="1">
        <v>1.0</v>
      </c>
      <c r="D6203" s="1" t="s">
        <v>26</v>
      </c>
      <c r="E6203" s="1" t="s">
        <v>26</v>
      </c>
      <c r="F6203" s="1">
        <v>5.0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1">
        <v>80.7</v>
      </c>
      <c r="T6203" s="1">
        <v>374.8</v>
      </c>
      <c r="U6203" s="1">
        <v>0.0</v>
      </c>
      <c r="V6203" s="1">
        <v>0.0</v>
      </c>
      <c r="W6203" s="1" t="s">
        <v>26</v>
      </c>
    </row>
    <row r="6204" ht="15.75" customHeight="1">
      <c r="A6204" s="1" t="s">
        <v>6241</v>
      </c>
      <c r="B6204" s="1" t="s">
        <v>32</v>
      </c>
      <c r="C6204" s="1">
        <v>0.0</v>
      </c>
      <c r="D6204" s="1" t="s">
        <v>25</v>
      </c>
      <c r="E6204" s="1" t="s">
        <v>25</v>
      </c>
      <c r="F6204" s="1">
        <v>21.0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1">
        <v>77.5</v>
      </c>
      <c r="T6204" s="1">
        <v>1625.0</v>
      </c>
      <c r="U6204" s="1">
        <v>0.0</v>
      </c>
      <c r="V6204" s="1">
        <v>4.0</v>
      </c>
      <c r="W6204" s="1" t="s">
        <v>25</v>
      </c>
    </row>
    <row r="6205" ht="15.75" customHeight="1">
      <c r="A6205" s="1" t="s">
        <v>6242</v>
      </c>
      <c r="B6205" s="1" t="s">
        <v>24</v>
      </c>
      <c r="C6205" s="1">
        <v>0.0</v>
      </c>
      <c r="D6205" s="1" t="s">
        <v>25</v>
      </c>
      <c r="E6205" s="1" t="s">
        <v>25</v>
      </c>
      <c r="F6205" s="1">
        <v>69.0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1">
        <v>105.1</v>
      </c>
      <c r="T6205" s="1">
        <v>7234.8</v>
      </c>
      <c r="U6205" s="1">
        <v>0.0</v>
      </c>
      <c r="V6205" s="1">
        <v>0.0</v>
      </c>
      <c r="W6205" s="1" t="s">
        <v>26</v>
      </c>
    </row>
    <row r="6206" ht="15.75" customHeight="1">
      <c r="A6206" s="1" t="s">
        <v>6243</v>
      </c>
      <c r="B6206" s="1" t="s">
        <v>32</v>
      </c>
      <c r="C6206" s="1">
        <v>0.0</v>
      </c>
      <c r="D6206" s="1" t="s">
        <v>26</v>
      </c>
      <c r="E6206" s="1" t="s">
        <v>26</v>
      </c>
      <c r="F6206" s="1">
        <v>13.0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1">
        <v>25.15</v>
      </c>
      <c r="T6206" s="1">
        <v>331.85</v>
      </c>
      <c r="U6206" s="1">
        <v>4.0</v>
      </c>
      <c r="V6206" s="1">
        <v>0.0</v>
      </c>
      <c r="W6206" s="1" t="s">
        <v>26</v>
      </c>
    </row>
    <row r="6207" ht="15.75" customHeight="1">
      <c r="A6207" s="1" t="s">
        <v>6244</v>
      </c>
      <c r="B6207" s="1" t="s">
        <v>32</v>
      </c>
      <c r="C6207" s="1">
        <v>0.0</v>
      </c>
      <c r="D6207" s="1" t="s">
        <v>25</v>
      </c>
      <c r="E6207" s="1" t="s">
        <v>26</v>
      </c>
      <c r="F6207" s="1">
        <v>42.0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1">
        <v>95.25</v>
      </c>
      <c r="T6207" s="1">
        <v>3959.35</v>
      </c>
      <c r="U6207" s="1">
        <v>0.0</v>
      </c>
      <c r="V6207" s="1">
        <v>6.0</v>
      </c>
      <c r="W6207" s="1" t="s">
        <v>25</v>
      </c>
    </row>
    <row r="6208" ht="15.75" customHeight="1">
      <c r="A6208" s="1" t="s">
        <v>6245</v>
      </c>
      <c r="B6208" s="1" t="s">
        <v>32</v>
      </c>
      <c r="C6208" s="1">
        <v>0.0</v>
      </c>
      <c r="D6208" s="1" t="s">
        <v>25</v>
      </c>
      <c r="E6208" s="1" t="s">
        <v>26</v>
      </c>
      <c r="F6208" s="1">
        <v>52.0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1">
        <v>95.65</v>
      </c>
      <c r="T6208" s="1">
        <v>5088.4</v>
      </c>
      <c r="U6208" s="1">
        <v>0.0</v>
      </c>
      <c r="V6208" s="1">
        <v>3.0</v>
      </c>
      <c r="W6208" s="1" t="s">
        <v>26</v>
      </c>
    </row>
    <row r="6209" ht="15.75" customHeight="1">
      <c r="A6209" s="1" t="s">
        <v>6246</v>
      </c>
      <c r="B6209" s="1" t="s">
        <v>32</v>
      </c>
      <c r="C6209" s="1">
        <v>1.0</v>
      </c>
      <c r="D6209" s="1" t="s">
        <v>26</v>
      </c>
      <c r="E6209" s="1" t="s">
        <v>26</v>
      </c>
      <c r="F6209" s="1">
        <v>46.0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1">
        <v>85.0</v>
      </c>
      <c r="T6209" s="1">
        <v>3969.4</v>
      </c>
      <c r="U6209" s="1">
        <v>0.0</v>
      </c>
      <c r="V6209" s="1">
        <v>4.0</v>
      </c>
      <c r="W6209" s="1" t="s">
        <v>25</v>
      </c>
    </row>
    <row r="6210" ht="15.75" customHeight="1">
      <c r="A6210" s="1" t="s">
        <v>6247</v>
      </c>
      <c r="B6210" s="1" t="s">
        <v>32</v>
      </c>
      <c r="C6210" s="1">
        <v>0.0</v>
      </c>
      <c r="D6210" s="1" t="s">
        <v>25</v>
      </c>
      <c r="E6210" s="1" t="s">
        <v>26</v>
      </c>
      <c r="F6210" s="1">
        <v>61.0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1">
        <v>80.8</v>
      </c>
      <c r="T6210" s="1">
        <v>4860.85</v>
      </c>
      <c r="U6210" s="1">
        <v>0.0</v>
      </c>
      <c r="V6210" s="1">
        <v>0.0</v>
      </c>
      <c r="W6210" s="1" t="s">
        <v>26</v>
      </c>
    </row>
    <row r="6211" ht="15.75" customHeight="1">
      <c r="A6211" s="1" t="s">
        <v>6248</v>
      </c>
      <c r="B6211" s="1" t="s">
        <v>32</v>
      </c>
      <c r="C6211" s="1">
        <v>0.0</v>
      </c>
      <c r="D6211" s="1" t="s">
        <v>26</v>
      </c>
      <c r="E6211" s="1" t="s">
        <v>26</v>
      </c>
      <c r="F6211" s="1">
        <v>29.0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1">
        <v>24.85</v>
      </c>
      <c r="T6211" s="1">
        <v>788.05</v>
      </c>
      <c r="U6211" s="1">
        <v>0.0</v>
      </c>
      <c r="V6211" s="1">
        <v>0.0</v>
      </c>
      <c r="W6211" s="1" t="s">
        <v>26</v>
      </c>
    </row>
    <row r="6212" ht="15.75" customHeight="1">
      <c r="A6212" s="1" t="s">
        <v>6249</v>
      </c>
      <c r="B6212" s="1" t="s">
        <v>24</v>
      </c>
      <c r="C6212" s="1">
        <v>0.0</v>
      </c>
      <c r="D6212" s="1" t="s">
        <v>26</v>
      </c>
      <c r="E6212" s="1" t="s">
        <v>25</v>
      </c>
      <c r="F6212" s="1">
        <v>25.0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1">
        <v>54.75</v>
      </c>
      <c r="T6212" s="1">
        <v>1266.35</v>
      </c>
      <c r="U6212" s="1">
        <v>0.0</v>
      </c>
      <c r="V6212" s="1">
        <v>0.0</v>
      </c>
      <c r="W6212" s="1" t="s">
        <v>26</v>
      </c>
    </row>
    <row r="6213" ht="15.75" customHeight="1">
      <c r="A6213" s="1" t="s">
        <v>6250</v>
      </c>
      <c r="B6213" s="1" t="s">
        <v>24</v>
      </c>
      <c r="C6213" s="1">
        <v>0.0</v>
      </c>
      <c r="D6213" s="1" t="s">
        <v>25</v>
      </c>
      <c r="E6213" s="1" t="s">
        <v>25</v>
      </c>
      <c r="F6213" s="1">
        <v>5.0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1">
        <v>85.75</v>
      </c>
      <c r="T6213" s="1">
        <v>470.95</v>
      </c>
      <c r="U6213" s="1">
        <v>0.0</v>
      </c>
      <c r="V6213" s="1">
        <v>0.0</v>
      </c>
      <c r="W6213" s="1" t="s">
        <v>25</v>
      </c>
    </row>
    <row r="6214" ht="15.75" customHeight="1">
      <c r="A6214" s="1" t="s">
        <v>6251</v>
      </c>
      <c r="B6214" s="1" t="s">
        <v>32</v>
      </c>
      <c r="C6214" s="1">
        <v>0.0</v>
      </c>
      <c r="D6214" s="1" t="s">
        <v>26</v>
      </c>
      <c r="E6214" s="1" t="s">
        <v>26</v>
      </c>
      <c r="F6214" s="1">
        <v>15.0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1">
        <v>50.75</v>
      </c>
      <c r="T6214" s="1">
        <v>688.2</v>
      </c>
      <c r="U6214" s="1">
        <v>0.0</v>
      </c>
      <c r="V6214" s="1">
        <v>0.0</v>
      </c>
      <c r="W6214" s="1" t="s">
        <v>26</v>
      </c>
    </row>
    <row r="6215" ht="15.75" customHeight="1">
      <c r="A6215" s="1" t="s">
        <v>6252</v>
      </c>
      <c r="B6215" s="1" t="s">
        <v>24</v>
      </c>
      <c r="C6215" s="1">
        <v>0.0</v>
      </c>
      <c r="D6215" s="1" t="s">
        <v>25</v>
      </c>
      <c r="E6215" s="1" t="s">
        <v>25</v>
      </c>
      <c r="F6215" s="1">
        <v>19.0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1">
        <v>20.15</v>
      </c>
      <c r="T6215" s="1">
        <v>387.7</v>
      </c>
      <c r="U6215" s="1">
        <v>3.0</v>
      </c>
      <c r="V6215" s="1">
        <v>0.0</v>
      </c>
      <c r="W6215" s="1" t="s">
        <v>26</v>
      </c>
    </row>
    <row r="6216" ht="15.75" customHeight="1">
      <c r="A6216" s="1" t="s">
        <v>6253</v>
      </c>
      <c r="B6216" s="1" t="s">
        <v>32</v>
      </c>
      <c r="C6216" s="1">
        <v>0.0</v>
      </c>
      <c r="D6216" s="1" t="s">
        <v>26</v>
      </c>
      <c r="E6216" s="1" t="s">
        <v>26</v>
      </c>
      <c r="F6216" s="1">
        <v>44.0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1">
        <v>20.05</v>
      </c>
      <c r="T6216" s="1">
        <v>845.25</v>
      </c>
      <c r="U6216" s="1">
        <v>3.0</v>
      </c>
      <c r="V6216" s="1">
        <v>0.0</v>
      </c>
      <c r="W6216" s="1" t="s">
        <v>26</v>
      </c>
    </row>
    <row r="6217" ht="15.75" customHeight="1">
      <c r="A6217" s="1" t="s">
        <v>6254</v>
      </c>
      <c r="B6217" s="1" t="s">
        <v>24</v>
      </c>
      <c r="C6217" s="1">
        <v>1.0</v>
      </c>
      <c r="D6217" s="1" t="s">
        <v>26</v>
      </c>
      <c r="E6217" s="1" t="s">
        <v>26</v>
      </c>
      <c r="F6217" s="1">
        <v>6.0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1">
        <v>98.25</v>
      </c>
      <c r="T6217" s="1">
        <v>560.6</v>
      </c>
      <c r="U6217" s="1">
        <v>0.0</v>
      </c>
      <c r="V6217" s="1">
        <v>0.0</v>
      </c>
      <c r="W6217" s="1" t="s">
        <v>25</v>
      </c>
    </row>
    <row r="6218" ht="15.75" customHeight="1">
      <c r="A6218" s="1" t="s">
        <v>6255</v>
      </c>
      <c r="B6218" s="1" t="s">
        <v>32</v>
      </c>
      <c r="C6218" s="1">
        <v>0.0</v>
      </c>
      <c r="D6218" s="1" t="s">
        <v>25</v>
      </c>
      <c r="E6218" s="1" t="s">
        <v>25</v>
      </c>
      <c r="F6218" s="1">
        <v>58.0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1">
        <v>71.6</v>
      </c>
      <c r="T6218" s="1">
        <v>4230.25</v>
      </c>
      <c r="U6218" s="1">
        <v>5.0</v>
      </c>
      <c r="V6218" s="1">
        <v>0.0</v>
      </c>
      <c r="W6218" s="1" t="s">
        <v>26</v>
      </c>
    </row>
    <row r="6219" ht="15.75" customHeight="1">
      <c r="A6219" s="1" t="s">
        <v>6256</v>
      </c>
      <c r="B6219" s="1" t="s">
        <v>32</v>
      </c>
      <c r="C6219" s="1">
        <v>0.0</v>
      </c>
      <c r="D6219" s="1" t="s">
        <v>25</v>
      </c>
      <c r="E6219" s="1" t="s">
        <v>25</v>
      </c>
      <c r="F6219" s="1">
        <v>62.0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1">
        <v>81.45</v>
      </c>
      <c r="T6219" s="1">
        <v>4983.05</v>
      </c>
      <c r="U6219" s="1">
        <v>0.0</v>
      </c>
      <c r="V6219" s="1">
        <v>0.0</v>
      </c>
      <c r="W6219" s="1" t="s">
        <v>26</v>
      </c>
    </row>
    <row r="6220" ht="15.75" customHeight="1">
      <c r="A6220" s="1" t="s">
        <v>6257</v>
      </c>
      <c r="B6220" s="1" t="s">
        <v>24</v>
      </c>
      <c r="C6220" s="1">
        <v>0.0</v>
      </c>
      <c r="D6220" s="1" t="s">
        <v>25</v>
      </c>
      <c r="E6220" s="1" t="s">
        <v>25</v>
      </c>
      <c r="F6220" s="1">
        <v>70.0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1">
        <v>58.4</v>
      </c>
      <c r="T6220" s="1">
        <v>4113.15</v>
      </c>
      <c r="U6220" s="1">
        <v>0.0</v>
      </c>
      <c r="V6220" s="1">
        <v>0.0</v>
      </c>
      <c r="W6220" s="1" t="s">
        <v>26</v>
      </c>
    </row>
    <row r="6221" ht="15.75" customHeight="1">
      <c r="A6221" s="1" t="s">
        <v>6258</v>
      </c>
      <c r="B6221" s="1" t="s">
        <v>24</v>
      </c>
      <c r="C6221" s="1">
        <v>1.0</v>
      </c>
      <c r="D6221" s="1" t="s">
        <v>26</v>
      </c>
      <c r="E6221" s="1" t="s">
        <v>26</v>
      </c>
      <c r="F6221" s="1">
        <v>1.0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1">
        <v>25.7</v>
      </c>
      <c r="T6221" s="1">
        <v>25.7</v>
      </c>
      <c r="U6221" s="1">
        <v>0.0</v>
      </c>
      <c r="V6221" s="1">
        <v>0.0</v>
      </c>
      <c r="W6221" s="1" t="s">
        <v>25</v>
      </c>
    </row>
    <row r="6222" ht="15.75" customHeight="1">
      <c r="A6222" s="1" t="s">
        <v>6259</v>
      </c>
      <c r="B6222" s="1" t="s">
        <v>32</v>
      </c>
      <c r="C6222" s="1">
        <v>0.0</v>
      </c>
      <c r="D6222" s="1" t="s">
        <v>25</v>
      </c>
      <c r="E6222" s="1" t="s">
        <v>25</v>
      </c>
      <c r="F6222" s="1">
        <v>10.0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1">
        <v>53.7</v>
      </c>
      <c r="T6222" s="1">
        <v>521.0</v>
      </c>
      <c r="U6222" s="1">
        <v>0.0</v>
      </c>
      <c r="V6222" s="1">
        <v>0.0</v>
      </c>
      <c r="W6222" s="1" t="s">
        <v>26</v>
      </c>
    </row>
    <row r="6223" ht="15.75" customHeight="1">
      <c r="A6223" s="1" t="s">
        <v>6260</v>
      </c>
      <c r="B6223" s="1" t="s">
        <v>32</v>
      </c>
      <c r="C6223" s="1">
        <v>0.0</v>
      </c>
      <c r="D6223" s="1" t="s">
        <v>26</v>
      </c>
      <c r="E6223" s="1" t="s">
        <v>26</v>
      </c>
      <c r="F6223" s="1">
        <v>26.0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1">
        <v>19.6</v>
      </c>
      <c r="T6223" s="1">
        <v>471.85</v>
      </c>
      <c r="U6223" s="1">
        <v>0.0</v>
      </c>
      <c r="V6223" s="1">
        <v>0.0</v>
      </c>
      <c r="W6223" s="1" t="s">
        <v>26</v>
      </c>
    </row>
    <row r="6224" ht="15.75" customHeight="1">
      <c r="A6224" s="1" t="s">
        <v>6261</v>
      </c>
      <c r="B6224" s="1" t="s">
        <v>32</v>
      </c>
      <c r="C6224" s="1">
        <v>0.0</v>
      </c>
      <c r="D6224" s="1" t="s">
        <v>26</v>
      </c>
      <c r="E6224" s="1" t="s">
        <v>26</v>
      </c>
      <c r="F6224" s="1">
        <v>66.0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1">
        <v>89.4</v>
      </c>
      <c r="T6224" s="1">
        <v>5976.9</v>
      </c>
      <c r="U6224" s="1">
        <v>0.0</v>
      </c>
      <c r="V6224" s="1">
        <v>0.0</v>
      </c>
      <c r="W6224" s="1" t="s">
        <v>26</v>
      </c>
    </row>
    <row r="6225" ht="15.75" customHeight="1">
      <c r="A6225" s="1" t="s">
        <v>6262</v>
      </c>
      <c r="B6225" s="1" t="s">
        <v>24</v>
      </c>
      <c r="C6225" s="1">
        <v>0.0</v>
      </c>
      <c r="D6225" s="1" t="s">
        <v>25</v>
      </c>
      <c r="E6225" s="1" t="s">
        <v>25</v>
      </c>
      <c r="F6225" s="1">
        <v>7.0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1">
        <v>69.0</v>
      </c>
      <c r="T6225" s="1">
        <v>506.9</v>
      </c>
      <c r="U6225" s="1">
        <v>0.0</v>
      </c>
      <c r="V6225" s="1">
        <v>0.0</v>
      </c>
      <c r="W6225" s="1" t="s">
        <v>25</v>
      </c>
    </row>
    <row r="6226" ht="15.75" customHeight="1">
      <c r="A6226" s="1" t="s">
        <v>6263</v>
      </c>
      <c r="B6226" s="1" t="s">
        <v>32</v>
      </c>
      <c r="C6226" s="1">
        <v>0.0</v>
      </c>
      <c r="D6226" s="1" t="s">
        <v>25</v>
      </c>
      <c r="E6226" s="1" t="s">
        <v>25</v>
      </c>
      <c r="F6226" s="1">
        <v>51.0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1">
        <v>84.2</v>
      </c>
      <c r="T6226" s="1">
        <v>4299.75</v>
      </c>
      <c r="U6226" s="1">
        <v>4.0</v>
      </c>
      <c r="V6226" s="1">
        <v>0.0</v>
      </c>
      <c r="W6226" s="1" t="s">
        <v>26</v>
      </c>
    </row>
    <row r="6227" ht="15.75" customHeight="1">
      <c r="A6227" s="1" t="s">
        <v>6264</v>
      </c>
      <c r="B6227" s="1" t="s">
        <v>32</v>
      </c>
      <c r="C6227" s="1">
        <v>0.0</v>
      </c>
      <c r="D6227" s="1" t="s">
        <v>25</v>
      </c>
      <c r="E6227" s="1" t="s">
        <v>25</v>
      </c>
      <c r="F6227" s="1">
        <v>72.0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1">
        <v>106.1</v>
      </c>
      <c r="T6227" s="1">
        <v>7548.6</v>
      </c>
      <c r="U6227" s="1">
        <v>0.0</v>
      </c>
      <c r="V6227" s="1">
        <v>0.0</v>
      </c>
      <c r="W6227" s="1" t="s">
        <v>26</v>
      </c>
    </row>
    <row r="6228" ht="15.75" customHeight="1">
      <c r="A6228" s="1" t="s">
        <v>6265</v>
      </c>
      <c r="B6228" s="1" t="s">
        <v>32</v>
      </c>
      <c r="C6228" s="1">
        <v>0.0</v>
      </c>
      <c r="D6228" s="1" t="s">
        <v>26</v>
      </c>
      <c r="E6228" s="1" t="s">
        <v>26</v>
      </c>
      <c r="F6228" s="1">
        <v>65.0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1">
        <v>25.75</v>
      </c>
      <c r="T6228" s="1">
        <v>1654.75</v>
      </c>
      <c r="U6228" s="1">
        <v>0.0</v>
      </c>
      <c r="V6228" s="1">
        <v>6.0</v>
      </c>
      <c r="W6228" s="1" t="s">
        <v>26</v>
      </c>
    </row>
    <row r="6229" ht="15.75" customHeight="1">
      <c r="A6229" s="1" t="s">
        <v>6266</v>
      </c>
      <c r="B6229" s="1" t="s">
        <v>32</v>
      </c>
      <c r="C6229" s="1">
        <v>0.0</v>
      </c>
      <c r="D6229" s="1" t="s">
        <v>26</v>
      </c>
      <c r="E6229" s="1" t="s">
        <v>26</v>
      </c>
      <c r="F6229" s="1">
        <v>2.0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1">
        <v>46.05</v>
      </c>
      <c r="T6229" s="1">
        <v>80.35</v>
      </c>
      <c r="U6229" s="1">
        <v>0.0</v>
      </c>
      <c r="V6229" s="1">
        <v>0.0</v>
      </c>
      <c r="W6229" s="1" t="s">
        <v>25</v>
      </c>
    </row>
    <row r="6230" ht="15.75" customHeight="1">
      <c r="A6230" s="1" t="s">
        <v>6267</v>
      </c>
      <c r="B6230" s="1" t="s">
        <v>32</v>
      </c>
      <c r="C6230" s="1">
        <v>0.0</v>
      </c>
      <c r="D6230" s="1" t="s">
        <v>26</v>
      </c>
      <c r="E6230" s="1" t="s">
        <v>25</v>
      </c>
      <c r="F6230" s="1">
        <v>70.0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1">
        <v>64.95</v>
      </c>
      <c r="T6230" s="1">
        <v>4551.5</v>
      </c>
      <c r="U6230" s="1">
        <v>0.0</v>
      </c>
      <c r="V6230" s="1">
        <v>0.0</v>
      </c>
      <c r="W6230" s="1" t="s">
        <v>26</v>
      </c>
    </row>
    <row r="6231" ht="15.75" customHeight="1">
      <c r="A6231" s="1" t="s">
        <v>6268</v>
      </c>
      <c r="B6231" s="1" t="s">
        <v>32</v>
      </c>
      <c r="C6231" s="1">
        <v>0.0</v>
      </c>
      <c r="D6231" s="1" t="s">
        <v>25</v>
      </c>
      <c r="E6231" s="1" t="s">
        <v>26</v>
      </c>
      <c r="F6231" s="1">
        <v>72.0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1">
        <v>85.45</v>
      </c>
      <c r="T6231" s="1">
        <v>6227.5</v>
      </c>
      <c r="U6231" s="1">
        <v>5.0</v>
      </c>
      <c r="V6231" s="1">
        <v>0.0</v>
      </c>
      <c r="W6231" s="1" t="s">
        <v>26</v>
      </c>
    </row>
    <row r="6232" ht="15.75" customHeight="1">
      <c r="A6232" s="1" t="s">
        <v>6269</v>
      </c>
      <c r="B6232" s="1" t="s">
        <v>24</v>
      </c>
      <c r="C6232" s="1">
        <v>0.0</v>
      </c>
      <c r="D6232" s="1" t="s">
        <v>25</v>
      </c>
      <c r="E6232" s="1" t="s">
        <v>25</v>
      </c>
      <c r="F6232" s="1">
        <v>1.0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1">
        <v>20.05</v>
      </c>
      <c r="T6232" s="1">
        <v>20.05</v>
      </c>
      <c r="U6232" s="1">
        <v>0.0</v>
      </c>
      <c r="V6232" s="1">
        <v>0.0</v>
      </c>
      <c r="W6232" s="1" t="s">
        <v>26</v>
      </c>
    </row>
    <row r="6233" ht="15.75" customHeight="1">
      <c r="A6233" s="1" t="s">
        <v>6270</v>
      </c>
      <c r="B6233" s="1" t="s">
        <v>24</v>
      </c>
      <c r="C6233" s="1">
        <v>1.0</v>
      </c>
      <c r="D6233" s="1" t="s">
        <v>25</v>
      </c>
      <c r="E6233" s="1" t="s">
        <v>26</v>
      </c>
      <c r="F6233" s="1">
        <v>1.0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1">
        <v>76.4</v>
      </c>
      <c r="T6233" s="1">
        <v>76.4</v>
      </c>
      <c r="U6233" s="1">
        <v>0.0</v>
      </c>
      <c r="V6233" s="1">
        <v>0.0</v>
      </c>
      <c r="W6233" s="1" t="s">
        <v>25</v>
      </c>
    </row>
    <row r="6234" ht="15.75" customHeight="1">
      <c r="A6234" s="1" t="s">
        <v>6271</v>
      </c>
      <c r="B6234" s="1" t="s">
        <v>24</v>
      </c>
      <c r="C6234" s="1">
        <v>0.0</v>
      </c>
      <c r="D6234" s="1" t="s">
        <v>26</v>
      </c>
      <c r="E6234" s="1" t="s">
        <v>26</v>
      </c>
      <c r="F6234" s="1">
        <v>5.0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1">
        <v>100.5</v>
      </c>
      <c r="T6234" s="1">
        <v>514.0</v>
      </c>
      <c r="U6234" s="1">
        <v>0.0</v>
      </c>
      <c r="V6234" s="1">
        <v>0.0</v>
      </c>
      <c r="W6234" s="1" t="s">
        <v>25</v>
      </c>
    </row>
    <row r="6235" ht="15.75" customHeight="1">
      <c r="A6235" s="1" t="s">
        <v>6272</v>
      </c>
      <c r="B6235" s="1" t="s">
        <v>32</v>
      </c>
      <c r="C6235" s="1">
        <v>0.0</v>
      </c>
      <c r="D6235" s="1" t="s">
        <v>26</v>
      </c>
      <c r="E6235" s="1" t="s">
        <v>26</v>
      </c>
      <c r="F6235" s="1">
        <v>3.0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1">
        <v>20.7</v>
      </c>
      <c r="T6235" s="1">
        <v>57.5</v>
      </c>
      <c r="U6235" s="1">
        <v>0.0</v>
      </c>
      <c r="V6235" s="1">
        <v>0.0</v>
      </c>
      <c r="W6235" s="1" t="s">
        <v>26</v>
      </c>
    </row>
    <row r="6236" ht="15.75" customHeight="1">
      <c r="A6236" s="1" t="s">
        <v>6273</v>
      </c>
      <c r="B6236" s="1" t="s">
        <v>32</v>
      </c>
      <c r="C6236" s="1">
        <v>0.0</v>
      </c>
      <c r="D6236" s="1" t="s">
        <v>26</v>
      </c>
      <c r="E6236" s="1" t="s">
        <v>26</v>
      </c>
      <c r="F6236" s="1">
        <v>58.0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1">
        <v>25.3</v>
      </c>
      <c r="T6236" s="1">
        <v>1474.35</v>
      </c>
      <c r="U6236" s="1">
        <v>0.0</v>
      </c>
      <c r="V6236" s="1">
        <v>0.0</v>
      </c>
      <c r="W6236" s="1" t="s">
        <v>26</v>
      </c>
    </row>
    <row r="6237" ht="15.75" customHeight="1">
      <c r="A6237" s="1" t="s">
        <v>6274</v>
      </c>
      <c r="B6237" s="1" t="s">
        <v>32</v>
      </c>
      <c r="C6237" s="1">
        <v>1.0</v>
      </c>
      <c r="D6237" s="1" t="s">
        <v>25</v>
      </c>
      <c r="E6237" s="1" t="s">
        <v>25</v>
      </c>
      <c r="F6237" s="1">
        <v>22.0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1">
        <v>40.05</v>
      </c>
      <c r="T6237" s="1">
        <v>880.2</v>
      </c>
      <c r="U6237" s="1">
        <v>0.0</v>
      </c>
      <c r="V6237" s="1">
        <v>1.0</v>
      </c>
      <c r="W6237" s="1" t="s">
        <v>25</v>
      </c>
    </row>
    <row r="6238" ht="15.75" customHeight="1">
      <c r="A6238" s="1" t="s">
        <v>6275</v>
      </c>
      <c r="B6238" s="1" t="s">
        <v>32</v>
      </c>
      <c r="C6238" s="1">
        <v>1.0</v>
      </c>
      <c r="D6238" s="1" t="s">
        <v>25</v>
      </c>
      <c r="E6238" s="1" t="s">
        <v>26</v>
      </c>
      <c r="F6238" s="1">
        <v>33.0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1">
        <v>100.6</v>
      </c>
      <c r="T6238" s="1">
        <v>3270.25</v>
      </c>
      <c r="U6238" s="1">
        <v>0.0</v>
      </c>
      <c r="V6238" s="1">
        <v>0.0</v>
      </c>
      <c r="W6238" s="1" t="s">
        <v>26</v>
      </c>
    </row>
    <row r="6239" ht="15.75" customHeight="1">
      <c r="A6239" s="1" t="s">
        <v>6276</v>
      </c>
      <c r="B6239" s="1" t="s">
        <v>32</v>
      </c>
      <c r="C6239" s="1">
        <v>0.0</v>
      </c>
      <c r="D6239" s="1" t="s">
        <v>26</v>
      </c>
      <c r="E6239" s="1" t="s">
        <v>26</v>
      </c>
      <c r="F6239" s="1">
        <v>1.0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1">
        <v>69.95</v>
      </c>
      <c r="T6239" s="1">
        <v>69.95</v>
      </c>
      <c r="U6239" s="1">
        <v>0.0</v>
      </c>
      <c r="V6239" s="1">
        <v>0.0</v>
      </c>
      <c r="W6239" s="1" t="s">
        <v>25</v>
      </c>
    </row>
    <row r="6240" ht="15.75" customHeight="1">
      <c r="A6240" s="1" t="s">
        <v>6277</v>
      </c>
      <c r="B6240" s="1" t="s">
        <v>32</v>
      </c>
      <c r="C6240" s="1">
        <v>1.0</v>
      </c>
      <c r="D6240" s="1" t="s">
        <v>25</v>
      </c>
      <c r="E6240" s="1" t="s">
        <v>26</v>
      </c>
      <c r="F6240" s="1">
        <v>54.0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1">
        <v>74.0</v>
      </c>
      <c r="T6240" s="1">
        <v>3919.15</v>
      </c>
      <c r="U6240" s="1">
        <v>0.0</v>
      </c>
      <c r="V6240" s="1">
        <v>0.0</v>
      </c>
      <c r="W6240" s="1" t="s">
        <v>26</v>
      </c>
    </row>
    <row r="6241" ht="15.75" customHeight="1">
      <c r="A6241" s="1" t="s">
        <v>6278</v>
      </c>
      <c r="B6241" s="1" t="s">
        <v>32</v>
      </c>
      <c r="C6241" s="1">
        <v>0.0</v>
      </c>
      <c r="D6241" s="1" t="s">
        <v>25</v>
      </c>
      <c r="E6241" s="1" t="s">
        <v>26</v>
      </c>
      <c r="F6241" s="1">
        <v>72.0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1">
        <v>99.4</v>
      </c>
      <c r="T6241" s="1">
        <v>7285.7</v>
      </c>
      <c r="U6241" s="1">
        <v>0.0</v>
      </c>
      <c r="V6241" s="1">
        <v>0.0</v>
      </c>
      <c r="W6241" s="1" t="s">
        <v>26</v>
      </c>
    </row>
    <row r="6242" ht="15.75" customHeight="1">
      <c r="A6242" s="1" t="s">
        <v>6279</v>
      </c>
      <c r="B6242" s="1" t="s">
        <v>32</v>
      </c>
      <c r="C6242" s="1">
        <v>0.0</v>
      </c>
      <c r="D6242" s="1" t="s">
        <v>26</v>
      </c>
      <c r="E6242" s="1" t="s">
        <v>25</v>
      </c>
      <c r="F6242" s="1">
        <v>1.0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1">
        <v>93.3</v>
      </c>
      <c r="T6242" s="1">
        <v>93.3</v>
      </c>
      <c r="U6242" s="1">
        <v>0.0</v>
      </c>
      <c r="V6242" s="1">
        <v>0.0</v>
      </c>
      <c r="W6242" s="1" t="s">
        <v>25</v>
      </c>
    </row>
    <row r="6243" ht="15.75" customHeight="1">
      <c r="A6243" s="1" t="s">
        <v>6280</v>
      </c>
      <c r="B6243" s="1" t="s">
        <v>32</v>
      </c>
      <c r="C6243" s="1">
        <v>0.0</v>
      </c>
      <c r="D6243" s="1" t="s">
        <v>26</v>
      </c>
      <c r="E6243" s="1" t="s">
        <v>26</v>
      </c>
      <c r="F6243" s="1">
        <v>3.0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1">
        <v>49.15</v>
      </c>
      <c r="T6243" s="1">
        <v>169.05</v>
      </c>
      <c r="U6243" s="1">
        <v>0.0</v>
      </c>
      <c r="V6243" s="1">
        <v>0.0</v>
      </c>
      <c r="W6243" s="1" t="s">
        <v>25</v>
      </c>
    </row>
    <row r="6244" ht="15.75" customHeight="1">
      <c r="A6244" s="1" t="s">
        <v>6281</v>
      </c>
      <c r="B6244" s="1" t="s">
        <v>24</v>
      </c>
      <c r="C6244" s="1">
        <v>0.0</v>
      </c>
      <c r="D6244" s="1" t="s">
        <v>25</v>
      </c>
      <c r="E6244" s="1" t="s">
        <v>25</v>
      </c>
      <c r="F6244" s="1">
        <v>72.0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1">
        <v>107.45</v>
      </c>
      <c r="T6244" s="1">
        <v>7658.3</v>
      </c>
      <c r="U6244" s="1">
        <v>0.0</v>
      </c>
      <c r="V6244" s="1">
        <v>0.0</v>
      </c>
      <c r="W6244" s="1" t="s">
        <v>26</v>
      </c>
    </row>
    <row r="6245" ht="15.75" customHeight="1">
      <c r="A6245" s="1" t="s">
        <v>6282</v>
      </c>
      <c r="B6245" s="1" t="s">
        <v>24</v>
      </c>
      <c r="C6245" s="1">
        <v>0.0</v>
      </c>
      <c r="D6245" s="1" t="s">
        <v>25</v>
      </c>
      <c r="E6245" s="1" t="s">
        <v>25</v>
      </c>
      <c r="F6245" s="1">
        <v>72.0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1">
        <v>83.6</v>
      </c>
      <c r="T6245" s="1">
        <v>5959.3</v>
      </c>
      <c r="U6245" s="1">
        <v>1.0</v>
      </c>
      <c r="V6245" s="1">
        <v>0.0</v>
      </c>
      <c r="W6245" s="1" t="s">
        <v>26</v>
      </c>
    </row>
    <row r="6246" ht="15.75" customHeight="1">
      <c r="A6246" s="1" t="s">
        <v>6283</v>
      </c>
      <c r="B6246" s="1" t="s">
        <v>32</v>
      </c>
      <c r="C6246" s="1">
        <v>1.0</v>
      </c>
      <c r="D6246" s="1" t="s">
        <v>25</v>
      </c>
      <c r="E6246" s="1" t="s">
        <v>26</v>
      </c>
      <c r="F6246" s="1">
        <v>54.0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1">
        <v>99.05</v>
      </c>
      <c r="T6246" s="1">
        <v>5295.7</v>
      </c>
      <c r="U6246" s="1">
        <v>0.0</v>
      </c>
      <c r="V6246" s="1">
        <v>0.0</v>
      </c>
      <c r="W6246" s="1" t="s">
        <v>26</v>
      </c>
    </row>
    <row r="6247" ht="15.75" customHeight="1">
      <c r="A6247" s="1" t="s">
        <v>6284</v>
      </c>
      <c r="B6247" s="1" t="s">
        <v>24</v>
      </c>
      <c r="C6247" s="1">
        <v>0.0</v>
      </c>
      <c r="D6247" s="1" t="s">
        <v>25</v>
      </c>
      <c r="E6247" s="1" t="s">
        <v>26</v>
      </c>
      <c r="F6247" s="1">
        <v>59.0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1">
        <v>80.1</v>
      </c>
      <c r="T6247" s="1">
        <v>4693.2</v>
      </c>
      <c r="U6247" s="1">
        <v>4.0</v>
      </c>
      <c r="V6247" s="1">
        <v>2.0</v>
      </c>
      <c r="W6247" s="1" t="s">
        <v>26</v>
      </c>
    </row>
    <row r="6248" ht="15.75" customHeight="1">
      <c r="A6248" s="1" t="s">
        <v>6285</v>
      </c>
      <c r="B6248" s="1" t="s">
        <v>32</v>
      </c>
      <c r="C6248" s="1">
        <v>0.0</v>
      </c>
      <c r="D6248" s="1" t="s">
        <v>26</v>
      </c>
      <c r="E6248" s="1" t="s">
        <v>26</v>
      </c>
      <c r="F6248" s="1">
        <v>54.0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1">
        <v>65.3</v>
      </c>
      <c r="T6248" s="1">
        <v>3512.9</v>
      </c>
      <c r="U6248" s="1">
        <v>0.0</v>
      </c>
      <c r="V6248" s="1">
        <v>0.0</v>
      </c>
      <c r="W6248" s="1" t="s">
        <v>26</v>
      </c>
    </row>
    <row r="6249" ht="15.75" customHeight="1">
      <c r="A6249" s="1" t="s">
        <v>6286</v>
      </c>
      <c r="B6249" s="1" t="s">
        <v>32</v>
      </c>
      <c r="C6249" s="1">
        <v>0.0</v>
      </c>
      <c r="D6249" s="1" t="s">
        <v>26</v>
      </c>
      <c r="E6249" s="1" t="s">
        <v>26</v>
      </c>
      <c r="F6249" s="1">
        <v>60.0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1">
        <v>89.55</v>
      </c>
      <c r="T6249" s="1">
        <v>5231.2</v>
      </c>
      <c r="U6249" s="1">
        <v>0.0</v>
      </c>
      <c r="V6249" s="1">
        <v>3.0</v>
      </c>
      <c r="W6249" s="1" t="s">
        <v>26</v>
      </c>
    </row>
    <row r="6250" ht="15.75" customHeight="1">
      <c r="A6250" s="1" t="s">
        <v>6287</v>
      </c>
      <c r="B6250" s="1" t="s">
        <v>24</v>
      </c>
      <c r="C6250" s="1">
        <v>0.0</v>
      </c>
      <c r="D6250" s="1" t="s">
        <v>25</v>
      </c>
      <c r="E6250" s="1" t="s">
        <v>26</v>
      </c>
      <c r="F6250" s="1">
        <v>60.0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1">
        <v>60.8</v>
      </c>
      <c r="T6250" s="1">
        <v>3603.45</v>
      </c>
      <c r="U6250" s="1">
        <v>4.0</v>
      </c>
      <c r="V6250" s="1">
        <v>0.0</v>
      </c>
      <c r="W6250" s="1" t="s">
        <v>26</v>
      </c>
    </row>
    <row r="6251" ht="15.75" customHeight="1">
      <c r="A6251" s="1" t="s">
        <v>6288</v>
      </c>
      <c r="B6251" s="1" t="s">
        <v>32</v>
      </c>
      <c r="C6251" s="1">
        <v>0.0</v>
      </c>
      <c r="D6251" s="1" t="s">
        <v>26</v>
      </c>
      <c r="E6251" s="1" t="s">
        <v>26</v>
      </c>
      <c r="F6251" s="1">
        <v>3.0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1">
        <v>74.5</v>
      </c>
      <c r="T6251" s="1">
        <v>217.45</v>
      </c>
      <c r="U6251" s="1">
        <v>0.0</v>
      </c>
      <c r="V6251" s="1">
        <v>0.0</v>
      </c>
      <c r="W6251" s="1" t="s">
        <v>26</v>
      </c>
    </row>
    <row r="6252" ht="15.75" customHeight="1">
      <c r="A6252" s="1" t="s">
        <v>6289</v>
      </c>
      <c r="B6252" s="1" t="s">
        <v>24</v>
      </c>
      <c r="C6252" s="1">
        <v>0.0</v>
      </c>
      <c r="D6252" s="1" t="s">
        <v>25</v>
      </c>
      <c r="E6252" s="1" t="s">
        <v>26</v>
      </c>
      <c r="F6252" s="1">
        <v>69.0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1">
        <v>99.15</v>
      </c>
      <c r="T6252" s="1">
        <v>6875.35</v>
      </c>
      <c r="U6252" s="1">
        <v>4.0</v>
      </c>
      <c r="V6252" s="1">
        <v>0.0</v>
      </c>
      <c r="W6252" s="1" t="s">
        <v>26</v>
      </c>
    </row>
    <row r="6253" ht="15.75" customHeight="1">
      <c r="A6253" s="1" t="s">
        <v>6290</v>
      </c>
      <c r="B6253" s="1" t="s">
        <v>24</v>
      </c>
      <c r="C6253" s="1">
        <v>0.0</v>
      </c>
      <c r="D6253" s="1" t="s">
        <v>25</v>
      </c>
      <c r="E6253" s="1" t="s">
        <v>25</v>
      </c>
      <c r="F6253" s="1">
        <v>1.0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1">
        <v>19.25</v>
      </c>
      <c r="T6253" s="1">
        <v>19.25</v>
      </c>
      <c r="U6253" s="1">
        <v>3.0</v>
      </c>
      <c r="V6253" s="1">
        <v>0.0</v>
      </c>
      <c r="W6253" s="1" t="s">
        <v>26</v>
      </c>
    </row>
    <row r="6254" ht="15.75" customHeight="1">
      <c r="A6254" s="1" t="s">
        <v>6291</v>
      </c>
      <c r="B6254" s="1" t="s">
        <v>32</v>
      </c>
      <c r="C6254" s="1">
        <v>0.0</v>
      </c>
      <c r="D6254" s="1" t="s">
        <v>25</v>
      </c>
      <c r="E6254" s="1" t="s">
        <v>25</v>
      </c>
      <c r="F6254" s="1">
        <v>50.0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1">
        <v>39.45</v>
      </c>
      <c r="T6254" s="1">
        <v>2021.35</v>
      </c>
      <c r="U6254" s="1">
        <v>0.0</v>
      </c>
      <c r="V6254" s="1">
        <v>0.0</v>
      </c>
      <c r="W6254" s="1" t="s">
        <v>26</v>
      </c>
    </row>
    <row r="6255" ht="15.75" customHeight="1">
      <c r="A6255" s="1" t="s">
        <v>6292</v>
      </c>
      <c r="B6255" s="1" t="s">
        <v>24</v>
      </c>
      <c r="C6255" s="1">
        <v>0.0</v>
      </c>
      <c r="D6255" s="1" t="s">
        <v>26</v>
      </c>
      <c r="E6255" s="1" t="s">
        <v>26</v>
      </c>
      <c r="F6255" s="1">
        <v>56.0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1">
        <v>44.85</v>
      </c>
      <c r="T6255" s="1">
        <v>2564.95</v>
      </c>
      <c r="U6255" s="1">
        <v>0.0</v>
      </c>
      <c r="V6255" s="1">
        <v>0.0</v>
      </c>
      <c r="W6255" s="1" t="s">
        <v>26</v>
      </c>
    </row>
    <row r="6256" ht="15.75" customHeight="1">
      <c r="A6256" s="1" t="s">
        <v>6293</v>
      </c>
      <c r="B6256" s="1" t="s">
        <v>24</v>
      </c>
      <c r="C6256" s="1">
        <v>0.0</v>
      </c>
      <c r="D6256" s="1" t="s">
        <v>25</v>
      </c>
      <c r="E6256" s="1" t="s">
        <v>26</v>
      </c>
      <c r="F6256" s="1">
        <v>60.0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1">
        <v>97.2</v>
      </c>
      <c r="T6256" s="1">
        <v>5611.75</v>
      </c>
      <c r="U6256" s="1">
        <v>0.0</v>
      </c>
      <c r="V6256" s="1">
        <v>0.0</v>
      </c>
      <c r="W6256" s="1" t="s">
        <v>26</v>
      </c>
    </row>
    <row r="6257" ht="15.75" customHeight="1">
      <c r="A6257" s="1" t="s">
        <v>6294</v>
      </c>
      <c r="B6257" s="1" t="s">
        <v>32</v>
      </c>
      <c r="C6257" s="1">
        <v>1.0</v>
      </c>
      <c r="D6257" s="1" t="s">
        <v>25</v>
      </c>
      <c r="E6257" s="1" t="s">
        <v>26</v>
      </c>
      <c r="F6257" s="1">
        <v>69.0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1">
        <v>110.55</v>
      </c>
      <c r="T6257" s="1">
        <v>7610.1</v>
      </c>
      <c r="U6257" s="1">
        <v>0.0</v>
      </c>
      <c r="V6257" s="1">
        <v>0.0</v>
      </c>
      <c r="W6257" s="1" t="s">
        <v>26</v>
      </c>
    </row>
    <row r="6258" ht="15.75" customHeight="1">
      <c r="A6258" s="1" t="s">
        <v>6295</v>
      </c>
      <c r="B6258" s="1" t="s">
        <v>24</v>
      </c>
      <c r="C6258" s="1">
        <v>0.0</v>
      </c>
      <c r="D6258" s="1" t="s">
        <v>26</v>
      </c>
      <c r="E6258" s="1" t="s">
        <v>26</v>
      </c>
      <c r="F6258" s="1">
        <v>1.0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1">
        <v>35.05</v>
      </c>
      <c r="T6258" s="1">
        <v>35.05</v>
      </c>
      <c r="U6258" s="1">
        <v>0.0</v>
      </c>
      <c r="V6258" s="1">
        <v>0.0</v>
      </c>
      <c r="W6258" s="1" t="s">
        <v>25</v>
      </c>
    </row>
    <row r="6259" ht="15.75" customHeight="1">
      <c r="A6259" s="1" t="s">
        <v>6296</v>
      </c>
      <c r="B6259" s="1" t="s">
        <v>24</v>
      </c>
      <c r="C6259" s="1">
        <v>1.0</v>
      </c>
      <c r="D6259" s="1" t="s">
        <v>26</v>
      </c>
      <c r="E6259" s="1" t="s">
        <v>26</v>
      </c>
      <c r="F6259" s="1">
        <v>1.0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1">
        <v>73.0</v>
      </c>
      <c r="T6259" s="1">
        <v>73.0</v>
      </c>
      <c r="U6259" s="1">
        <v>0.0</v>
      </c>
      <c r="V6259" s="1">
        <v>0.0</v>
      </c>
      <c r="W6259" s="1" t="s">
        <v>25</v>
      </c>
    </row>
    <row r="6260" ht="15.75" customHeight="1">
      <c r="A6260" s="1" t="s">
        <v>6297</v>
      </c>
      <c r="B6260" s="1" t="s">
        <v>24</v>
      </c>
      <c r="C6260" s="1">
        <v>0.0</v>
      </c>
      <c r="D6260" s="1" t="s">
        <v>25</v>
      </c>
      <c r="E6260" s="1" t="s">
        <v>26</v>
      </c>
      <c r="F6260" s="1">
        <v>3.0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1">
        <v>19.9</v>
      </c>
      <c r="T6260" s="1">
        <v>45.75</v>
      </c>
      <c r="U6260" s="1">
        <v>0.0</v>
      </c>
      <c r="V6260" s="1">
        <v>0.0</v>
      </c>
      <c r="W6260" s="1" t="s">
        <v>26</v>
      </c>
    </row>
    <row r="6261" ht="15.75" customHeight="1">
      <c r="A6261" s="1" t="s">
        <v>6298</v>
      </c>
      <c r="B6261" s="1" t="s">
        <v>32</v>
      </c>
      <c r="C6261" s="1">
        <v>0.0</v>
      </c>
      <c r="D6261" s="1" t="s">
        <v>25</v>
      </c>
      <c r="E6261" s="1" t="s">
        <v>25</v>
      </c>
      <c r="F6261" s="1">
        <v>60.0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1">
        <v>76.95</v>
      </c>
      <c r="T6261" s="1">
        <v>4543.95</v>
      </c>
      <c r="U6261" s="1">
        <v>0.0</v>
      </c>
      <c r="V6261" s="1">
        <v>0.0</v>
      </c>
      <c r="W6261" s="1" t="s">
        <v>26</v>
      </c>
    </row>
    <row r="6262" ht="15.75" customHeight="1">
      <c r="A6262" s="1" t="s">
        <v>6299</v>
      </c>
      <c r="B6262" s="1" t="s">
        <v>24</v>
      </c>
      <c r="C6262" s="1">
        <v>0.0</v>
      </c>
      <c r="D6262" s="1" t="s">
        <v>26</v>
      </c>
      <c r="E6262" s="1" t="s">
        <v>26</v>
      </c>
      <c r="F6262" s="1">
        <v>13.0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1">
        <v>35.4</v>
      </c>
      <c r="T6262" s="1">
        <v>450.4</v>
      </c>
      <c r="U6262" s="1">
        <v>0.0</v>
      </c>
      <c r="V6262" s="1">
        <v>0.0</v>
      </c>
      <c r="W6262" s="1" t="s">
        <v>26</v>
      </c>
    </row>
    <row r="6263" ht="15.75" customHeight="1">
      <c r="A6263" s="1" t="s">
        <v>6300</v>
      </c>
      <c r="B6263" s="1" t="s">
        <v>32</v>
      </c>
      <c r="C6263" s="1">
        <v>0.0</v>
      </c>
      <c r="D6263" s="1" t="s">
        <v>25</v>
      </c>
      <c r="E6263" s="1" t="s">
        <v>25</v>
      </c>
      <c r="F6263" s="1">
        <v>62.0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1">
        <v>20.45</v>
      </c>
      <c r="T6263" s="1">
        <v>1297.35</v>
      </c>
      <c r="U6263" s="1">
        <v>0.0</v>
      </c>
      <c r="V6263" s="1">
        <v>0.0</v>
      </c>
      <c r="W6263" s="1" t="s">
        <v>26</v>
      </c>
    </row>
    <row r="6264" ht="15.75" customHeight="1">
      <c r="A6264" s="1" t="s">
        <v>6301</v>
      </c>
      <c r="B6264" s="1" t="s">
        <v>24</v>
      </c>
      <c r="C6264" s="1">
        <v>0.0</v>
      </c>
      <c r="D6264" s="1" t="s">
        <v>26</v>
      </c>
      <c r="E6264" s="1" t="s">
        <v>26</v>
      </c>
      <c r="F6264" s="1">
        <v>45.0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1">
        <v>96.75</v>
      </c>
      <c r="T6264" s="1">
        <v>4442.75</v>
      </c>
      <c r="U6264" s="1">
        <v>0.0</v>
      </c>
      <c r="V6264" s="1">
        <v>0.0</v>
      </c>
      <c r="W6264" s="1" t="s">
        <v>26</v>
      </c>
    </row>
    <row r="6265" ht="15.75" customHeight="1">
      <c r="A6265" s="1" t="s">
        <v>6302</v>
      </c>
      <c r="B6265" s="1" t="s">
        <v>24</v>
      </c>
      <c r="C6265" s="1">
        <v>0.0</v>
      </c>
      <c r="D6265" s="1" t="s">
        <v>26</v>
      </c>
      <c r="E6265" s="1" t="s">
        <v>26</v>
      </c>
      <c r="F6265" s="1">
        <v>25.0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1">
        <v>54.2</v>
      </c>
      <c r="T6265" s="1">
        <v>1423.15</v>
      </c>
      <c r="U6265" s="1">
        <v>0.0</v>
      </c>
      <c r="V6265" s="1">
        <v>0.0</v>
      </c>
      <c r="W6265" s="1" t="s">
        <v>26</v>
      </c>
    </row>
    <row r="6266" ht="15.75" customHeight="1">
      <c r="A6266" s="1" t="s">
        <v>6303</v>
      </c>
      <c r="B6266" s="1" t="s">
        <v>32</v>
      </c>
      <c r="C6266" s="1">
        <v>0.0</v>
      </c>
      <c r="D6266" s="1" t="s">
        <v>26</v>
      </c>
      <c r="E6266" s="1" t="s">
        <v>26</v>
      </c>
      <c r="F6266" s="1">
        <v>44.0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1">
        <v>100.1</v>
      </c>
      <c r="T6266" s="1">
        <v>4378.35</v>
      </c>
      <c r="U6266" s="1">
        <v>0.0</v>
      </c>
      <c r="V6266" s="1">
        <v>0.0</v>
      </c>
      <c r="W6266" s="1" t="s">
        <v>26</v>
      </c>
    </row>
    <row r="6267" ht="15.75" customHeight="1">
      <c r="A6267" s="1" t="s">
        <v>6304</v>
      </c>
      <c r="B6267" s="1" t="s">
        <v>24</v>
      </c>
      <c r="C6267" s="1">
        <v>0.0</v>
      </c>
      <c r="D6267" s="1" t="s">
        <v>26</v>
      </c>
      <c r="E6267" s="1" t="s">
        <v>26</v>
      </c>
      <c r="F6267" s="1">
        <v>2.0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1">
        <v>45.25</v>
      </c>
      <c r="T6267" s="1">
        <v>74.2</v>
      </c>
      <c r="U6267" s="1">
        <v>2.0</v>
      </c>
      <c r="V6267" s="1">
        <v>0.0</v>
      </c>
      <c r="W6267" s="1" t="s">
        <v>26</v>
      </c>
    </row>
    <row r="6268" ht="15.75" customHeight="1">
      <c r="A6268" s="1" t="s">
        <v>6305</v>
      </c>
      <c r="B6268" s="1" t="s">
        <v>32</v>
      </c>
      <c r="C6268" s="1">
        <v>1.0</v>
      </c>
      <c r="D6268" s="1" t="s">
        <v>26</v>
      </c>
      <c r="E6268" s="1" t="s">
        <v>26</v>
      </c>
      <c r="F6268" s="1">
        <v>33.0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1">
        <v>83.85</v>
      </c>
      <c r="T6268" s="1">
        <v>2716.3</v>
      </c>
      <c r="U6268" s="1">
        <v>0.0</v>
      </c>
      <c r="V6268" s="1">
        <v>2.0</v>
      </c>
      <c r="W6268" s="1" t="s">
        <v>25</v>
      </c>
    </row>
    <row r="6269" ht="15.75" customHeight="1">
      <c r="A6269" s="1" t="s">
        <v>6306</v>
      </c>
      <c r="B6269" s="1" t="s">
        <v>24</v>
      </c>
      <c r="C6269" s="1">
        <v>0.0</v>
      </c>
      <c r="D6269" s="1" t="s">
        <v>26</v>
      </c>
      <c r="E6269" s="1" t="s">
        <v>26</v>
      </c>
      <c r="F6269" s="1">
        <v>1.0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1">
        <v>70.1</v>
      </c>
      <c r="T6269" s="1">
        <v>70.1</v>
      </c>
      <c r="U6269" s="1">
        <v>0.0</v>
      </c>
      <c r="V6269" s="1">
        <v>0.0</v>
      </c>
      <c r="W6269" s="1" t="s">
        <v>25</v>
      </c>
    </row>
    <row r="6270" ht="15.75" customHeight="1">
      <c r="A6270" s="1" t="s">
        <v>6307</v>
      </c>
      <c r="B6270" s="1" t="s">
        <v>24</v>
      </c>
      <c r="C6270" s="1">
        <v>0.0</v>
      </c>
      <c r="D6270" s="1" t="s">
        <v>26</v>
      </c>
      <c r="E6270" s="1" t="s">
        <v>26</v>
      </c>
      <c r="F6270" s="1">
        <v>22.0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1">
        <v>20.85</v>
      </c>
      <c r="T6270" s="1">
        <v>450.65</v>
      </c>
      <c r="U6270" s="1">
        <v>0.0</v>
      </c>
      <c r="V6270" s="1">
        <v>0.0</v>
      </c>
      <c r="W6270" s="1" t="s">
        <v>26</v>
      </c>
    </row>
    <row r="6271" ht="15.75" customHeight="1">
      <c r="A6271" s="1" t="s">
        <v>6308</v>
      </c>
      <c r="B6271" s="1" t="s">
        <v>24</v>
      </c>
      <c r="C6271" s="1">
        <v>0.0</v>
      </c>
      <c r="D6271" s="1" t="s">
        <v>26</v>
      </c>
      <c r="E6271" s="1" t="s">
        <v>26</v>
      </c>
      <c r="F6271" s="1">
        <v>35.0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1">
        <v>33.45</v>
      </c>
      <c r="T6271" s="1">
        <v>1175.85</v>
      </c>
      <c r="U6271" s="1">
        <v>0.0</v>
      </c>
      <c r="V6271" s="1">
        <v>0.0</v>
      </c>
      <c r="W6271" s="1" t="s">
        <v>26</v>
      </c>
    </row>
    <row r="6272" ht="15.75" customHeight="1">
      <c r="A6272" s="1" t="s">
        <v>6309</v>
      </c>
      <c r="B6272" s="1" t="s">
        <v>24</v>
      </c>
      <c r="C6272" s="1">
        <v>0.0</v>
      </c>
      <c r="D6272" s="1" t="s">
        <v>25</v>
      </c>
      <c r="E6272" s="1" t="s">
        <v>25</v>
      </c>
      <c r="F6272" s="1">
        <v>29.0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1">
        <v>20.2</v>
      </c>
      <c r="T6272" s="1">
        <v>558.8</v>
      </c>
      <c r="U6272" s="1">
        <v>0.0</v>
      </c>
      <c r="V6272" s="1">
        <v>0.0</v>
      </c>
      <c r="W6272" s="1" t="s">
        <v>26</v>
      </c>
    </row>
    <row r="6273" ht="15.75" customHeight="1">
      <c r="A6273" s="1" t="s">
        <v>6310</v>
      </c>
      <c r="B6273" s="1" t="s">
        <v>32</v>
      </c>
      <c r="C6273" s="1">
        <v>1.0</v>
      </c>
      <c r="D6273" s="1" t="s">
        <v>25</v>
      </c>
      <c r="E6273" s="1" t="s">
        <v>26</v>
      </c>
      <c r="F6273" s="1">
        <v>27.0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1">
        <v>85.9</v>
      </c>
      <c r="T6273" s="1">
        <v>2220.1</v>
      </c>
      <c r="U6273" s="1">
        <v>0.0</v>
      </c>
      <c r="V6273" s="1">
        <v>0.0</v>
      </c>
      <c r="W6273" s="1" t="s">
        <v>26</v>
      </c>
    </row>
    <row r="6274" ht="15.75" customHeight="1">
      <c r="A6274" s="1" t="s">
        <v>6311</v>
      </c>
      <c r="B6274" s="1" t="s">
        <v>32</v>
      </c>
      <c r="C6274" s="1">
        <v>0.0</v>
      </c>
      <c r="D6274" s="1" t="s">
        <v>26</v>
      </c>
      <c r="E6274" s="1" t="s">
        <v>25</v>
      </c>
      <c r="F6274" s="1">
        <v>54.0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1">
        <v>61.0</v>
      </c>
      <c r="T6274" s="1">
        <v>3283.05</v>
      </c>
      <c r="U6274" s="1">
        <v>0.0</v>
      </c>
      <c r="V6274" s="1">
        <v>0.0</v>
      </c>
      <c r="W6274" s="1" t="s">
        <v>26</v>
      </c>
    </row>
    <row r="6275" ht="15.75" customHeight="1">
      <c r="A6275" s="1" t="s">
        <v>6312</v>
      </c>
      <c r="B6275" s="1" t="s">
        <v>24</v>
      </c>
      <c r="C6275" s="1">
        <v>1.0</v>
      </c>
      <c r="D6275" s="1" t="s">
        <v>26</v>
      </c>
      <c r="E6275" s="1" t="s">
        <v>26</v>
      </c>
      <c r="F6275" s="1">
        <v>2.0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1">
        <v>70.65</v>
      </c>
      <c r="T6275" s="1">
        <v>142.35</v>
      </c>
      <c r="U6275" s="1">
        <v>4.0</v>
      </c>
      <c r="V6275" s="1">
        <v>0.0</v>
      </c>
      <c r="W6275" s="1" t="s">
        <v>25</v>
      </c>
    </row>
    <row r="6276" ht="15.75" customHeight="1">
      <c r="A6276" s="1" t="s">
        <v>6313</v>
      </c>
      <c r="B6276" s="1" t="s">
        <v>32</v>
      </c>
      <c r="C6276" s="1">
        <v>0.0</v>
      </c>
      <c r="D6276" s="1" t="s">
        <v>26</v>
      </c>
      <c r="E6276" s="1" t="s">
        <v>26</v>
      </c>
      <c r="F6276" s="1">
        <v>57.0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1">
        <v>86.9</v>
      </c>
      <c r="T6276" s="1">
        <v>4939.25</v>
      </c>
      <c r="U6276" s="1">
        <v>0.0</v>
      </c>
      <c r="V6276" s="1">
        <v>0.0</v>
      </c>
      <c r="W6276" s="1" t="s">
        <v>26</v>
      </c>
    </row>
    <row r="6277" ht="15.75" customHeight="1">
      <c r="A6277" s="1" t="s">
        <v>6314</v>
      </c>
      <c r="B6277" s="1" t="s">
        <v>32</v>
      </c>
      <c r="C6277" s="1">
        <v>0.0</v>
      </c>
      <c r="D6277" s="1" t="s">
        <v>26</v>
      </c>
      <c r="E6277" s="1" t="s">
        <v>26</v>
      </c>
      <c r="F6277" s="1">
        <v>62.0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1">
        <v>69.4</v>
      </c>
      <c r="T6277" s="1">
        <v>4237.5</v>
      </c>
      <c r="U6277" s="1">
        <v>0.0</v>
      </c>
      <c r="V6277" s="1">
        <v>0.0</v>
      </c>
      <c r="W6277" s="1" t="s">
        <v>26</v>
      </c>
    </row>
    <row r="6278" ht="15.75" customHeight="1">
      <c r="A6278" s="1" t="s">
        <v>6315</v>
      </c>
      <c r="B6278" s="1" t="s">
        <v>24</v>
      </c>
      <c r="C6278" s="1">
        <v>0.0</v>
      </c>
      <c r="D6278" s="1" t="s">
        <v>25</v>
      </c>
      <c r="E6278" s="1" t="s">
        <v>25</v>
      </c>
      <c r="F6278" s="1">
        <v>15.0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1">
        <v>20.35</v>
      </c>
      <c r="T6278" s="1">
        <v>335.95</v>
      </c>
      <c r="U6278" s="1">
        <v>0.0</v>
      </c>
      <c r="V6278" s="1">
        <v>0.0</v>
      </c>
      <c r="W6278" s="1" t="s">
        <v>26</v>
      </c>
    </row>
    <row r="6279" ht="15.75" customHeight="1">
      <c r="A6279" s="1" t="s">
        <v>6316</v>
      </c>
      <c r="B6279" s="1" t="s">
        <v>32</v>
      </c>
      <c r="C6279" s="1">
        <v>0.0</v>
      </c>
      <c r="D6279" s="1" t="s">
        <v>26</v>
      </c>
      <c r="E6279" s="1" t="s">
        <v>26</v>
      </c>
      <c r="F6279" s="1">
        <v>2.0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1">
        <v>20.35</v>
      </c>
      <c r="T6279" s="1">
        <v>33.2</v>
      </c>
      <c r="U6279" s="1">
        <v>0.0</v>
      </c>
      <c r="V6279" s="1">
        <v>0.0</v>
      </c>
      <c r="W6279" s="1" t="s">
        <v>25</v>
      </c>
    </row>
    <row r="6280" ht="15.75" customHeight="1">
      <c r="A6280" s="1" t="s">
        <v>6317</v>
      </c>
      <c r="B6280" s="1" t="s">
        <v>24</v>
      </c>
      <c r="C6280" s="1">
        <v>0.0</v>
      </c>
      <c r="D6280" s="1" t="s">
        <v>25</v>
      </c>
      <c r="E6280" s="1" t="s">
        <v>26</v>
      </c>
      <c r="F6280" s="1">
        <v>70.0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1">
        <v>104.3</v>
      </c>
      <c r="T6280" s="1">
        <v>7188.5</v>
      </c>
      <c r="U6280" s="1">
        <v>0.0</v>
      </c>
      <c r="V6280" s="1">
        <v>0.0</v>
      </c>
      <c r="W6280" s="1" t="s">
        <v>26</v>
      </c>
    </row>
    <row r="6281" ht="15.75" customHeight="1">
      <c r="A6281" s="1" t="s">
        <v>6318</v>
      </c>
      <c r="B6281" s="1" t="s">
        <v>24</v>
      </c>
      <c r="C6281" s="1">
        <v>0.0</v>
      </c>
      <c r="D6281" s="1" t="s">
        <v>25</v>
      </c>
      <c r="E6281" s="1" t="s">
        <v>25</v>
      </c>
      <c r="F6281" s="1">
        <v>21.0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1">
        <v>44.95</v>
      </c>
      <c r="T6281" s="1">
        <v>926.25</v>
      </c>
      <c r="U6281" s="1">
        <v>0.0</v>
      </c>
      <c r="V6281" s="1">
        <v>0.0</v>
      </c>
      <c r="W6281" s="1" t="s">
        <v>26</v>
      </c>
    </row>
    <row r="6282" ht="15.75" customHeight="1">
      <c r="A6282" s="1" t="s">
        <v>6319</v>
      </c>
      <c r="B6282" s="1" t="s">
        <v>24</v>
      </c>
      <c r="C6282" s="1">
        <v>0.0</v>
      </c>
      <c r="D6282" s="1" t="s">
        <v>26</v>
      </c>
      <c r="E6282" s="1" t="s">
        <v>25</v>
      </c>
      <c r="F6282" s="1">
        <v>23.0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1">
        <v>49.45</v>
      </c>
      <c r="T6282" s="1">
        <v>1119.35</v>
      </c>
      <c r="U6282" s="1">
        <v>1.0</v>
      </c>
      <c r="V6282" s="1">
        <v>0.0</v>
      </c>
      <c r="W6282" s="1" t="s">
        <v>26</v>
      </c>
    </row>
    <row r="6283" ht="15.75" customHeight="1">
      <c r="A6283" s="1" t="s">
        <v>6320</v>
      </c>
      <c r="B6283" s="1" t="s">
        <v>32</v>
      </c>
      <c r="C6283" s="1">
        <v>0.0</v>
      </c>
      <c r="D6283" s="1" t="s">
        <v>26</v>
      </c>
      <c r="E6283" s="1" t="s">
        <v>26</v>
      </c>
      <c r="F6283" s="1">
        <v>6.0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1">
        <v>20.6</v>
      </c>
      <c r="T6283" s="1">
        <v>116.6</v>
      </c>
      <c r="U6283" s="1">
        <v>0.0</v>
      </c>
      <c r="V6283" s="1">
        <v>0.0</v>
      </c>
      <c r="W6283" s="1" t="s">
        <v>26</v>
      </c>
    </row>
    <row r="6284" ht="15.75" customHeight="1">
      <c r="A6284" s="1" t="s">
        <v>6321</v>
      </c>
      <c r="B6284" s="1" t="s">
        <v>32</v>
      </c>
      <c r="C6284" s="1">
        <v>0.0</v>
      </c>
      <c r="D6284" s="1" t="s">
        <v>25</v>
      </c>
      <c r="E6284" s="1" t="s">
        <v>25</v>
      </c>
      <c r="F6284" s="1">
        <v>4.0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1">
        <v>19.55</v>
      </c>
      <c r="T6284" s="1">
        <v>68.8</v>
      </c>
      <c r="U6284" s="1">
        <v>3.0</v>
      </c>
      <c r="V6284" s="1">
        <v>0.0</v>
      </c>
      <c r="W6284" s="1" t="s">
        <v>26</v>
      </c>
    </row>
    <row r="6285" ht="15.75" customHeight="1">
      <c r="A6285" s="1" t="s">
        <v>6322</v>
      </c>
      <c r="B6285" s="1" t="s">
        <v>24</v>
      </c>
      <c r="C6285" s="1">
        <v>0.0</v>
      </c>
      <c r="D6285" s="1" t="s">
        <v>26</v>
      </c>
      <c r="E6285" s="1" t="s">
        <v>26</v>
      </c>
      <c r="F6285" s="1">
        <v>3.0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1">
        <v>99.0</v>
      </c>
      <c r="T6285" s="1">
        <v>287.4</v>
      </c>
      <c r="U6285" s="1">
        <v>0.0</v>
      </c>
      <c r="V6285" s="1">
        <v>0.0</v>
      </c>
      <c r="W6285" s="1" t="s">
        <v>25</v>
      </c>
    </row>
    <row r="6286" ht="15.75" customHeight="1">
      <c r="A6286" s="1" t="s">
        <v>6323</v>
      </c>
      <c r="B6286" s="1" t="s">
        <v>24</v>
      </c>
      <c r="C6286" s="1">
        <v>0.0</v>
      </c>
      <c r="D6286" s="1" t="s">
        <v>26</v>
      </c>
      <c r="E6286" s="1" t="s">
        <v>26</v>
      </c>
      <c r="F6286" s="1">
        <v>23.0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1">
        <v>93.5</v>
      </c>
      <c r="T6286" s="1">
        <v>2341.55</v>
      </c>
      <c r="U6286" s="1">
        <v>0.0</v>
      </c>
      <c r="V6286" s="1">
        <v>0.0</v>
      </c>
      <c r="W6286" s="1" t="s">
        <v>26</v>
      </c>
    </row>
    <row r="6287" ht="15.75" customHeight="1">
      <c r="A6287" s="1" t="s">
        <v>6324</v>
      </c>
      <c r="B6287" s="1" t="s">
        <v>32</v>
      </c>
      <c r="C6287" s="1">
        <v>0.0</v>
      </c>
      <c r="D6287" s="1" t="s">
        <v>26</v>
      </c>
      <c r="E6287" s="1" t="s">
        <v>26</v>
      </c>
      <c r="F6287" s="1">
        <v>26.0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1">
        <v>54.55</v>
      </c>
      <c r="T6287" s="1">
        <v>1362.85</v>
      </c>
      <c r="U6287" s="1">
        <v>4.0</v>
      </c>
      <c r="V6287" s="1">
        <v>0.0</v>
      </c>
      <c r="W6287" s="1" t="s">
        <v>26</v>
      </c>
    </row>
    <row r="6288" ht="15.75" customHeight="1">
      <c r="A6288" s="1" t="s">
        <v>6325</v>
      </c>
      <c r="B6288" s="1" t="s">
        <v>24</v>
      </c>
      <c r="C6288" s="1">
        <v>0.0</v>
      </c>
      <c r="D6288" s="1" t="s">
        <v>26</v>
      </c>
      <c r="E6288" s="1" t="s">
        <v>25</v>
      </c>
      <c r="F6288" s="1">
        <v>8.0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1">
        <v>20.05</v>
      </c>
      <c r="T6288" s="1">
        <v>163.6</v>
      </c>
      <c r="U6288" s="1">
        <v>0.0</v>
      </c>
      <c r="V6288" s="1">
        <v>0.0</v>
      </c>
      <c r="W6288" s="1" t="s">
        <v>26</v>
      </c>
    </row>
    <row r="6289" ht="15.75" customHeight="1">
      <c r="A6289" s="1" t="s">
        <v>6326</v>
      </c>
      <c r="B6289" s="1" t="s">
        <v>32</v>
      </c>
      <c r="C6289" s="1">
        <v>0.0</v>
      </c>
      <c r="D6289" s="1" t="s">
        <v>26</v>
      </c>
      <c r="E6289" s="1" t="s">
        <v>26</v>
      </c>
      <c r="F6289" s="1">
        <v>26.0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1">
        <v>83.95</v>
      </c>
      <c r="T6289" s="1">
        <v>2254.2</v>
      </c>
      <c r="U6289" s="1">
        <v>1.0</v>
      </c>
      <c r="V6289" s="1">
        <v>0.0</v>
      </c>
      <c r="W6289" s="1" t="s">
        <v>25</v>
      </c>
    </row>
    <row r="6290" ht="15.75" customHeight="1">
      <c r="A6290" s="1" t="s">
        <v>6327</v>
      </c>
      <c r="B6290" s="1" t="s">
        <v>32</v>
      </c>
      <c r="C6290" s="1">
        <v>0.0</v>
      </c>
      <c r="D6290" s="1" t="s">
        <v>26</v>
      </c>
      <c r="E6290" s="1" t="s">
        <v>26</v>
      </c>
      <c r="F6290" s="1">
        <v>2.0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1">
        <v>79.45</v>
      </c>
      <c r="T6290" s="1">
        <v>145.15</v>
      </c>
      <c r="U6290" s="1">
        <v>0.0</v>
      </c>
      <c r="V6290" s="1">
        <v>0.0</v>
      </c>
      <c r="W6290" s="1" t="s">
        <v>26</v>
      </c>
    </row>
    <row r="6291" ht="15.75" customHeight="1">
      <c r="A6291" s="1" t="s">
        <v>6328</v>
      </c>
      <c r="B6291" s="1" t="s">
        <v>32</v>
      </c>
      <c r="C6291" s="1">
        <v>0.0</v>
      </c>
      <c r="D6291" s="1" t="s">
        <v>26</v>
      </c>
      <c r="E6291" s="1" t="s">
        <v>26</v>
      </c>
      <c r="F6291" s="1">
        <v>67.0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1">
        <v>116.2</v>
      </c>
      <c r="T6291" s="1">
        <v>7752.3</v>
      </c>
      <c r="U6291" s="1">
        <v>0.0</v>
      </c>
      <c r="V6291" s="1">
        <v>6.0</v>
      </c>
      <c r="W6291" s="1" t="s">
        <v>25</v>
      </c>
    </row>
    <row r="6292" ht="15.75" customHeight="1">
      <c r="A6292" s="1" t="s">
        <v>6329</v>
      </c>
      <c r="B6292" s="1" t="s">
        <v>24</v>
      </c>
      <c r="C6292" s="1">
        <v>0.0</v>
      </c>
      <c r="D6292" s="1" t="s">
        <v>25</v>
      </c>
      <c r="E6292" s="1" t="s">
        <v>26</v>
      </c>
      <c r="F6292" s="1">
        <v>71.0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1">
        <v>93.7</v>
      </c>
      <c r="T6292" s="1">
        <v>6585.35</v>
      </c>
      <c r="U6292" s="1">
        <v>0.0</v>
      </c>
      <c r="V6292" s="1">
        <v>7.0</v>
      </c>
      <c r="W6292" s="1" t="s">
        <v>25</v>
      </c>
    </row>
    <row r="6293" ht="15.75" customHeight="1">
      <c r="A6293" s="1" t="s">
        <v>6330</v>
      </c>
      <c r="B6293" s="1" t="s">
        <v>24</v>
      </c>
      <c r="C6293" s="1">
        <v>0.0</v>
      </c>
      <c r="D6293" s="1" t="s">
        <v>26</v>
      </c>
      <c r="E6293" s="1" t="s">
        <v>26</v>
      </c>
      <c r="F6293" s="1">
        <v>59.0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1">
        <v>79.85</v>
      </c>
      <c r="T6293" s="1">
        <v>4786.1</v>
      </c>
      <c r="U6293" s="1">
        <v>4.0</v>
      </c>
      <c r="V6293" s="1">
        <v>0.0</v>
      </c>
      <c r="W6293" s="1" t="s">
        <v>26</v>
      </c>
    </row>
    <row r="6294" ht="15.75" customHeight="1">
      <c r="A6294" s="1" t="s">
        <v>6331</v>
      </c>
      <c r="B6294" s="1" t="s">
        <v>32</v>
      </c>
      <c r="C6294" s="1">
        <v>0.0</v>
      </c>
      <c r="D6294" s="1" t="s">
        <v>25</v>
      </c>
      <c r="E6294" s="1" t="s">
        <v>25</v>
      </c>
      <c r="F6294" s="1">
        <v>39.0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1">
        <v>100.0</v>
      </c>
      <c r="T6294" s="1">
        <v>3835.55</v>
      </c>
      <c r="U6294" s="1">
        <v>4.0</v>
      </c>
      <c r="V6294" s="1">
        <v>0.0</v>
      </c>
      <c r="W6294" s="1" t="s">
        <v>26</v>
      </c>
    </row>
    <row r="6295" ht="15.75" customHeight="1">
      <c r="A6295" s="1" t="s">
        <v>6332</v>
      </c>
      <c r="B6295" s="1" t="s">
        <v>32</v>
      </c>
      <c r="C6295" s="1">
        <v>0.0</v>
      </c>
      <c r="D6295" s="1" t="s">
        <v>26</v>
      </c>
      <c r="E6295" s="1" t="s">
        <v>25</v>
      </c>
      <c r="F6295" s="1">
        <v>21.0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1">
        <v>19.6</v>
      </c>
      <c r="T6295" s="1">
        <v>397.0</v>
      </c>
      <c r="U6295" s="1">
        <v>0.0</v>
      </c>
      <c r="V6295" s="1">
        <v>0.0</v>
      </c>
      <c r="W6295" s="1" t="s">
        <v>26</v>
      </c>
    </row>
    <row r="6296" ht="15.75" customHeight="1">
      <c r="A6296" s="1" t="s">
        <v>6333</v>
      </c>
      <c r="B6296" s="1" t="s">
        <v>32</v>
      </c>
      <c r="C6296" s="1">
        <v>0.0</v>
      </c>
      <c r="D6296" s="1" t="s">
        <v>26</v>
      </c>
      <c r="E6296" s="1" t="s">
        <v>26</v>
      </c>
      <c r="F6296" s="1">
        <v>1.0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1">
        <v>19.7</v>
      </c>
      <c r="T6296" s="1">
        <v>19.7</v>
      </c>
      <c r="U6296" s="1">
        <v>3.0</v>
      </c>
      <c r="V6296" s="1">
        <v>0.0</v>
      </c>
      <c r="W6296" s="1" t="s">
        <v>25</v>
      </c>
    </row>
    <row r="6297" ht="15.75" customHeight="1">
      <c r="A6297" s="1" t="s">
        <v>6334</v>
      </c>
      <c r="B6297" s="1" t="s">
        <v>24</v>
      </c>
      <c r="C6297" s="1">
        <v>0.0</v>
      </c>
      <c r="D6297" s="1" t="s">
        <v>25</v>
      </c>
      <c r="E6297" s="1" t="s">
        <v>25</v>
      </c>
      <c r="F6297" s="1">
        <v>48.0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1">
        <v>20.2</v>
      </c>
      <c r="T6297" s="1">
        <v>1027.25</v>
      </c>
      <c r="U6297" s="1">
        <v>0.0</v>
      </c>
      <c r="V6297" s="1">
        <v>0.0</v>
      </c>
      <c r="W6297" s="1" t="s">
        <v>26</v>
      </c>
    </row>
    <row r="6298" ht="15.75" customHeight="1">
      <c r="A6298" s="1" t="s">
        <v>6335</v>
      </c>
      <c r="B6298" s="1" t="s">
        <v>24</v>
      </c>
      <c r="C6298" s="1">
        <v>1.0</v>
      </c>
      <c r="D6298" s="1" t="s">
        <v>25</v>
      </c>
      <c r="E6298" s="1" t="s">
        <v>26</v>
      </c>
      <c r="F6298" s="1">
        <v>31.0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1">
        <v>50.4</v>
      </c>
      <c r="T6298" s="1">
        <v>1580.1</v>
      </c>
      <c r="U6298" s="1">
        <v>0.0</v>
      </c>
      <c r="V6298" s="1">
        <v>0.0</v>
      </c>
      <c r="W6298" s="1" t="s">
        <v>26</v>
      </c>
    </row>
    <row r="6299" ht="15.75" customHeight="1">
      <c r="A6299" s="1" t="s">
        <v>6336</v>
      </c>
      <c r="B6299" s="1" t="s">
        <v>24</v>
      </c>
      <c r="C6299" s="1">
        <v>0.0</v>
      </c>
      <c r="D6299" s="1" t="s">
        <v>25</v>
      </c>
      <c r="E6299" s="1" t="s">
        <v>25</v>
      </c>
      <c r="F6299" s="1">
        <v>64.0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1">
        <v>113.35</v>
      </c>
      <c r="T6299" s="1">
        <v>7222.75</v>
      </c>
      <c r="U6299" s="1">
        <v>0.0</v>
      </c>
      <c r="V6299" s="1">
        <v>0.0</v>
      </c>
      <c r="W6299" s="1" t="s">
        <v>26</v>
      </c>
    </row>
    <row r="6300" ht="15.75" customHeight="1">
      <c r="A6300" s="1" t="s">
        <v>6337</v>
      </c>
      <c r="B6300" s="1" t="s">
        <v>32</v>
      </c>
      <c r="C6300" s="1">
        <v>0.0</v>
      </c>
      <c r="D6300" s="1" t="s">
        <v>25</v>
      </c>
      <c r="E6300" s="1" t="s">
        <v>25</v>
      </c>
      <c r="F6300" s="1">
        <v>46.0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1">
        <v>80.0</v>
      </c>
      <c r="T6300" s="1">
        <v>3769.7</v>
      </c>
      <c r="U6300" s="1">
        <v>3.0</v>
      </c>
      <c r="V6300" s="1">
        <v>0.0</v>
      </c>
      <c r="W6300" s="1" t="s">
        <v>26</v>
      </c>
    </row>
    <row r="6301" ht="15.75" customHeight="1">
      <c r="A6301" s="1" t="s">
        <v>6338</v>
      </c>
      <c r="B6301" s="1" t="s">
        <v>24</v>
      </c>
      <c r="C6301" s="1">
        <v>0.0</v>
      </c>
      <c r="D6301" s="1" t="s">
        <v>26</v>
      </c>
      <c r="E6301" s="1" t="s">
        <v>26</v>
      </c>
      <c r="F6301" s="1">
        <v>52.0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1">
        <v>80.95</v>
      </c>
      <c r="T6301" s="1">
        <v>4233.95</v>
      </c>
      <c r="U6301" s="1">
        <v>0.0</v>
      </c>
      <c r="V6301" s="1">
        <v>0.0</v>
      </c>
      <c r="W6301" s="1" t="s">
        <v>26</v>
      </c>
    </row>
    <row r="6302" ht="15.75" customHeight="1">
      <c r="A6302" s="1" t="s">
        <v>6339</v>
      </c>
      <c r="B6302" s="1" t="s">
        <v>24</v>
      </c>
      <c r="C6302" s="1">
        <v>0.0</v>
      </c>
      <c r="D6302" s="1" t="s">
        <v>25</v>
      </c>
      <c r="E6302" s="1" t="s">
        <v>25</v>
      </c>
      <c r="F6302" s="1">
        <v>67.0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1">
        <v>24.9</v>
      </c>
      <c r="T6302" s="1">
        <v>1680.25</v>
      </c>
      <c r="U6302" s="1">
        <v>0.0</v>
      </c>
      <c r="V6302" s="1">
        <v>0.0</v>
      </c>
      <c r="W6302" s="1" t="s">
        <v>26</v>
      </c>
    </row>
    <row r="6303" ht="15.75" customHeight="1">
      <c r="A6303" s="1" t="s">
        <v>6340</v>
      </c>
      <c r="B6303" s="1" t="s">
        <v>24</v>
      </c>
      <c r="C6303" s="1">
        <v>1.0</v>
      </c>
      <c r="D6303" s="1" t="s">
        <v>26</v>
      </c>
      <c r="E6303" s="1" t="s">
        <v>26</v>
      </c>
      <c r="F6303" s="1">
        <v>67.0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1">
        <v>54.9</v>
      </c>
      <c r="T6303" s="1">
        <v>3725.5</v>
      </c>
      <c r="U6303" s="1">
        <v>0.0</v>
      </c>
      <c r="V6303" s="1">
        <v>0.0</v>
      </c>
      <c r="W6303" s="1" t="s">
        <v>26</v>
      </c>
    </row>
    <row r="6304" ht="15.75" customHeight="1">
      <c r="A6304" s="1" t="s">
        <v>6341</v>
      </c>
      <c r="B6304" s="1" t="s">
        <v>24</v>
      </c>
      <c r="C6304" s="1">
        <v>0.0</v>
      </c>
      <c r="D6304" s="1" t="s">
        <v>26</v>
      </c>
      <c r="E6304" s="1" t="s">
        <v>26</v>
      </c>
      <c r="F6304" s="1">
        <v>5.0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1">
        <v>75.55</v>
      </c>
      <c r="T6304" s="1">
        <v>413.65</v>
      </c>
      <c r="U6304" s="1">
        <v>0.0</v>
      </c>
      <c r="V6304" s="1">
        <v>0.0</v>
      </c>
      <c r="W6304" s="1" t="s">
        <v>25</v>
      </c>
    </row>
    <row r="6305" ht="15.75" customHeight="1">
      <c r="A6305" s="1" t="s">
        <v>6342</v>
      </c>
      <c r="B6305" s="1" t="s">
        <v>24</v>
      </c>
      <c r="C6305" s="1">
        <v>0.0</v>
      </c>
      <c r="D6305" s="1" t="s">
        <v>25</v>
      </c>
      <c r="E6305" s="1" t="s">
        <v>26</v>
      </c>
      <c r="F6305" s="1">
        <v>71.0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1">
        <v>109.25</v>
      </c>
      <c r="T6305" s="1">
        <v>7707.7</v>
      </c>
      <c r="U6305" s="1">
        <v>0.0</v>
      </c>
      <c r="V6305" s="1">
        <v>0.0</v>
      </c>
      <c r="W6305" s="1" t="s">
        <v>26</v>
      </c>
    </row>
    <row r="6306" ht="15.75" customHeight="1">
      <c r="A6306" s="1" t="s">
        <v>6343</v>
      </c>
      <c r="B6306" s="1" t="s">
        <v>24</v>
      </c>
      <c r="C6306" s="1">
        <v>0.0</v>
      </c>
      <c r="D6306" s="1" t="s">
        <v>26</v>
      </c>
      <c r="E6306" s="1" t="s">
        <v>26</v>
      </c>
      <c r="F6306" s="1">
        <v>9.0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1">
        <v>77.65</v>
      </c>
      <c r="T6306" s="1">
        <v>714.15</v>
      </c>
      <c r="U6306" s="1">
        <v>0.0</v>
      </c>
      <c r="V6306" s="1">
        <v>0.0</v>
      </c>
      <c r="W6306" s="1" t="s">
        <v>25</v>
      </c>
    </row>
    <row r="6307" ht="15.75" customHeight="1">
      <c r="A6307" s="1" t="s">
        <v>6344</v>
      </c>
      <c r="B6307" s="1" t="s">
        <v>24</v>
      </c>
      <c r="C6307" s="1">
        <v>1.0</v>
      </c>
      <c r="D6307" s="1" t="s">
        <v>26</v>
      </c>
      <c r="E6307" s="1" t="s">
        <v>26</v>
      </c>
      <c r="F6307" s="1">
        <v>26.0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1">
        <v>95.0</v>
      </c>
      <c r="T6307" s="1">
        <v>2497.2</v>
      </c>
      <c r="U6307" s="1">
        <v>5.0</v>
      </c>
      <c r="V6307" s="1">
        <v>2.0</v>
      </c>
      <c r="W6307" s="1" t="s">
        <v>25</v>
      </c>
    </row>
    <row r="6308" ht="15.75" customHeight="1">
      <c r="A6308" s="1" t="s">
        <v>6345</v>
      </c>
      <c r="B6308" s="1" t="s">
        <v>32</v>
      </c>
      <c r="C6308" s="1">
        <v>0.0</v>
      </c>
      <c r="D6308" s="1" t="s">
        <v>26</v>
      </c>
      <c r="E6308" s="1" t="s">
        <v>26</v>
      </c>
      <c r="F6308" s="1">
        <v>71.0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1">
        <v>116.3</v>
      </c>
      <c r="T6308" s="1">
        <v>8309.55</v>
      </c>
      <c r="U6308" s="1">
        <v>0.0</v>
      </c>
      <c r="V6308" s="1">
        <v>0.0</v>
      </c>
      <c r="W6308" s="1" t="s">
        <v>26</v>
      </c>
    </row>
    <row r="6309" ht="15.75" customHeight="1">
      <c r="A6309" s="1" t="s">
        <v>6346</v>
      </c>
      <c r="B6309" s="1" t="s">
        <v>24</v>
      </c>
      <c r="C6309" s="1">
        <v>0.0</v>
      </c>
      <c r="D6309" s="1" t="s">
        <v>26</v>
      </c>
      <c r="E6309" s="1" t="s">
        <v>26</v>
      </c>
      <c r="F6309" s="1">
        <v>32.0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1">
        <v>19.9</v>
      </c>
      <c r="T6309" s="1">
        <v>601.55</v>
      </c>
      <c r="U6309" s="1">
        <v>0.0</v>
      </c>
      <c r="V6309" s="1">
        <v>1.0</v>
      </c>
      <c r="W6309" s="1" t="s">
        <v>26</v>
      </c>
    </row>
    <row r="6310" ht="15.75" customHeight="1">
      <c r="A6310" s="1" t="s">
        <v>6347</v>
      </c>
      <c r="B6310" s="1" t="s">
        <v>24</v>
      </c>
      <c r="C6310" s="1">
        <v>0.0</v>
      </c>
      <c r="D6310" s="1" t="s">
        <v>26</v>
      </c>
      <c r="E6310" s="1" t="s">
        <v>26</v>
      </c>
      <c r="F6310" s="1">
        <v>2.0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1">
        <v>70.35</v>
      </c>
      <c r="T6310" s="1">
        <v>139.25</v>
      </c>
      <c r="U6310" s="1">
        <v>0.0</v>
      </c>
      <c r="V6310" s="1">
        <v>0.0</v>
      </c>
      <c r="W6310" s="1" t="s">
        <v>26</v>
      </c>
    </row>
    <row r="6311" ht="15.75" customHeight="1">
      <c r="A6311" s="1" t="s">
        <v>6348</v>
      </c>
      <c r="B6311" s="1" t="s">
        <v>24</v>
      </c>
      <c r="C6311" s="1">
        <v>0.0</v>
      </c>
      <c r="D6311" s="1" t="s">
        <v>25</v>
      </c>
      <c r="E6311" s="1" t="s">
        <v>26</v>
      </c>
      <c r="F6311" s="1">
        <v>71.0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1">
        <v>25.6</v>
      </c>
      <c r="T6311" s="1">
        <v>1888.25</v>
      </c>
      <c r="U6311" s="1">
        <v>0.0</v>
      </c>
      <c r="V6311" s="1">
        <v>0.0</v>
      </c>
      <c r="W6311" s="1" t="s">
        <v>26</v>
      </c>
    </row>
    <row r="6312" ht="15.75" customHeight="1">
      <c r="A6312" s="1" t="s">
        <v>6349</v>
      </c>
      <c r="B6312" s="1" t="s">
        <v>24</v>
      </c>
      <c r="C6312" s="1">
        <v>0.0</v>
      </c>
      <c r="D6312" s="1" t="s">
        <v>26</v>
      </c>
      <c r="E6312" s="1" t="s">
        <v>26</v>
      </c>
      <c r="F6312" s="1">
        <v>60.0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1">
        <v>44.45</v>
      </c>
      <c r="T6312" s="1">
        <v>2773.9</v>
      </c>
      <c r="U6312" s="1">
        <v>0.0</v>
      </c>
      <c r="V6312" s="1">
        <v>0.0</v>
      </c>
      <c r="W6312" s="1" t="s">
        <v>26</v>
      </c>
    </row>
    <row r="6313" ht="15.75" customHeight="1">
      <c r="A6313" s="1" t="s">
        <v>6350</v>
      </c>
      <c r="B6313" s="1" t="s">
        <v>24</v>
      </c>
      <c r="C6313" s="1">
        <v>1.0</v>
      </c>
      <c r="D6313" s="1" t="s">
        <v>26</v>
      </c>
      <c r="E6313" s="1" t="s">
        <v>26</v>
      </c>
      <c r="F6313" s="1">
        <v>55.0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1">
        <v>100.15</v>
      </c>
      <c r="T6313" s="1">
        <v>5409.75</v>
      </c>
      <c r="U6313" s="1">
        <v>3.0</v>
      </c>
      <c r="V6313" s="1">
        <v>0.0</v>
      </c>
      <c r="W6313" s="1" t="s">
        <v>26</v>
      </c>
    </row>
    <row r="6314" ht="15.75" customHeight="1">
      <c r="A6314" s="1" t="s">
        <v>6351</v>
      </c>
      <c r="B6314" s="1" t="s">
        <v>32</v>
      </c>
      <c r="C6314" s="1">
        <v>0.0</v>
      </c>
      <c r="D6314" s="1" t="s">
        <v>26</v>
      </c>
      <c r="E6314" s="1" t="s">
        <v>26</v>
      </c>
      <c r="F6314" s="1">
        <v>54.0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1">
        <v>105.4</v>
      </c>
      <c r="T6314" s="1">
        <v>5643.4</v>
      </c>
      <c r="U6314" s="1">
        <v>0.0</v>
      </c>
      <c r="V6314" s="1">
        <v>6.0</v>
      </c>
      <c r="W6314" s="1" t="s">
        <v>25</v>
      </c>
    </row>
    <row r="6315" ht="15.75" customHeight="1">
      <c r="A6315" s="1" t="s">
        <v>6352</v>
      </c>
      <c r="B6315" s="1" t="s">
        <v>32</v>
      </c>
      <c r="C6315" s="1">
        <v>0.0</v>
      </c>
      <c r="D6315" s="1" t="s">
        <v>26</v>
      </c>
      <c r="E6315" s="1" t="s">
        <v>26</v>
      </c>
      <c r="F6315" s="1">
        <v>2.0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1">
        <v>95.85</v>
      </c>
      <c r="T6315" s="1">
        <v>197.7</v>
      </c>
      <c r="U6315" s="1">
        <v>0.0</v>
      </c>
      <c r="V6315" s="1">
        <v>0.0</v>
      </c>
      <c r="W6315" s="1" t="s">
        <v>25</v>
      </c>
    </row>
    <row r="6316" ht="15.75" customHeight="1">
      <c r="A6316" s="1" t="s">
        <v>6353</v>
      </c>
      <c r="B6316" s="1" t="s">
        <v>24</v>
      </c>
      <c r="C6316" s="1">
        <v>0.0</v>
      </c>
      <c r="D6316" s="1" t="s">
        <v>26</v>
      </c>
      <c r="E6316" s="1" t="s">
        <v>26</v>
      </c>
      <c r="F6316" s="1">
        <v>6.0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1">
        <v>73.85</v>
      </c>
      <c r="T6316" s="1">
        <v>401.3</v>
      </c>
      <c r="U6316" s="1">
        <v>0.0</v>
      </c>
      <c r="V6316" s="1">
        <v>0.0</v>
      </c>
      <c r="W6316" s="1" t="s">
        <v>26</v>
      </c>
    </row>
    <row r="6317" ht="15.75" customHeight="1">
      <c r="A6317" s="1" t="s">
        <v>6354</v>
      </c>
      <c r="B6317" s="1" t="s">
        <v>24</v>
      </c>
      <c r="C6317" s="1">
        <v>0.0</v>
      </c>
      <c r="D6317" s="1" t="s">
        <v>25</v>
      </c>
      <c r="E6317" s="1" t="s">
        <v>25</v>
      </c>
      <c r="F6317" s="1">
        <v>48.0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1">
        <v>70.1</v>
      </c>
      <c r="T6317" s="1">
        <v>3238.4</v>
      </c>
      <c r="U6317" s="1">
        <v>0.0</v>
      </c>
      <c r="V6317" s="1">
        <v>0.0</v>
      </c>
      <c r="W6317" s="1" t="s">
        <v>26</v>
      </c>
    </row>
    <row r="6318" ht="15.75" customHeight="1">
      <c r="A6318" s="1" t="s">
        <v>6355</v>
      </c>
      <c r="B6318" s="1" t="s">
        <v>32</v>
      </c>
      <c r="C6318" s="1">
        <v>0.0</v>
      </c>
      <c r="D6318" s="1" t="s">
        <v>25</v>
      </c>
      <c r="E6318" s="1" t="s">
        <v>25</v>
      </c>
      <c r="F6318" s="1">
        <v>63.0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1">
        <v>25.25</v>
      </c>
      <c r="T6318" s="1">
        <v>1573.05</v>
      </c>
      <c r="U6318" s="1">
        <v>5.0</v>
      </c>
      <c r="V6318" s="1">
        <v>4.0</v>
      </c>
      <c r="W6318" s="1" t="s">
        <v>26</v>
      </c>
    </row>
    <row r="6319" ht="15.75" customHeight="1">
      <c r="A6319" s="1" t="s">
        <v>6356</v>
      </c>
      <c r="B6319" s="1" t="s">
        <v>32</v>
      </c>
      <c r="C6319" s="1">
        <v>0.0</v>
      </c>
      <c r="D6319" s="1" t="s">
        <v>26</v>
      </c>
      <c r="E6319" s="1" t="s">
        <v>26</v>
      </c>
      <c r="F6319" s="1">
        <v>1.0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1">
        <v>79.15</v>
      </c>
      <c r="T6319" s="1">
        <v>79.15</v>
      </c>
      <c r="U6319" s="1">
        <v>0.0</v>
      </c>
      <c r="V6319" s="1">
        <v>0.0</v>
      </c>
      <c r="W6319" s="1" t="s">
        <v>25</v>
      </c>
    </row>
    <row r="6320" ht="15.75" customHeight="1">
      <c r="A6320" s="1" t="s">
        <v>6357</v>
      </c>
      <c r="B6320" s="1" t="s">
        <v>32</v>
      </c>
      <c r="C6320" s="1">
        <v>0.0</v>
      </c>
      <c r="D6320" s="1" t="s">
        <v>26</v>
      </c>
      <c r="E6320" s="1" t="s">
        <v>25</v>
      </c>
      <c r="F6320" s="1">
        <v>12.0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1">
        <v>21.05</v>
      </c>
      <c r="T6320" s="1">
        <v>235.8</v>
      </c>
      <c r="U6320" s="1">
        <v>0.0</v>
      </c>
      <c r="V6320" s="1">
        <v>0.0</v>
      </c>
      <c r="W6320" s="1" t="s">
        <v>26</v>
      </c>
    </row>
    <row r="6321" ht="15.75" customHeight="1">
      <c r="A6321" s="1" t="s">
        <v>6358</v>
      </c>
      <c r="B6321" s="1" t="s">
        <v>32</v>
      </c>
      <c r="C6321" s="1">
        <v>1.0</v>
      </c>
      <c r="D6321" s="1" t="s">
        <v>25</v>
      </c>
      <c r="E6321" s="1" t="s">
        <v>26</v>
      </c>
      <c r="F6321" s="1">
        <v>54.0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1">
        <v>24.95</v>
      </c>
      <c r="T6321" s="1">
        <v>1364.75</v>
      </c>
      <c r="U6321" s="1">
        <v>0.0</v>
      </c>
      <c r="V6321" s="1">
        <v>0.0</v>
      </c>
      <c r="W6321" s="1" t="s">
        <v>26</v>
      </c>
    </row>
    <row r="6322" ht="15.75" customHeight="1">
      <c r="A6322" s="1" t="s">
        <v>6359</v>
      </c>
      <c r="B6322" s="1" t="s">
        <v>24</v>
      </c>
      <c r="C6322" s="1">
        <v>0.0</v>
      </c>
      <c r="D6322" s="1" t="s">
        <v>25</v>
      </c>
      <c r="E6322" s="1" t="s">
        <v>25</v>
      </c>
      <c r="F6322" s="1">
        <v>30.0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1">
        <v>64.5</v>
      </c>
      <c r="T6322" s="1">
        <v>1985.15</v>
      </c>
      <c r="U6322" s="1">
        <v>0.0</v>
      </c>
      <c r="V6322" s="1">
        <v>0.0</v>
      </c>
      <c r="W6322" s="1" t="s">
        <v>26</v>
      </c>
    </row>
    <row r="6323" ht="15.75" customHeight="1">
      <c r="A6323" s="1" t="s">
        <v>6360</v>
      </c>
      <c r="B6323" s="1" t="s">
        <v>24</v>
      </c>
      <c r="C6323" s="1">
        <v>0.0</v>
      </c>
      <c r="D6323" s="1" t="s">
        <v>25</v>
      </c>
      <c r="E6323" s="1" t="s">
        <v>26</v>
      </c>
      <c r="F6323" s="1">
        <v>30.0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1">
        <v>19.65</v>
      </c>
      <c r="T6323" s="1">
        <v>655.85</v>
      </c>
      <c r="U6323" s="1">
        <v>5.0</v>
      </c>
      <c r="V6323" s="1">
        <v>0.0</v>
      </c>
      <c r="W6323" s="1" t="s">
        <v>25</v>
      </c>
    </row>
    <row r="6324" ht="15.75" customHeight="1">
      <c r="A6324" s="1" t="s">
        <v>6361</v>
      </c>
      <c r="B6324" s="1" t="s">
        <v>24</v>
      </c>
      <c r="C6324" s="1">
        <v>0.0</v>
      </c>
      <c r="D6324" s="1" t="s">
        <v>26</v>
      </c>
      <c r="E6324" s="1" t="s">
        <v>26</v>
      </c>
      <c r="F6324" s="1">
        <v>4.0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1">
        <v>79.0</v>
      </c>
      <c r="T6324" s="1">
        <v>303.15</v>
      </c>
      <c r="U6324" s="1">
        <v>0.0</v>
      </c>
      <c r="V6324" s="1">
        <v>0.0</v>
      </c>
      <c r="W6324" s="1" t="s">
        <v>25</v>
      </c>
    </row>
    <row r="6325" ht="15.75" customHeight="1">
      <c r="A6325" s="1" t="s">
        <v>6362</v>
      </c>
      <c r="B6325" s="1" t="s">
        <v>24</v>
      </c>
      <c r="C6325" s="1">
        <v>0.0</v>
      </c>
      <c r="D6325" s="1" t="s">
        <v>26</v>
      </c>
      <c r="E6325" s="1" t="s">
        <v>26</v>
      </c>
      <c r="F6325" s="1">
        <v>40.0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1">
        <v>105.95</v>
      </c>
      <c r="T6325" s="1">
        <v>4335.2</v>
      </c>
      <c r="U6325" s="1">
        <v>0.0</v>
      </c>
      <c r="V6325" s="1">
        <v>2.0</v>
      </c>
      <c r="W6325" s="1" t="s">
        <v>26</v>
      </c>
    </row>
    <row r="6326" ht="15.75" customHeight="1">
      <c r="A6326" s="1" t="s">
        <v>6363</v>
      </c>
      <c r="B6326" s="1" t="s">
        <v>24</v>
      </c>
      <c r="C6326" s="1">
        <v>0.0</v>
      </c>
      <c r="D6326" s="1" t="s">
        <v>25</v>
      </c>
      <c r="E6326" s="1" t="s">
        <v>25</v>
      </c>
      <c r="F6326" s="1">
        <v>9.0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1">
        <v>75.85</v>
      </c>
      <c r="T6326" s="1">
        <v>647.5</v>
      </c>
      <c r="U6326" s="1">
        <v>0.0</v>
      </c>
      <c r="V6326" s="1">
        <v>0.0</v>
      </c>
      <c r="W6326" s="1" t="s">
        <v>26</v>
      </c>
    </row>
    <row r="6327" ht="15.75" customHeight="1">
      <c r="A6327" s="1" t="s">
        <v>6364</v>
      </c>
      <c r="B6327" s="1" t="s">
        <v>24</v>
      </c>
      <c r="C6327" s="1">
        <v>0.0</v>
      </c>
      <c r="D6327" s="1" t="s">
        <v>25</v>
      </c>
      <c r="E6327" s="1" t="s">
        <v>25</v>
      </c>
      <c r="F6327" s="1">
        <v>17.0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1">
        <v>91.85</v>
      </c>
      <c r="T6327" s="1">
        <v>1574.45</v>
      </c>
      <c r="U6327" s="1">
        <v>0.0</v>
      </c>
      <c r="V6327" s="1">
        <v>1.0</v>
      </c>
      <c r="W6327" s="1" t="s">
        <v>25</v>
      </c>
    </row>
    <row r="6328" ht="15.75" customHeight="1">
      <c r="A6328" s="1" t="s">
        <v>6365</v>
      </c>
      <c r="B6328" s="1" t="s">
        <v>24</v>
      </c>
      <c r="C6328" s="1">
        <v>0.0</v>
      </c>
      <c r="D6328" s="1" t="s">
        <v>26</v>
      </c>
      <c r="E6328" s="1" t="s">
        <v>26</v>
      </c>
      <c r="F6328" s="1">
        <v>62.0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1">
        <v>43.6</v>
      </c>
      <c r="T6328" s="1">
        <v>2748.7</v>
      </c>
      <c r="U6328" s="1">
        <v>0.0</v>
      </c>
      <c r="V6328" s="1">
        <v>0.0</v>
      </c>
      <c r="W6328" s="1" t="s">
        <v>26</v>
      </c>
    </row>
    <row r="6329" ht="15.75" customHeight="1">
      <c r="A6329" s="1" t="s">
        <v>6366</v>
      </c>
      <c r="B6329" s="1" t="s">
        <v>32</v>
      </c>
      <c r="C6329" s="1">
        <v>0.0</v>
      </c>
      <c r="D6329" s="1" t="s">
        <v>26</v>
      </c>
      <c r="E6329" s="1" t="s">
        <v>26</v>
      </c>
      <c r="F6329" s="1">
        <v>28.0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1">
        <v>91.25</v>
      </c>
      <c r="T6329" s="1">
        <v>2483.65</v>
      </c>
      <c r="U6329" s="1">
        <v>2.0</v>
      </c>
      <c r="V6329" s="1">
        <v>0.0</v>
      </c>
      <c r="W6329" s="1" t="s">
        <v>26</v>
      </c>
    </row>
    <row r="6330" ht="15.75" customHeight="1">
      <c r="A6330" s="1" t="s">
        <v>6367</v>
      </c>
      <c r="B6330" s="1" t="s">
        <v>24</v>
      </c>
      <c r="C6330" s="1">
        <v>0.0</v>
      </c>
      <c r="D6330" s="1" t="s">
        <v>26</v>
      </c>
      <c r="E6330" s="1" t="s">
        <v>26</v>
      </c>
      <c r="F6330" s="1">
        <v>70.0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1">
        <v>89.75</v>
      </c>
      <c r="T6330" s="1">
        <v>6367.2</v>
      </c>
      <c r="U6330" s="1">
        <v>0.0</v>
      </c>
      <c r="V6330" s="1">
        <v>0.0</v>
      </c>
      <c r="W6330" s="1" t="s">
        <v>26</v>
      </c>
    </row>
    <row r="6331" ht="15.75" customHeight="1">
      <c r="A6331" s="1" t="s">
        <v>6368</v>
      </c>
      <c r="B6331" s="1" t="s">
        <v>24</v>
      </c>
      <c r="C6331" s="1">
        <v>0.0</v>
      </c>
      <c r="D6331" s="1" t="s">
        <v>26</v>
      </c>
      <c r="E6331" s="1" t="s">
        <v>26</v>
      </c>
      <c r="F6331" s="1">
        <v>46.0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1">
        <v>104.4</v>
      </c>
      <c r="T6331" s="1">
        <v>4904.2</v>
      </c>
      <c r="U6331" s="1">
        <v>0.0</v>
      </c>
      <c r="V6331" s="1">
        <v>0.0</v>
      </c>
      <c r="W6331" s="1" t="s">
        <v>26</v>
      </c>
    </row>
    <row r="6332" ht="15.75" customHeight="1">
      <c r="A6332" s="1" t="s">
        <v>6369</v>
      </c>
      <c r="B6332" s="1" t="s">
        <v>24</v>
      </c>
      <c r="C6332" s="1">
        <v>0.0</v>
      </c>
      <c r="D6332" s="1" t="s">
        <v>25</v>
      </c>
      <c r="E6332" s="1" t="s">
        <v>26</v>
      </c>
      <c r="F6332" s="1">
        <v>23.0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1">
        <v>90.15</v>
      </c>
      <c r="T6332" s="1">
        <v>2044.95</v>
      </c>
      <c r="U6332" s="1">
        <v>4.0</v>
      </c>
      <c r="V6332" s="1">
        <v>0.0</v>
      </c>
      <c r="W6332" s="1" t="s">
        <v>26</v>
      </c>
    </row>
    <row r="6333" ht="15.75" customHeight="1">
      <c r="A6333" s="1" t="s">
        <v>6370</v>
      </c>
      <c r="B6333" s="1" t="s">
        <v>32</v>
      </c>
      <c r="C6333" s="1">
        <v>0.0</v>
      </c>
      <c r="D6333" s="1" t="s">
        <v>25</v>
      </c>
      <c r="E6333" s="1" t="s">
        <v>25</v>
      </c>
      <c r="F6333" s="1">
        <v>47.0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1">
        <v>40.3</v>
      </c>
      <c r="T6333" s="1">
        <v>1794.8</v>
      </c>
      <c r="U6333" s="1">
        <v>0.0</v>
      </c>
      <c r="V6333" s="1">
        <v>0.0</v>
      </c>
      <c r="W6333" s="1" t="s">
        <v>26</v>
      </c>
    </row>
    <row r="6334" ht="15.75" customHeight="1">
      <c r="A6334" s="1" t="s">
        <v>6371</v>
      </c>
      <c r="B6334" s="1" t="s">
        <v>32</v>
      </c>
      <c r="C6334" s="1">
        <v>0.0</v>
      </c>
      <c r="D6334" s="1" t="s">
        <v>25</v>
      </c>
      <c r="E6334" s="1" t="s">
        <v>25</v>
      </c>
      <c r="F6334" s="1">
        <v>68.0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1">
        <v>105.25</v>
      </c>
      <c r="T6334" s="1">
        <v>7173.15</v>
      </c>
      <c r="U6334" s="1">
        <v>0.0</v>
      </c>
      <c r="V6334" s="1">
        <v>0.0</v>
      </c>
      <c r="W6334" s="1" t="s">
        <v>26</v>
      </c>
    </row>
    <row r="6335" ht="15.75" customHeight="1">
      <c r="A6335" s="1" t="s">
        <v>6372</v>
      </c>
      <c r="B6335" s="1" t="s">
        <v>24</v>
      </c>
      <c r="C6335" s="1">
        <v>1.0</v>
      </c>
      <c r="D6335" s="1" t="s">
        <v>26</v>
      </c>
      <c r="E6335" s="1" t="s">
        <v>26</v>
      </c>
      <c r="F6335" s="1">
        <v>60.0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1">
        <v>106.0</v>
      </c>
      <c r="T6335" s="1">
        <v>6441.4</v>
      </c>
      <c r="U6335" s="1">
        <v>0.0</v>
      </c>
      <c r="V6335" s="1">
        <v>7.0</v>
      </c>
      <c r="W6335" s="1" t="s">
        <v>25</v>
      </c>
    </row>
    <row r="6336" ht="15.75" customHeight="1">
      <c r="A6336" s="1" t="s">
        <v>6373</v>
      </c>
      <c r="B6336" s="1" t="s">
        <v>24</v>
      </c>
      <c r="C6336" s="1">
        <v>0.0</v>
      </c>
      <c r="D6336" s="1" t="s">
        <v>26</v>
      </c>
      <c r="E6336" s="1" t="s">
        <v>25</v>
      </c>
      <c r="F6336" s="1">
        <v>67.0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1">
        <v>104.0</v>
      </c>
      <c r="T6336" s="1">
        <v>7039.05</v>
      </c>
      <c r="U6336" s="1">
        <v>0.0</v>
      </c>
      <c r="V6336" s="1">
        <v>0.0</v>
      </c>
      <c r="W6336" s="1" t="s">
        <v>26</v>
      </c>
    </row>
    <row r="6337" ht="15.75" customHeight="1">
      <c r="A6337" s="1" t="s">
        <v>6374</v>
      </c>
      <c r="B6337" s="1" t="s">
        <v>24</v>
      </c>
      <c r="C6337" s="1">
        <v>0.0</v>
      </c>
      <c r="D6337" s="1" t="s">
        <v>26</v>
      </c>
      <c r="E6337" s="1" t="s">
        <v>26</v>
      </c>
      <c r="F6337" s="1">
        <v>14.0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1">
        <v>69.65</v>
      </c>
      <c r="T6337" s="1">
        <v>921.4</v>
      </c>
      <c r="U6337" s="1">
        <v>0.0</v>
      </c>
      <c r="V6337" s="1">
        <v>0.0</v>
      </c>
      <c r="W6337" s="1" t="s">
        <v>26</v>
      </c>
    </row>
    <row r="6338" ht="15.75" customHeight="1">
      <c r="A6338" s="1" t="s">
        <v>6375</v>
      </c>
      <c r="B6338" s="1" t="s">
        <v>32</v>
      </c>
      <c r="C6338" s="1">
        <v>0.0</v>
      </c>
      <c r="D6338" s="1" t="s">
        <v>25</v>
      </c>
      <c r="E6338" s="1" t="s">
        <v>25</v>
      </c>
      <c r="F6338" s="1">
        <v>57.0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1">
        <v>74.3</v>
      </c>
      <c r="T6338" s="1">
        <v>4018.35</v>
      </c>
      <c r="U6338" s="1">
        <v>0.0</v>
      </c>
      <c r="V6338" s="1">
        <v>0.0</v>
      </c>
      <c r="W6338" s="1" t="s">
        <v>26</v>
      </c>
    </row>
    <row r="6339" ht="15.75" customHeight="1">
      <c r="A6339" s="1" t="s">
        <v>6376</v>
      </c>
      <c r="B6339" s="1" t="s">
        <v>24</v>
      </c>
      <c r="C6339" s="1">
        <v>0.0</v>
      </c>
      <c r="D6339" s="1" t="s">
        <v>25</v>
      </c>
      <c r="E6339" s="1" t="s">
        <v>25</v>
      </c>
      <c r="F6339" s="1">
        <v>55.0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1">
        <v>100.9</v>
      </c>
      <c r="T6339" s="1">
        <v>5448.6</v>
      </c>
      <c r="U6339" s="1">
        <v>3.0</v>
      </c>
      <c r="V6339" s="1">
        <v>0.0</v>
      </c>
      <c r="W6339" s="1" t="s">
        <v>26</v>
      </c>
    </row>
    <row r="6340" ht="15.75" customHeight="1">
      <c r="A6340" s="1" t="s">
        <v>6377</v>
      </c>
      <c r="B6340" s="1" t="s">
        <v>32</v>
      </c>
      <c r="C6340" s="1">
        <v>0.0</v>
      </c>
      <c r="D6340" s="1" t="s">
        <v>26</v>
      </c>
      <c r="E6340" s="1" t="s">
        <v>26</v>
      </c>
      <c r="F6340" s="1">
        <v>1.0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1">
        <v>20.25</v>
      </c>
      <c r="T6340" s="1">
        <v>20.25</v>
      </c>
      <c r="U6340" s="1">
        <v>0.0</v>
      </c>
      <c r="V6340" s="1">
        <v>0.0</v>
      </c>
      <c r="W6340" s="1" t="s">
        <v>26</v>
      </c>
    </row>
    <row r="6341" ht="15.75" customHeight="1">
      <c r="A6341" s="1" t="s">
        <v>6378</v>
      </c>
      <c r="B6341" s="1" t="s">
        <v>32</v>
      </c>
      <c r="C6341" s="1">
        <v>0.0</v>
      </c>
      <c r="D6341" s="1" t="s">
        <v>26</v>
      </c>
      <c r="E6341" s="1" t="s">
        <v>25</v>
      </c>
      <c r="F6341" s="1">
        <v>1.0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1">
        <v>49.9</v>
      </c>
      <c r="T6341" s="1">
        <v>49.9</v>
      </c>
      <c r="U6341" s="1">
        <v>0.0</v>
      </c>
      <c r="V6341" s="1">
        <v>0.0</v>
      </c>
      <c r="W6341" s="1" t="s">
        <v>25</v>
      </c>
    </row>
    <row r="6342" ht="15.75" customHeight="1">
      <c r="A6342" s="1" t="s">
        <v>6379</v>
      </c>
      <c r="B6342" s="1" t="s">
        <v>32</v>
      </c>
      <c r="C6342" s="1">
        <v>0.0</v>
      </c>
      <c r="D6342" s="1" t="s">
        <v>26</v>
      </c>
      <c r="E6342" s="1" t="s">
        <v>26</v>
      </c>
      <c r="F6342" s="1">
        <v>23.0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1">
        <v>96.9</v>
      </c>
      <c r="T6342" s="1">
        <v>2085.45</v>
      </c>
      <c r="U6342" s="1">
        <v>0.0</v>
      </c>
      <c r="V6342" s="1">
        <v>0.0</v>
      </c>
      <c r="W6342" s="1" t="s">
        <v>26</v>
      </c>
    </row>
    <row r="6343" ht="15.75" customHeight="1">
      <c r="A6343" s="1" t="s">
        <v>6380</v>
      </c>
      <c r="B6343" s="1" t="s">
        <v>24</v>
      </c>
      <c r="C6343" s="1">
        <v>0.0</v>
      </c>
      <c r="D6343" s="1" t="s">
        <v>26</v>
      </c>
      <c r="E6343" s="1" t="s">
        <v>26</v>
      </c>
      <c r="F6343" s="1">
        <v>13.0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1">
        <v>100.35</v>
      </c>
      <c r="T6343" s="1">
        <v>1358.85</v>
      </c>
      <c r="U6343" s="1">
        <v>0.0</v>
      </c>
      <c r="V6343" s="1">
        <v>1.0</v>
      </c>
      <c r="W6343" s="1" t="s">
        <v>25</v>
      </c>
    </row>
    <row r="6344" ht="15.75" customHeight="1">
      <c r="A6344" s="1" t="s">
        <v>6381</v>
      </c>
      <c r="B6344" s="1" t="s">
        <v>32</v>
      </c>
      <c r="C6344" s="1">
        <v>0.0</v>
      </c>
      <c r="D6344" s="1" t="s">
        <v>25</v>
      </c>
      <c r="E6344" s="1" t="s">
        <v>26</v>
      </c>
      <c r="F6344" s="1">
        <v>47.0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1">
        <v>104.1</v>
      </c>
      <c r="T6344" s="1">
        <v>5135.15</v>
      </c>
      <c r="U6344" s="1">
        <v>0.0</v>
      </c>
      <c r="V6344" s="1">
        <v>3.0</v>
      </c>
      <c r="W6344" s="1" t="s">
        <v>26</v>
      </c>
    </row>
    <row r="6345" ht="15.75" customHeight="1">
      <c r="A6345" s="1" t="s">
        <v>6382</v>
      </c>
      <c r="B6345" s="1" t="s">
        <v>32</v>
      </c>
      <c r="C6345" s="1">
        <v>0.0</v>
      </c>
      <c r="D6345" s="1" t="s">
        <v>26</v>
      </c>
      <c r="E6345" s="1" t="s">
        <v>26</v>
      </c>
      <c r="F6345" s="1">
        <v>38.0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1">
        <v>20.1</v>
      </c>
      <c r="T6345" s="1">
        <v>730.1</v>
      </c>
      <c r="U6345" s="1">
        <v>0.0</v>
      </c>
      <c r="V6345" s="1">
        <v>0.0</v>
      </c>
      <c r="W6345" s="1" t="s">
        <v>26</v>
      </c>
    </row>
    <row r="6346" ht="15.75" customHeight="1">
      <c r="A6346" s="1" t="s">
        <v>6383</v>
      </c>
      <c r="B6346" s="1" t="s">
        <v>24</v>
      </c>
      <c r="C6346" s="1">
        <v>1.0</v>
      </c>
      <c r="D6346" s="1" t="s">
        <v>25</v>
      </c>
      <c r="E6346" s="1" t="s">
        <v>26</v>
      </c>
      <c r="F6346" s="1">
        <v>38.0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1">
        <v>74.95</v>
      </c>
      <c r="T6346" s="1">
        <v>2869.85</v>
      </c>
      <c r="U6346" s="1">
        <v>0.0</v>
      </c>
      <c r="V6346" s="1">
        <v>0.0</v>
      </c>
      <c r="W6346" s="1" t="s">
        <v>25</v>
      </c>
    </row>
    <row r="6347" ht="15.75" customHeight="1">
      <c r="A6347" s="1" t="s">
        <v>6384</v>
      </c>
      <c r="B6347" s="1" t="s">
        <v>24</v>
      </c>
      <c r="C6347" s="1">
        <v>1.0</v>
      </c>
      <c r="D6347" s="1" t="s">
        <v>26</v>
      </c>
      <c r="E6347" s="1" t="s">
        <v>26</v>
      </c>
      <c r="F6347" s="1">
        <v>2.0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1">
        <v>56.55</v>
      </c>
      <c r="T6347" s="1">
        <v>118.25</v>
      </c>
      <c r="U6347" s="1">
        <v>0.0</v>
      </c>
      <c r="V6347" s="1">
        <v>0.0</v>
      </c>
      <c r="W6347" s="1" t="s">
        <v>26</v>
      </c>
    </row>
    <row r="6348" ht="15.75" customHeight="1">
      <c r="A6348" s="1" t="s">
        <v>6385</v>
      </c>
      <c r="B6348" s="1" t="s">
        <v>32</v>
      </c>
      <c r="C6348" s="1">
        <v>1.0</v>
      </c>
      <c r="D6348" s="1" t="s">
        <v>25</v>
      </c>
      <c r="E6348" s="1" t="s">
        <v>25</v>
      </c>
      <c r="F6348" s="1">
        <v>1.0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1">
        <v>49.25</v>
      </c>
      <c r="T6348" s="1">
        <v>49.25</v>
      </c>
      <c r="U6348" s="1">
        <v>4.0</v>
      </c>
      <c r="V6348" s="1">
        <v>0.0</v>
      </c>
      <c r="W6348" s="1" t="s">
        <v>25</v>
      </c>
    </row>
    <row r="6349" ht="15.75" customHeight="1">
      <c r="A6349" s="1" t="s">
        <v>6386</v>
      </c>
      <c r="B6349" s="1" t="s">
        <v>32</v>
      </c>
      <c r="C6349" s="1">
        <v>0.0</v>
      </c>
      <c r="D6349" s="1" t="s">
        <v>25</v>
      </c>
      <c r="E6349" s="1" t="s">
        <v>26</v>
      </c>
      <c r="F6349" s="1">
        <v>15.0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1">
        <v>68.6</v>
      </c>
      <c r="T6349" s="1">
        <v>1108.6</v>
      </c>
      <c r="U6349" s="1">
        <v>0.0</v>
      </c>
      <c r="V6349" s="1">
        <v>0.0</v>
      </c>
      <c r="W6349" s="1" t="s">
        <v>26</v>
      </c>
    </row>
    <row r="6350" ht="15.75" customHeight="1">
      <c r="A6350" s="1" t="s">
        <v>6387</v>
      </c>
      <c r="B6350" s="1" t="s">
        <v>24</v>
      </c>
      <c r="C6350" s="1">
        <v>0.0</v>
      </c>
      <c r="D6350" s="1" t="s">
        <v>26</v>
      </c>
      <c r="E6350" s="1" t="s">
        <v>26</v>
      </c>
      <c r="F6350" s="1">
        <v>26.0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1">
        <v>69.05</v>
      </c>
      <c r="T6350" s="1">
        <v>1815.65</v>
      </c>
      <c r="U6350" s="1">
        <v>2.0</v>
      </c>
      <c r="V6350" s="1">
        <v>0.0</v>
      </c>
      <c r="W6350" s="1" t="s">
        <v>26</v>
      </c>
    </row>
    <row r="6351" ht="15.75" customHeight="1">
      <c r="A6351" s="1" t="s">
        <v>6388</v>
      </c>
      <c r="B6351" s="1" t="s">
        <v>24</v>
      </c>
      <c r="C6351" s="1">
        <v>0.0</v>
      </c>
      <c r="D6351" s="1" t="s">
        <v>25</v>
      </c>
      <c r="E6351" s="1" t="s">
        <v>25</v>
      </c>
      <c r="F6351" s="1">
        <v>35.0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1">
        <v>19.7</v>
      </c>
      <c r="T6351" s="1">
        <v>730.4</v>
      </c>
      <c r="U6351" s="1">
        <v>0.0</v>
      </c>
      <c r="V6351" s="1">
        <v>0.0</v>
      </c>
      <c r="W6351" s="1" t="s">
        <v>26</v>
      </c>
    </row>
    <row r="6352" ht="15.75" customHeight="1">
      <c r="A6352" s="1" t="s">
        <v>6389</v>
      </c>
      <c r="B6352" s="1" t="s">
        <v>32</v>
      </c>
      <c r="C6352" s="1">
        <v>0.0</v>
      </c>
      <c r="D6352" s="1" t="s">
        <v>26</v>
      </c>
      <c r="E6352" s="1" t="s">
        <v>25</v>
      </c>
      <c r="F6352" s="1">
        <v>3.0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1">
        <v>20.05</v>
      </c>
      <c r="T6352" s="1">
        <v>75.45</v>
      </c>
      <c r="U6352" s="1">
        <v>0.0</v>
      </c>
      <c r="V6352" s="1">
        <v>0.0</v>
      </c>
      <c r="W6352" s="1" t="s">
        <v>26</v>
      </c>
    </row>
    <row r="6353" ht="15.75" customHeight="1">
      <c r="A6353" s="1" t="s">
        <v>6390</v>
      </c>
      <c r="B6353" s="1" t="s">
        <v>32</v>
      </c>
      <c r="C6353" s="1">
        <v>0.0</v>
      </c>
      <c r="D6353" s="1" t="s">
        <v>25</v>
      </c>
      <c r="E6353" s="1" t="s">
        <v>25</v>
      </c>
      <c r="F6353" s="1">
        <v>50.0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1">
        <v>103.7</v>
      </c>
      <c r="T6353" s="1">
        <v>5071.05</v>
      </c>
      <c r="U6353" s="1">
        <v>0.0</v>
      </c>
      <c r="V6353" s="1">
        <v>3.0</v>
      </c>
      <c r="W6353" s="1" t="s">
        <v>25</v>
      </c>
    </row>
    <row r="6354" ht="15.75" customHeight="1">
      <c r="A6354" s="1" t="s">
        <v>6391</v>
      </c>
      <c r="B6354" s="1" t="s">
        <v>32</v>
      </c>
      <c r="C6354" s="1">
        <v>0.0</v>
      </c>
      <c r="D6354" s="1" t="s">
        <v>25</v>
      </c>
      <c r="E6354" s="1" t="s">
        <v>26</v>
      </c>
      <c r="F6354" s="1">
        <v>42.0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1">
        <v>94.4</v>
      </c>
      <c r="T6354" s="1">
        <v>4014.6</v>
      </c>
      <c r="U6354" s="1">
        <v>0.0</v>
      </c>
      <c r="V6354" s="1">
        <v>0.0</v>
      </c>
      <c r="W6354" s="1" t="s">
        <v>26</v>
      </c>
    </row>
    <row r="6355" ht="15.75" customHeight="1">
      <c r="A6355" s="1" t="s">
        <v>6392</v>
      </c>
      <c r="B6355" s="1" t="s">
        <v>32</v>
      </c>
      <c r="C6355" s="1">
        <v>0.0</v>
      </c>
      <c r="D6355" s="1" t="s">
        <v>25</v>
      </c>
      <c r="E6355" s="1" t="s">
        <v>26</v>
      </c>
      <c r="F6355" s="1">
        <v>10.0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1">
        <v>54.95</v>
      </c>
      <c r="T6355" s="1">
        <v>568.85</v>
      </c>
      <c r="U6355" s="1">
        <v>4.0</v>
      </c>
      <c r="V6355" s="1">
        <v>0.0</v>
      </c>
      <c r="W6355" s="1" t="s">
        <v>26</v>
      </c>
    </row>
    <row r="6356" ht="15.75" customHeight="1">
      <c r="A6356" s="1" t="s">
        <v>6393</v>
      </c>
      <c r="B6356" s="1" t="s">
        <v>24</v>
      </c>
      <c r="C6356" s="1">
        <v>0.0</v>
      </c>
      <c r="D6356" s="1" t="s">
        <v>25</v>
      </c>
      <c r="E6356" s="1" t="s">
        <v>26</v>
      </c>
      <c r="F6356" s="1">
        <v>61.0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1">
        <v>93.7</v>
      </c>
      <c r="T6356" s="1">
        <v>5860.7</v>
      </c>
      <c r="U6356" s="1">
        <v>0.0</v>
      </c>
      <c r="V6356" s="1">
        <v>0.0</v>
      </c>
      <c r="W6356" s="1" t="s">
        <v>26</v>
      </c>
    </row>
    <row r="6357" ht="15.75" customHeight="1">
      <c r="A6357" s="1" t="s">
        <v>6394</v>
      </c>
      <c r="B6357" s="1" t="s">
        <v>24</v>
      </c>
      <c r="C6357" s="1">
        <v>0.0</v>
      </c>
      <c r="D6357" s="1" t="s">
        <v>26</v>
      </c>
      <c r="E6357" s="1" t="s">
        <v>26</v>
      </c>
      <c r="F6357" s="1">
        <v>68.0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1">
        <v>110.25</v>
      </c>
      <c r="T6357" s="1">
        <v>7279.35</v>
      </c>
      <c r="U6357" s="1">
        <v>4.0</v>
      </c>
      <c r="V6357" s="1">
        <v>0.0</v>
      </c>
      <c r="W6357" s="1" t="s">
        <v>26</v>
      </c>
    </row>
    <row r="6358" ht="15.75" customHeight="1">
      <c r="A6358" s="1" t="s">
        <v>6395</v>
      </c>
      <c r="B6358" s="1" t="s">
        <v>32</v>
      </c>
      <c r="C6358" s="1">
        <v>0.0</v>
      </c>
      <c r="D6358" s="1" t="s">
        <v>26</v>
      </c>
      <c r="E6358" s="1" t="s">
        <v>26</v>
      </c>
      <c r="F6358" s="1">
        <v>10.0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1">
        <v>98.9</v>
      </c>
      <c r="T6358" s="1">
        <v>1064.95</v>
      </c>
      <c r="U6358" s="1">
        <v>0.0</v>
      </c>
      <c r="V6358" s="1">
        <v>0.0</v>
      </c>
      <c r="W6358" s="1" t="s">
        <v>26</v>
      </c>
    </row>
    <row r="6359" ht="15.75" customHeight="1">
      <c r="A6359" s="1" t="s">
        <v>6396</v>
      </c>
      <c r="B6359" s="1" t="s">
        <v>32</v>
      </c>
      <c r="C6359" s="1">
        <v>0.0</v>
      </c>
      <c r="D6359" s="1" t="s">
        <v>25</v>
      </c>
      <c r="E6359" s="1" t="s">
        <v>26</v>
      </c>
      <c r="F6359" s="1">
        <v>65.0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1">
        <v>89.75</v>
      </c>
      <c r="T6359" s="1">
        <v>5769.6</v>
      </c>
      <c r="U6359" s="1">
        <v>0.0</v>
      </c>
      <c r="V6359" s="1">
        <v>6.0</v>
      </c>
      <c r="W6359" s="1" t="s">
        <v>25</v>
      </c>
    </row>
    <row r="6360" ht="15.75" customHeight="1">
      <c r="A6360" s="1" t="s">
        <v>6397</v>
      </c>
      <c r="B6360" s="1" t="s">
        <v>24</v>
      </c>
      <c r="C6360" s="1">
        <v>0.0</v>
      </c>
      <c r="D6360" s="1" t="s">
        <v>25</v>
      </c>
      <c r="E6360" s="1" t="s">
        <v>25</v>
      </c>
      <c r="F6360" s="1">
        <v>72.0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1">
        <v>80.45</v>
      </c>
      <c r="T6360" s="1">
        <v>5886.85</v>
      </c>
      <c r="U6360" s="1">
        <v>0.0</v>
      </c>
      <c r="V6360" s="1">
        <v>0.0</v>
      </c>
      <c r="W6360" s="1" t="s">
        <v>26</v>
      </c>
    </row>
    <row r="6361" ht="15.75" customHeight="1">
      <c r="A6361" s="1" t="s">
        <v>6398</v>
      </c>
      <c r="B6361" s="1" t="s">
        <v>32</v>
      </c>
      <c r="C6361" s="1">
        <v>0.0</v>
      </c>
      <c r="D6361" s="1" t="s">
        <v>25</v>
      </c>
      <c r="E6361" s="1" t="s">
        <v>25</v>
      </c>
      <c r="F6361" s="1">
        <v>55.0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1">
        <v>79.4</v>
      </c>
      <c r="T6361" s="1">
        <v>4238.45</v>
      </c>
      <c r="U6361" s="1">
        <v>0.0</v>
      </c>
      <c r="V6361" s="1">
        <v>0.0</v>
      </c>
      <c r="W6361" s="1" t="s">
        <v>26</v>
      </c>
    </row>
    <row r="6362" ht="15.75" customHeight="1">
      <c r="A6362" s="1" t="s">
        <v>6399</v>
      </c>
      <c r="B6362" s="1" t="s">
        <v>24</v>
      </c>
      <c r="C6362" s="1">
        <v>0.0</v>
      </c>
      <c r="D6362" s="1" t="s">
        <v>26</v>
      </c>
      <c r="E6362" s="1" t="s">
        <v>26</v>
      </c>
      <c r="F6362" s="1">
        <v>1.0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1">
        <v>20.3</v>
      </c>
      <c r="T6362" s="1">
        <v>20.3</v>
      </c>
      <c r="U6362" s="1">
        <v>0.0</v>
      </c>
      <c r="V6362" s="1">
        <v>0.0</v>
      </c>
      <c r="W6362" s="1" t="s">
        <v>25</v>
      </c>
    </row>
    <row r="6363" ht="15.75" customHeight="1">
      <c r="A6363" s="1" t="s">
        <v>6400</v>
      </c>
      <c r="B6363" s="1" t="s">
        <v>24</v>
      </c>
      <c r="C6363" s="1">
        <v>0.0</v>
      </c>
      <c r="D6363" s="1" t="s">
        <v>26</v>
      </c>
      <c r="E6363" s="1" t="s">
        <v>26</v>
      </c>
      <c r="F6363" s="1">
        <v>7.0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1">
        <v>62.8</v>
      </c>
      <c r="T6363" s="1">
        <v>418.3</v>
      </c>
      <c r="U6363" s="1">
        <v>4.0</v>
      </c>
      <c r="V6363" s="1">
        <v>0.0</v>
      </c>
      <c r="W6363" s="1" t="s">
        <v>26</v>
      </c>
    </row>
    <row r="6364" ht="15.75" customHeight="1">
      <c r="A6364" s="1" t="s">
        <v>6401</v>
      </c>
      <c r="B6364" s="1" t="s">
        <v>24</v>
      </c>
      <c r="C6364" s="1">
        <v>0.0</v>
      </c>
      <c r="D6364" s="1" t="s">
        <v>26</v>
      </c>
      <c r="E6364" s="1" t="s">
        <v>26</v>
      </c>
      <c r="F6364" s="1">
        <v>2.0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1">
        <v>74.9</v>
      </c>
      <c r="T6364" s="1">
        <v>136.05</v>
      </c>
      <c r="U6364" s="1">
        <v>5.0</v>
      </c>
      <c r="V6364" s="1">
        <v>0.0</v>
      </c>
      <c r="W6364" s="1" t="s">
        <v>26</v>
      </c>
    </row>
    <row r="6365" ht="15.75" customHeight="1">
      <c r="A6365" s="1" t="s">
        <v>6402</v>
      </c>
      <c r="B6365" s="1" t="s">
        <v>24</v>
      </c>
      <c r="C6365" s="1">
        <v>0.0</v>
      </c>
      <c r="D6365" s="1" t="s">
        <v>26</v>
      </c>
      <c r="E6365" s="1" t="s">
        <v>26</v>
      </c>
      <c r="F6365" s="1">
        <v>9.0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1">
        <v>74.85</v>
      </c>
      <c r="T6365" s="1">
        <v>708.2</v>
      </c>
      <c r="U6365" s="1">
        <v>0.0</v>
      </c>
      <c r="V6365" s="1">
        <v>0.0</v>
      </c>
      <c r="W6365" s="1" t="s">
        <v>26</v>
      </c>
    </row>
    <row r="6366" ht="15.75" customHeight="1">
      <c r="A6366" s="1" t="s">
        <v>6403</v>
      </c>
      <c r="B6366" s="1" t="s">
        <v>32</v>
      </c>
      <c r="C6366" s="1">
        <v>0.0</v>
      </c>
      <c r="D6366" s="1" t="s">
        <v>26</v>
      </c>
      <c r="E6366" s="1" t="s">
        <v>25</v>
      </c>
      <c r="F6366" s="1">
        <v>27.0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1">
        <v>25.85</v>
      </c>
      <c r="T6366" s="1">
        <v>788.55</v>
      </c>
      <c r="U6366" s="1">
        <v>4.0</v>
      </c>
      <c r="V6366" s="1">
        <v>0.0</v>
      </c>
      <c r="W6366" s="1" t="s">
        <v>26</v>
      </c>
    </row>
    <row r="6367" ht="15.75" customHeight="1">
      <c r="A6367" s="1" t="s">
        <v>6404</v>
      </c>
      <c r="B6367" s="1" t="s">
        <v>32</v>
      </c>
      <c r="C6367" s="1">
        <v>1.0</v>
      </c>
      <c r="D6367" s="1" t="s">
        <v>25</v>
      </c>
      <c r="E6367" s="1" t="s">
        <v>26</v>
      </c>
      <c r="F6367" s="1">
        <v>7.0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1">
        <v>101.95</v>
      </c>
      <c r="T6367" s="1">
        <v>700.85</v>
      </c>
      <c r="U6367" s="1">
        <v>0.0</v>
      </c>
      <c r="V6367" s="1">
        <v>1.0</v>
      </c>
      <c r="W6367" s="1" t="s">
        <v>25</v>
      </c>
    </row>
    <row r="6368" ht="15.75" customHeight="1">
      <c r="A6368" s="1" t="s">
        <v>6405</v>
      </c>
      <c r="B6368" s="1" t="s">
        <v>24</v>
      </c>
      <c r="C6368" s="1">
        <v>0.0</v>
      </c>
      <c r="D6368" s="1" t="s">
        <v>25</v>
      </c>
      <c r="E6368" s="1" t="s">
        <v>26</v>
      </c>
      <c r="F6368" s="1">
        <v>64.0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1">
        <v>68.3</v>
      </c>
      <c r="T6368" s="1">
        <v>4378.8</v>
      </c>
      <c r="U6368" s="1">
        <v>0.0</v>
      </c>
      <c r="V6368" s="1">
        <v>0.0</v>
      </c>
      <c r="W6368" s="1" t="s">
        <v>26</v>
      </c>
    </row>
    <row r="6369" ht="15.75" customHeight="1">
      <c r="A6369" s="1" t="s">
        <v>6406</v>
      </c>
      <c r="B6369" s="1" t="s">
        <v>32</v>
      </c>
      <c r="C6369" s="1">
        <v>0.0</v>
      </c>
      <c r="D6369" s="1" t="s">
        <v>26</v>
      </c>
      <c r="E6369" s="1" t="s">
        <v>26</v>
      </c>
      <c r="F6369" s="1">
        <v>70.0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1">
        <v>48.4</v>
      </c>
      <c r="T6369" s="1">
        <v>3442.8</v>
      </c>
      <c r="U6369" s="1">
        <v>2.0</v>
      </c>
      <c r="V6369" s="1">
        <v>0.0</v>
      </c>
      <c r="W6369" s="1" t="s">
        <v>26</v>
      </c>
    </row>
    <row r="6370" ht="15.75" customHeight="1">
      <c r="A6370" s="1" t="s">
        <v>6407</v>
      </c>
      <c r="B6370" s="1" t="s">
        <v>32</v>
      </c>
      <c r="C6370" s="1">
        <v>1.0</v>
      </c>
      <c r="D6370" s="1" t="s">
        <v>26</v>
      </c>
      <c r="E6370" s="1" t="s">
        <v>26</v>
      </c>
      <c r="F6370" s="1">
        <v>2.0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1">
        <v>94.0</v>
      </c>
      <c r="T6370" s="1">
        <v>181.7</v>
      </c>
      <c r="U6370" s="1">
        <v>0.0</v>
      </c>
      <c r="V6370" s="1">
        <v>2.0</v>
      </c>
      <c r="W6370" s="1" t="s">
        <v>25</v>
      </c>
    </row>
    <row r="6371" ht="15.75" customHeight="1">
      <c r="A6371" s="1" t="s">
        <v>6408</v>
      </c>
      <c r="B6371" s="1" t="s">
        <v>32</v>
      </c>
      <c r="C6371" s="1">
        <v>1.0</v>
      </c>
      <c r="D6371" s="1" t="s">
        <v>26</v>
      </c>
      <c r="E6371" s="1" t="s">
        <v>26</v>
      </c>
      <c r="F6371" s="1">
        <v>67.0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1">
        <v>105.05</v>
      </c>
      <c r="T6371" s="1">
        <v>7171.7</v>
      </c>
      <c r="U6371" s="1">
        <v>0.0</v>
      </c>
      <c r="V6371" s="1">
        <v>0.0</v>
      </c>
      <c r="W6371" s="1" t="s">
        <v>26</v>
      </c>
    </row>
    <row r="6372" ht="15.75" customHeight="1">
      <c r="A6372" s="1" t="s">
        <v>6409</v>
      </c>
      <c r="B6372" s="1" t="s">
        <v>24</v>
      </c>
      <c r="C6372" s="1">
        <v>0.0</v>
      </c>
      <c r="D6372" s="1" t="s">
        <v>26</v>
      </c>
      <c r="E6372" s="1" t="s">
        <v>26</v>
      </c>
      <c r="F6372" s="1">
        <v>45.0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1">
        <v>89.3</v>
      </c>
      <c r="T6372" s="1">
        <v>4016.85</v>
      </c>
      <c r="U6372" s="1">
        <v>0.0</v>
      </c>
      <c r="V6372" s="1">
        <v>4.0</v>
      </c>
      <c r="W6372" s="1" t="s">
        <v>25</v>
      </c>
    </row>
    <row r="6373" ht="15.75" customHeight="1">
      <c r="A6373" s="1" t="s">
        <v>6410</v>
      </c>
      <c r="B6373" s="1" t="s">
        <v>24</v>
      </c>
      <c r="C6373" s="1">
        <v>0.0</v>
      </c>
      <c r="D6373" s="1" t="s">
        <v>26</v>
      </c>
      <c r="E6373" s="1" t="s">
        <v>26</v>
      </c>
      <c r="F6373" s="1">
        <v>24.0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1">
        <v>25.15</v>
      </c>
      <c r="T6373" s="1">
        <v>553.0</v>
      </c>
      <c r="U6373" s="1">
        <v>0.0</v>
      </c>
      <c r="V6373" s="1">
        <v>0.0</v>
      </c>
      <c r="W6373" s="1" t="s">
        <v>26</v>
      </c>
    </row>
    <row r="6374" ht="15.75" customHeight="1">
      <c r="A6374" s="1" t="s">
        <v>6411</v>
      </c>
      <c r="B6374" s="1" t="s">
        <v>32</v>
      </c>
      <c r="C6374" s="1">
        <v>0.0</v>
      </c>
      <c r="D6374" s="1" t="s">
        <v>25</v>
      </c>
      <c r="E6374" s="1" t="s">
        <v>25</v>
      </c>
      <c r="F6374" s="1">
        <v>4.0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1">
        <v>19.5</v>
      </c>
      <c r="T6374" s="1">
        <v>96.85</v>
      </c>
      <c r="U6374" s="1">
        <v>3.0</v>
      </c>
      <c r="V6374" s="1">
        <v>0.0</v>
      </c>
      <c r="W6374" s="1" t="s">
        <v>26</v>
      </c>
    </row>
    <row r="6375" ht="15.75" customHeight="1">
      <c r="A6375" s="1" t="s">
        <v>6412</v>
      </c>
      <c r="B6375" s="1" t="s">
        <v>32</v>
      </c>
      <c r="C6375" s="1">
        <v>0.0</v>
      </c>
      <c r="D6375" s="1" t="s">
        <v>25</v>
      </c>
      <c r="E6375" s="1" t="s">
        <v>25</v>
      </c>
      <c r="F6375" s="1">
        <v>44.0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1">
        <v>92.95</v>
      </c>
      <c r="T6375" s="1">
        <v>4122.9</v>
      </c>
      <c r="U6375" s="1">
        <v>0.0</v>
      </c>
      <c r="V6375" s="1">
        <v>0.0</v>
      </c>
      <c r="W6375" s="1" t="s">
        <v>26</v>
      </c>
    </row>
    <row r="6376" ht="15.75" customHeight="1">
      <c r="A6376" s="1" t="s">
        <v>6413</v>
      </c>
      <c r="B6376" s="1" t="s">
        <v>24</v>
      </c>
      <c r="C6376" s="1">
        <v>0.0</v>
      </c>
      <c r="D6376" s="1" t="s">
        <v>25</v>
      </c>
      <c r="E6376" s="1" t="s">
        <v>25</v>
      </c>
      <c r="F6376" s="1">
        <v>72.0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1">
        <v>20.7</v>
      </c>
      <c r="T6376" s="1">
        <v>1482.3</v>
      </c>
      <c r="U6376" s="1">
        <v>0.0</v>
      </c>
      <c r="V6376" s="1">
        <v>0.0</v>
      </c>
      <c r="W6376" s="1" t="s">
        <v>26</v>
      </c>
    </row>
    <row r="6377" ht="15.75" customHeight="1">
      <c r="A6377" s="1" t="s">
        <v>6414</v>
      </c>
      <c r="B6377" s="1" t="s">
        <v>24</v>
      </c>
      <c r="C6377" s="1">
        <v>0.0</v>
      </c>
      <c r="D6377" s="1" t="s">
        <v>26</v>
      </c>
      <c r="E6377" s="1" t="s">
        <v>26</v>
      </c>
      <c r="F6377" s="1">
        <v>1.0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1">
        <v>74.3</v>
      </c>
      <c r="T6377" s="1">
        <v>74.3</v>
      </c>
      <c r="U6377" s="1">
        <v>0.0</v>
      </c>
      <c r="V6377" s="1">
        <v>0.0</v>
      </c>
      <c r="W6377" s="1" t="s">
        <v>25</v>
      </c>
    </row>
    <row r="6378" ht="15.75" customHeight="1">
      <c r="A6378" s="1" t="s">
        <v>6415</v>
      </c>
      <c r="B6378" s="1" t="s">
        <v>32</v>
      </c>
      <c r="C6378" s="1">
        <v>0.0</v>
      </c>
      <c r="D6378" s="1" t="s">
        <v>26</v>
      </c>
      <c r="E6378" s="1" t="s">
        <v>26</v>
      </c>
      <c r="F6378" s="1">
        <v>66.0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1">
        <v>19.35</v>
      </c>
      <c r="T6378" s="1">
        <v>1240.8</v>
      </c>
      <c r="U6378" s="1">
        <v>4.0</v>
      </c>
      <c r="V6378" s="1">
        <v>0.0</v>
      </c>
      <c r="W6378" s="1" t="s">
        <v>26</v>
      </c>
    </row>
    <row r="6379" ht="15.75" customHeight="1">
      <c r="A6379" s="1" t="s">
        <v>6416</v>
      </c>
      <c r="B6379" s="1" t="s">
        <v>32</v>
      </c>
      <c r="C6379" s="1">
        <v>0.0</v>
      </c>
      <c r="D6379" s="1" t="s">
        <v>26</v>
      </c>
      <c r="E6379" s="1" t="s">
        <v>26</v>
      </c>
      <c r="F6379" s="1">
        <v>1.0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1">
        <v>44.65</v>
      </c>
      <c r="T6379" s="1">
        <v>44.65</v>
      </c>
      <c r="U6379" s="1">
        <v>0.0</v>
      </c>
      <c r="V6379" s="1">
        <v>0.0</v>
      </c>
      <c r="W6379" s="1" t="s">
        <v>25</v>
      </c>
    </row>
    <row r="6380" ht="15.75" customHeight="1">
      <c r="A6380" s="1" t="s">
        <v>6417</v>
      </c>
      <c r="B6380" s="1" t="s">
        <v>32</v>
      </c>
      <c r="C6380" s="1">
        <v>0.0</v>
      </c>
      <c r="D6380" s="1" t="s">
        <v>25</v>
      </c>
      <c r="E6380" s="1" t="s">
        <v>25</v>
      </c>
      <c r="F6380" s="1">
        <v>13.0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1">
        <v>84.05</v>
      </c>
      <c r="T6380" s="1">
        <v>1095.3</v>
      </c>
      <c r="U6380" s="1">
        <v>5.0</v>
      </c>
      <c r="V6380" s="1">
        <v>2.0</v>
      </c>
      <c r="W6380" s="1" t="s">
        <v>25</v>
      </c>
    </row>
    <row r="6381" ht="15.75" customHeight="1">
      <c r="A6381" s="1" t="s">
        <v>6418</v>
      </c>
      <c r="B6381" s="1" t="s">
        <v>32</v>
      </c>
      <c r="C6381" s="1">
        <v>0.0</v>
      </c>
      <c r="D6381" s="1" t="s">
        <v>26</v>
      </c>
      <c r="E6381" s="1" t="s">
        <v>26</v>
      </c>
      <c r="F6381" s="1">
        <v>10.0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1">
        <v>80.7</v>
      </c>
      <c r="T6381" s="1">
        <v>788.8</v>
      </c>
      <c r="U6381" s="1">
        <v>0.0</v>
      </c>
      <c r="V6381" s="1">
        <v>0.0</v>
      </c>
      <c r="W6381" s="1" t="s">
        <v>25</v>
      </c>
    </row>
    <row r="6382" ht="15.75" customHeight="1">
      <c r="A6382" s="1" t="s">
        <v>6419</v>
      </c>
      <c r="B6382" s="1" t="s">
        <v>32</v>
      </c>
      <c r="C6382" s="1">
        <v>1.0</v>
      </c>
      <c r="D6382" s="1" t="s">
        <v>25</v>
      </c>
      <c r="E6382" s="1" t="s">
        <v>26</v>
      </c>
      <c r="F6382" s="1">
        <v>65.0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1">
        <v>104.35</v>
      </c>
      <c r="T6382" s="1">
        <v>6578.55</v>
      </c>
      <c r="U6382" s="1">
        <v>4.0</v>
      </c>
      <c r="V6382" s="1">
        <v>0.0</v>
      </c>
      <c r="W6382" s="1" t="s">
        <v>26</v>
      </c>
    </row>
    <row r="6383" ht="15.75" customHeight="1">
      <c r="A6383" s="1" t="s">
        <v>6420</v>
      </c>
      <c r="B6383" s="1" t="s">
        <v>32</v>
      </c>
      <c r="C6383" s="1">
        <v>0.0</v>
      </c>
      <c r="D6383" s="1" t="s">
        <v>26</v>
      </c>
      <c r="E6383" s="1" t="s">
        <v>25</v>
      </c>
      <c r="F6383" s="1">
        <v>1.0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1">
        <v>19.55</v>
      </c>
      <c r="T6383" s="1">
        <v>19.55</v>
      </c>
      <c r="U6383" s="1">
        <v>0.0</v>
      </c>
      <c r="V6383" s="1">
        <v>0.0</v>
      </c>
      <c r="W6383" s="1" t="s">
        <v>26</v>
      </c>
    </row>
    <row r="6384" ht="15.75" customHeight="1">
      <c r="A6384" s="1" t="s">
        <v>6421</v>
      </c>
      <c r="B6384" s="1" t="s">
        <v>32</v>
      </c>
      <c r="C6384" s="1">
        <v>0.0</v>
      </c>
      <c r="D6384" s="1" t="s">
        <v>25</v>
      </c>
      <c r="E6384" s="1" t="s">
        <v>25</v>
      </c>
      <c r="F6384" s="1">
        <v>38.0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1">
        <v>74.05</v>
      </c>
      <c r="T6384" s="1">
        <v>2802.3</v>
      </c>
      <c r="U6384" s="1">
        <v>1.0</v>
      </c>
      <c r="V6384" s="1">
        <v>0.0</v>
      </c>
      <c r="W6384" s="1" t="s">
        <v>26</v>
      </c>
    </row>
    <row r="6385" ht="15.75" customHeight="1">
      <c r="A6385" s="1" t="s">
        <v>6422</v>
      </c>
      <c r="B6385" s="1" t="s">
        <v>32</v>
      </c>
      <c r="C6385" s="1">
        <v>0.0</v>
      </c>
      <c r="D6385" s="1" t="s">
        <v>26</v>
      </c>
      <c r="E6385" s="1" t="s">
        <v>25</v>
      </c>
      <c r="F6385" s="1">
        <v>23.0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1">
        <v>40.1</v>
      </c>
      <c r="T6385" s="1">
        <v>857.75</v>
      </c>
      <c r="U6385" s="1">
        <v>0.0</v>
      </c>
      <c r="V6385" s="1">
        <v>0.0</v>
      </c>
      <c r="W6385" s="1" t="s">
        <v>26</v>
      </c>
    </row>
    <row r="6386" ht="15.75" customHeight="1">
      <c r="A6386" s="1" t="s">
        <v>6423</v>
      </c>
      <c r="B6386" s="1" t="s">
        <v>24</v>
      </c>
      <c r="C6386" s="1">
        <v>0.0</v>
      </c>
      <c r="D6386" s="1" t="s">
        <v>25</v>
      </c>
      <c r="E6386" s="1" t="s">
        <v>26</v>
      </c>
      <c r="F6386" s="1">
        <v>10.0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1">
        <v>20.1</v>
      </c>
      <c r="T6386" s="1">
        <v>184.4</v>
      </c>
      <c r="U6386" s="1">
        <v>4.0</v>
      </c>
      <c r="V6386" s="1">
        <v>0.0</v>
      </c>
      <c r="W6386" s="1" t="s">
        <v>26</v>
      </c>
    </row>
    <row r="6387" ht="15.75" customHeight="1">
      <c r="A6387" s="1" t="s">
        <v>6424</v>
      </c>
      <c r="B6387" s="1" t="s">
        <v>32</v>
      </c>
      <c r="C6387" s="1">
        <v>0.0</v>
      </c>
      <c r="D6387" s="1" t="s">
        <v>26</v>
      </c>
      <c r="E6387" s="1" t="s">
        <v>25</v>
      </c>
      <c r="F6387" s="1">
        <v>4.0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1">
        <v>101.7</v>
      </c>
      <c r="T6387" s="1">
        <v>364.55</v>
      </c>
      <c r="U6387" s="1">
        <v>0.0</v>
      </c>
      <c r="V6387" s="1">
        <v>0.0</v>
      </c>
      <c r="W6387" s="1" t="s">
        <v>25</v>
      </c>
    </row>
    <row r="6388" ht="15.75" customHeight="1">
      <c r="A6388" s="1" t="s">
        <v>6425</v>
      </c>
      <c r="B6388" s="1" t="s">
        <v>32</v>
      </c>
      <c r="C6388" s="1">
        <v>0.0</v>
      </c>
      <c r="D6388" s="1" t="s">
        <v>25</v>
      </c>
      <c r="E6388" s="1" t="s">
        <v>25</v>
      </c>
      <c r="F6388" s="1">
        <v>72.0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1">
        <v>83.55</v>
      </c>
      <c r="T6388" s="1">
        <v>6093.3</v>
      </c>
      <c r="U6388" s="1">
        <v>0.0</v>
      </c>
      <c r="V6388" s="1">
        <v>0.0</v>
      </c>
      <c r="W6388" s="1" t="s">
        <v>26</v>
      </c>
    </row>
    <row r="6389" ht="15.75" customHeight="1">
      <c r="A6389" s="1" t="s">
        <v>6426</v>
      </c>
      <c r="B6389" s="1" t="s">
        <v>24</v>
      </c>
      <c r="C6389" s="1">
        <v>0.0</v>
      </c>
      <c r="D6389" s="1" t="s">
        <v>25</v>
      </c>
      <c r="E6389" s="1" t="s">
        <v>26</v>
      </c>
      <c r="F6389" s="1">
        <v>35.0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1">
        <v>56.85</v>
      </c>
      <c r="T6389" s="1">
        <v>1861.1</v>
      </c>
      <c r="U6389" s="1">
        <v>4.0</v>
      </c>
      <c r="V6389" s="1">
        <v>2.0</v>
      </c>
      <c r="W6389" s="1" t="s">
        <v>26</v>
      </c>
    </row>
    <row r="6390" ht="15.75" customHeight="1">
      <c r="A6390" s="1" t="s">
        <v>6427</v>
      </c>
      <c r="B6390" s="1" t="s">
        <v>24</v>
      </c>
      <c r="C6390" s="1">
        <v>0.0</v>
      </c>
      <c r="D6390" s="1" t="s">
        <v>26</v>
      </c>
      <c r="E6390" s="1" t="s">
        <v>26</v>
      </c>
      <c r="F6390" s="1">
        <v>1.0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1">
        <v>20.4</v>
      </c>
      <c r="T6390" s="1">
        <v>20.4</v>
      </c>
      <c r="U6390" s="1">
        <v>0.0</v>
      </c>
      <c r="V6390" s="1">
        <v>0.0</v>
      </c>
      <c r="W6390" s="1" t="s">
        <v>25</v>
      </c>
    </row>
    <row r="6391" ht="15.75" customHeight="1">
      <c r="A6391" s="1" t="s">
        <v>6428</v>
      </c>
      <c r="B6391" s="1" t="s">
        <v>24</v>
      </c>
      <c r="C6391" s="1">
        <v>0.0</v>
      </c>
      <c r="D6391" s="1" t="s">
        <v>25</v>
      </c>
      <c r="E6391" s="1" t="s">
        <v>25</v>
      </c>
      <c r="F6391" s="1">
        <v>58.0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1">
        <v>19.55</v>
      </c>
      <c r="T6391" s="1">
        <v>1079.65</v>
      </c>
      <c r="U6391" s="1">
        <v>0.0</v>
      </c>
      <c r="V6391" s="1">
        <v>0.0</v>
      </c>
      <c r="W6391" s="1" t="s">
        <v>26</v>
      </c>
    </row>
    <row r="6392" ht="15.75" customHeight="1">
      <c r="A6392" s="1" t="s">
        <v>6429</v>
      </c>
      <c r="B6392" s="1" t="s">
        <v>32</v>
      </c>
      <c r="C6392" s="1">
        <v>0.0</v>
      </c>
      <c r="D6392" s="1" t="s">
        <v>25</v>
      </c>
      <c r="E6392" s="1" t="s">
        <v>25</v>
      </c>
      <c r="F6392" s="1">
        <v>70.0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1">
        <v>106.15</v>
      </c>
      <c r="T6392" s="1">
        <v>7475.1</v>
      </c>
      <c r="U6392" s="1">
        <v>0.0</v>
      </c>
      <c r="V6392" s="1">
        <v>0.0</v>
      </c>
      <c r="W6392" s="1" t="s">
        <v>26</v>
      </c>
    </row>
    <row r="6393" ht="15.75" customHeight="1">
      <c r="A6393" s="1" t="s">
        <v>6430</v>
      </c>
      <c r="B6393" s="1" t="s">
        <v>32</v>
      </c>
      <c r="C6393" s="1">
        <v>0.0</v>
      </c>
      <c r="D6393" s="1" t="s">
        <v>25</v>
      </c>
      <c r="E6393" s="1" t="s">
        <v>25</v>
      </c>
      <c r="F6393" s="1">
        <v>38.0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1">
        <v>78.95</v>
      </c>
      <c r="T6393" s="1">
        <v>2862.55</v>
      </c>
      <c r="U6393" s="1">
        <v>0.0</v>
      </c>
      <c r="V6393" s="1">
        <v>0.0</v>
      </c>
      <c r="W6393" s="1" t="s">
        <v>26</v>
      </c>
    </row>
    <row r="6394" ht="15.75" customHeight="1">
      <c r="A6394" s="1" t="s">
        <v>6431</v>
      </c>
      <c r="B6394" s="1" t="s">
        <v>24</v>
      </c>
      <c r="C6394" s="1">
        <v>0.0</v>
      </c>
      <c r="D6394" s="1" t="s">
        <v>25</v>
      </c>
      <c r="E6394" s="1" t="s">
        <v>25</v>
      </c>
      <c r="F6394" s="1">
        <v>60.0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1">
        <v>49.75</v>
      </c>
      <c r="T6394" s="1">
        <v>3069.45</v>
      </c>
      <c r="U6394" s="1">
        <v>4.0</v>
      </c>
      <c r="V6394" s="1">
        <v>0.0</v>
      </c>
      <c r="W6394" s="1" t="s">
        <v>26</v>
      </c>
    </row>
    <row r="6395" ht="15.75" customHeight="1">
      <c r="A6395" s="1" t="s">
        <v>6432</v>
      </c>
      <c r="B6395" s="1" t="s">
        <v>32</v>
      </c>
      <c r="C6395" s="1">
        <v>0.0</v>
      </c>
      <c r="D6395" s="1" t="s">
        <v>26</v>
      </c>
      <c r="E6395" s="1" t="s">
        <v>26</v>
      </c>
      <c r="F6395" s="1">
        <v>26.0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1">
        <v>92.4</v>
      </c>
      <c r="T6395" s="1">
        <v>2349.8</v>
      </c>
      <c r="U6395" s="1">
        <v>0.0</v>
      </c>
      <c r="V6395" s="1">
        <v>0.0</v>
      </c>
      <c r="W6395" s="1" t="s">
        <v>26</v>
      </c>
    </row>
    <row r="6396" ht="15.75" customHeight="1">
      <c r="A6396" s="1" t="s">
        <v>6433</v>
      </c>
      <c r="B6396" s="1" t="s">
        <v>24</v>
      </c>
      <c r="C6396" s="1">
        <v>0.0</v>
      </c>
      <c r="D6396" s="1" t="s">
        <v>26</v>
      </c>
      <c r="E6396" s="1" t="s">
        <v>26</v>
      </c>
      <c r="F6396" s="1">
        <v>8.0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1">
        <v>58.2</v>
      </c>
      <c r="T6396" s="1">
        <v>469.25</v>
      </c>
      <c r="U6396" s="1">
        <v>0.0</v>
      </c>
      <c r="V6396" s="1">
        <v>0.0</v>
      </c>
      <c r="W6396" s="1" t="s">
        <v>26</v>
      </c>
    </row>
    <row r="6397" ht="15.75" customHeight="1">
      <c r="A6397" s="1" t="s">
        <v>6434</v>
      </c>
      <c r="B6397" s="1" t="s">
        <v>32</v>
      </c>
      <c r="C6397" s="1">
        <v>0.0</v>
      </c>
      <c r="D6397" s="1" t="s">
        <v>25</v>
      </c>
      <c r="E6397" s="1" t="s">
        <v>25</v>
      </c>
      <c r="F6397" s="1">
        <v>41.0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1">
        <v>102.6</v>
      </c>
      <c r="T6397" s="1">
        <v>4213.35</v>
      </c>
      <c r="U6397" s="1">
        <v>0.0</v>
      </c>
      <c r="V6397" s="1">
        <v>4.0</v>
      </c>
      <c r="W6397" s="1" t="s">
        <v>25</v>
      </c>
    </row>
    <row r="6398" ht="15.75" customHeight="1">
      <c r="A6398" s="1" t="s">
        <v>6435</v>
      </c>
      <c r="B6398" s="1" t="s">
        <v>24</v>
      </c>
      <c r="C6398" s="1">
        <v>1.0</v>
      </c>
      <c r="D6398" s="1" t="s">
        <v>25</v>
      </c>
      <c r="E6398" s="1" t="s">
        <v>26</v>
      </c>
      <c r="F6398" s="1">
        <v>36.0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1">
        <v>91.95</v>
      </c>
      <c r="T6398" s="1">
        <v>3301.05</v>
      </c>
      <c r="U6398" s="1">
        <v>0.0</v>
      </c>
      <c r="V6398" s="1">
        <v>0.0</v>
      </c>
      <c r="W6398" s="1" t="s">
        <v>26</v>
      </c>
    </row>
    <row r="6399" ht="15.75" customHeight="1">
      <c r="A6399" s="1" t="s">
        <v>6436</v>
      </c>
      <c r="B6399" s="1" t="s">
        <v>32</v>
      </c>
      <c r="C6399" s="1">
        <v>1.0</v>
      </c>
      <c r="D6399" s="1" t="s">
        <v>26</v>
      </c>
      <c r="E6399" s="1" t="s">
        <v>26</v>
      </c>
      <c r="F6399" s="1">
        <v>54.0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1">
        <v>65.25</v>
      </c>
      <c r="T6399" s="1">
        <v>3529.95</v>
      </c>
      <c r="U6399" s="1">
        <v>0.0</v>
      </c>
      <c r="V6399" s="1">
        <v>0.0</v>
      </c>
      <c r="W6399" s="1" t="s">
        <v>26</v>
      </c>
    </row>
    <row r="6400" ht="15.75" customHeight="1">
      <c r="A6400" s="1" t="s">
        <v>6437</v>
      </c>
      <c r="B6400" s="1" t="s">
        <v>32</v>
      </c>
      <c r="C6400" s="1">
        <v>0.0</v>
      </c>
      <c r="D6400" s="1" t="s">
        <v>25</v>
      </c>
      <c r="E6400" s="1" t="s">
        <v>25</v>
      </c>
      <c r="F6400" s="1">
        <v>71.0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1">
        <v>106.0</v>
      </c>
      <c r="T6400" s="1">
        <v>7723.7</v>
      </c>
      <c r="U6400" s="1">
        <v>3.0</v>
      </c>
      <c r="V6400" s="1">
        <v>7.0</v>
      </c>
      <c r="W6400" s="1" t="s">
        <v>25</v>
      </c>
    </row>
    <row r="6401" ht="15.75" customHeight="1">
      <c r="A6401" s="1" t="s">
        <v>6438</v>
      </c>
      <c r="B6401" s="1" t="s">
        <v>24</v>
      </c>
      <c r="C6401" s="1">
        <v>0.0</v>
      </c>
      <c r="D6401" s="1" t="s">
        <v>26</v>
      </c>
      <c r="E6401" s="1" t="s">
        <v>26</v>
      </c>
      <c r="F6401" s="1">
        <v>55.0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1">
        <v>73.1</v>
      </c>
      <c r="T6401" s="1">
        <v>4144.9</v>
      </c>
      <c r="U6401" s="1">
        <v>0.0</v>
      </c>
      <c r="V6401" s="1">
        <v>0.0</v>
      </c>
      <c r="W6401" s="1" t="s">
        <v>26</v>
      </c>
    </row>
    <row r="6402" ht="15.75" customHeight="1">
      <c r="A6402" s="1" t="s">
        <v>6439</v>
      </c>
      <c r="B6402" s="1" t="s">
        <v>24</v>
      </c>
      <c r="C6402" s="1">
        <v>0.0</v>
      </c>
      <c r="D6402" s="1" t="s">
        <v>26</v>
      </c>
      <c r="E6402" s="1" t="s">
        <v>26</v>
      </c>
      <c r="F6402" s="1">
        <v>72.0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1">
        <v>59.75</v>
      </c>
      <c r="T6402" s="1">
        <v>4265.0</v>
      </c>
      <c r="U6402" s="1">
        <v>0.0</v>
      </c>
      <c r="V6402" s="1">
        <v>0.0</v>
      </c>
      <c r="W6402" s="1" t="s">
        <v>26</v>
      </c>
    </row>
    <row r="6403" ht="15.75" customHeight="1">
      <c r="A6403" s="1" t="s">
        <v>6440</v>
      </c>
      <c r="B6403" s="1" t="s">
        <v>24</v>
      </c>
      <c r="C6403" s="1">
        <v>0.0</v>
      </c>
      <c r="D6403" s="1" t="s">
        <v>26</v>
      </c>
      <c r="E6403" s="1" t="s">
        <v>25</v>
      </c>
      <c r="F6403" s="1">
        <v>3.0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1">
        <v>55.1</v>
      </c>
      <c r="T6403" s="1">
        <v>154.65</v>
      </c>
      <c r="U6403" s="1">
        <v>0.0</v>
      </c>
      <c r="V6403" s="1">
        <v>0.0</v>
      </c>
      <c r="W6403" s="1" t="s">
        <v>25</v>
      </c>
    </row>
    <row r="6404" ht="15.75" customHeight="1">
      <c r="A6404" s="1" t="s">
        <v>6441</v>
      </c>
      <c r="B6404" s="1" t="s">
        <v>24</v>
      </c>
      <c r="C6404" s="1">
        <v>0.0</v>
      </c>
      <c r="D6404" s="1" t="s">
        <v>25</v>
      </c>
      <c r="E6404" s="1" t="s">
        <v>25</v>
      </c>
      <c r="F6404" s="1">
        <v>54.0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1">
        <v>59.8</v>
      </c>
      <c r="T6404" s="1">
        <v>3246.45</v>
      </c>
      <c r="U6404" s="1">
        <v>0.0</v>
      </c>
      <c r="V6404" s="1">
        <v>0.0</v>
      </c>
      <c r="W6404" s="1" t="s">
        <v>26</v>
      </c>
    </row>
    <row r="6405" ht="15.75" customHeight="1">
      <c r="A6405" s="1" t="s">
        <v>6442</v>
      </c>
      <c r="B6405" s="1" t="s">
        <v>32</v>
      </c>
      <c r="C6405" s="1">
        <v>0.0</v>
      </c>
      <c r="D6405" s="1" t="s">
        <v>25</v>
      </c>
      <c r="E6405" s="1" t="s">
        <v>25</v>
      </c>
      <c r="F6405" s="1">
        <v>72.0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1">
        <v>116.6</v>
      </c>
      <c r="T6405" s="1">
        <v>8337.45</v>
      </c>
      <c r="U6405" s="1">
        <v>0.0</v>
      </c>
      <c r="V6405" s="1">
        <v>0.0</v>
      </c>
      <c r="W6405" s="1" t="s">
        <v>26</v>
      </c>
    </row>
    <row r="6406" ht="15.75" customHeight="1">
      <c r="A6406" s="1" t="s">
        <v>6443</v>
      </c>
      <c r="B6406" s="1" t="s">
        <v>32</v>
      </c>
      <c r="C6406" s="1">
        <v>0.0</v>
      </c>
      <c r="D6406" s="1" t="s">
        <v>26</v>
      </c>
      <c r="E6406" s="1" t="s">
        <v>26</v>
      </c>
      <c r="F6406" s="1">
        <v>52.0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1">
        <v>109.3</v>
      </c>
      <c r="T6406" s="1">
        <v>5731.4</v>
      </c>
      <c r="U6406" s="1">
        <v>1.0</v>
      </c>
      <c r="V6406" s="1">
        <v>0.0</v>
      </c>
      <c r="W6406" s="1" t="s">
        <v>26</v>
      </c>
    </row>
    <row r="6407" ht="15.75" customHeight="1">
      <c r="A6407" s="1" t="s">
        <v>6444</v>
      </c>
      <c r="B6407" s="1" t="s">
        <v>24</v>
      </c>
      <c r="C6407" s="1">
        <v>1.0</v>
      </c>
      <c r="D6407" s="1" t="s">
        <v>26</v>
      </c>
      <c r="E6407" s="1" t="s">
        <v>26</v>
      </c>
      <c r="F6407" s="1">
        <v>60.0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1">
        <v>101.4</v>
      </c>
      <c r="T6407" s="1">
        <v>6176.6</v>
      </c>
      <c r="U6407" s="1">
        <v>3.0</v>
      </c>
      <c r="V6407" s="1">
        <v>5.0</v>
      </c>
      <c r="W6407" s="1" t="s">
        <v>26</v>
      </c>
    </row>
    <row r="6408" ht="15.75" customHeight="1">
      <c r="A6408" s="1" t="s">
        <v>6445</v>
      </c>
      <c r="B6408" s="1" t="s">
        <v>24</v>
      </c>
      <c r="C6408" s="1">
        <v>0.0</v>
      </c>
      <c r="D6408" s="1" t="s">
        <v>26</v>
      </c>
      <c r="E6408" s="1" t="s">
        <v>26</v>
      </c>
      <c r="F6408" s="1">
        <v>39.0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1">
        <v>50.65</v>
      </c>
      <c r="T6408" s="1">
        <v>1905.4</v>
      </c>
      <c r="U6408" s="1">
        <v>0.0</v>
      </c>
      <c r="V6408" s="1">
        <v>0.0</v>
      </c>
      <c r="W6408" s="1" t="s">
        <v>26</v>
      </c>
    </row>
    <row r="6409" ht="15.75" customHeight="1">
      <c r="A6409" s="1" t="s">
        <v>6446</v>
      </c>
      <c r="B6409" s="1" t="s">
        <v>24</v>
      </c>
      <c r="C6409" s="1">
        <v>0.0</v>
      </c>
      <c r="D6409" s="1" t="s">
        <v>26</v>
      </c>
      <c r="E6409" s="1" t="s">
        <v>26</v>
      </c>
      <c r="F6409" s="1">
        <v>15.0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1">
        <v>56.15</v>
      </c>
      <c r="T6409" s="1">
        <v>931.9</v>
      </c>
      <c r="U6409" s="1">
        <v>0.0</v>
      </c>
      <c r="V6409" s="1">
        <v>0.0</v>
      </c>
      <c r="W6409" s="1" t="s">
        <v>26</v>
      </c>
    </row>
    <row r="6410" ht="15.75" customHeight="1">
      <c r="A6410" s="1" t="s">
        <v>6447</v>
      </c>
      <c r="B6410" s="1" t="s">
        <v>32</v>
      </c>
      <c r="C6410" s="1">
        <v>0.0</v>
      </c>
      <c r="D6410" s="1" t="s">
        <v>26</v>
      </c>
      <c r="E6410" s="1" t="s">
        <v>26</v>
      </c>
      <c r="F6410" s="1">
        <v>69.0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1">
        <v>106.5</v>
      </c>
      <c r="T6410" s="1">
        <v>7348.8</v>
      </c>
      <c r="U6410" s="1">
        <v>0.0</v>
      </c>
      <c r="V6410" s="1">
        <v>8.0</v>
      </c>
      <c r="W6410" s="1" t="s">
        <v>25</v>
      </c>
    </row>
    <row r="6411" ht="15.75" customHeight="1">
      <c r="A6411" s="1" t="s">
        <v>6448</v>
      </c>
      <c r="B6411" s="1" t="s">
        <v>32</v>
      </c>
      <c r="C6411" s="1">
        <v>0.0</v>
      </c>
      <c r="D6411" s="1" t="s">
        <v>25</v>
      </c>
      <c r="E6411" s="1" t="s">
        <v>25</v>
      </c>
      <c r="F6411" s="1">
        <v>43.0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1">
        <v>19.2</v>
      </c>
      <c r="T6411" s="1">
        <v>776.25</v>
      </c>
      <c r="U6411" s="1">
        <v>0.0</v>
      </c>
      <c r="V6411" s="1">
        <v>0.0</v>
      </c>
      <c r="W6411" s="1" t="s">
        <v>26</v>
      </c>
    </row>
    <row r="6412" ht="15.75" customHeight="1">
      <c r="A6412" s="1" t="s">
        <v>6449</v>
      </c>
      <c r="B6412" s="1" t="s">
        <v>24</v>
      </c>
      <c r="C6412" s="1">
        <v>1.0</v>
      </c>
      <c r="D6412" s="1" t="s">
        <v>26</v>
      </c>
      <c r="E6412" s="1" t="s">
        <v>26</v>
      </c>
      <c r="F6412" s="1">
        <v>63.0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1">
        <v>83.0</v>
      </c>
      <c r="T6412" s="1">
        <v>5243.05</v>
      </c>
      <c r="U6412" s="1">
        <v>0.0</v>
      </c>
      <c r="V6412" s="1">
        <v>0.0</v>
      </c>
      <c r="W6412" s="1" t="s">
        <v>26</v>
      </c>
    </row>
    <row r="6413" ht="15.75" customHeight="1">
      <c r="A6413" s="1" t="s">
        <v>6450</v>
      </c>
      <c r="B6413" s="1" t="s">
        <v>32</v>
      </c>
      <c r="C6413" s="1">
        <v>1.0</v>
      </c>
      <c r="D6413" s="1" t="s">
        <v>25</v>
      </c>
      <c r="E6413" s="1" t="s">
        <v>26</v>
      </c>
      <c r="F6413" s="1">
        <v>2.0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1">
        <v>70.1</v>
      </c>
      <c r="T6413" s="1">
        <v>141.65</v>
      </c>
      <c r="U6413" s="1">
        <v>0.0</v>
      </c>
      <c r="V6413" s="1">
        <v>0.0</v>
      </c>
      <c r="W6413" s="1" t="s">
        <v>26</v>
      </c>
    </row>
    <row r="6414" ht="15.75" customHeight="1">
      <c r="A6414" s="1" t="s">
        <v>6451</v>
      </c>
      <c r="B6414" s="1" t="s">
        <v>24</v>
      </c>
      <c r="C6414" s="1">
        <v>0.0</v>
      </c>
      <c r="D6414" s="1" t="s">
        <v>25</v>
      </c>
      <c r="E6414" s="1" t="s">
        <v>25</v>
      </c>
      <c r="F6414" s="1">
        <v>72.0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1">
        <v>108.3</v>
      </c>
      <c r="T6414" s="1">
        <v>7679.65</v>
      </c>
      <c r="U6414" s="1">
        <v>0.0</v>
      </c>
      <c r="V6414" s="1">
        <v>0.0</v>
      </c>
      <c r="W6414" s="1" t="s">
        <v>26</v>
      </c>
    </row>
    <row r="6415" ht="15.75" customHeight="1">
      <c r="A6415" s="1" t="s">
        <v>6452</v>
      </c>
      <c r="B6415" s="1" t="s">
        <v>24</v>
      </c>
      <c r="C6415" s="1">
        <v>0.0</v>
      </c>
      <c r="D6415" s="1" t="s">
        <v>25</v>
      </c>
      <c r="E6415" s="1" t="s">
        <v>25</v>
      </c>
      <c r="F6415" s="1">
        <v>32.0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1">
        <v>91.05</v>
      </c>
      <c r="T6415" s="1">
        <v>2954.5</v>
      </c>
      <c r="U6415" s="1">
        <v>0.0</v>
      </c>
      <c r="V6415" s="1">
        <v>3.0</v>
      </c>
      <c r="W6415" s="1" t="s">
        <v>25</v>
      </c>
    </row>
    <row r="6416" ht="15.75" customHeight="1">
      <c r="A6416" s="1" t="s">
        <v>6453</v>
      </c>
      <c r="B6416" s="1" t="s">
        <v>32</v>
      </c>
      <c r="C6416" s="1">
        <v>0.0</v>
      </c>
      <c r="D6416" s="1" t="s">
        <v>25</v>
      </c>
      <c r="E6416" s="1" t="s">
        <v>25</v>
      </c>
      <c r="F6416" s="1">
        <v>40.0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1">
        <v>25.25</v>
      </c>
      <c r="T6416" s="1">
        <v>1006.9</v>
      </c>
      <c r="U6416" s="1">
        <v>3.0</v>
      </c>
      <c r="V6416" s="1">
        <v>0.0</v>
      </c>
      <c r="W6416" s="1" t="s">
        <v>26</v>
      </c>
    </row>
    <row r="6417" ht="15.75" customHeight="1">
      <c r="A6417" s="1" t="s">
        <v>6454</v>
      </c>
      <c r="B6417" s="1" t="s">
        <v>24</v>
      </c>
      <c r="C6417" s="1">
        <v>0.0</v>
      </c>
      <c r="D6417" s="1" t="s">
        <v>25</v>
      </c>
      <c r="E6417" s="1" t="s">
        <v>26</v>
      </c>
      <c r="F6417" s="1">
        <v>58.0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1">
        <v>45.35</v>
      </c>
      <c r="T6417" s="1">
        <v>2540.1</v>
      </c>
      <c r="U6417" s="1">
        <v>0.0</v>
      </c>
      <c r="V6417" s="1">
        <v>0.0</v>
      </c>
      <c r="W6417" s="1" t="s">
        <v>26</v>
      </c>
    </row>
    <row r="6418" ht="15.75" customHeight="1">
      <c r="A6418" s="1" t="s">
        <v>6455</v>
      </c>
      <c r="B6418" s="1" t="s">
        <v>32</v>
      </c>
      <c r="C6418" s="1">
        <v>0.0</v>
      </c>
      <c r="D6418" s="1" t="s">
        <v>26</v>
      </c>
      <c r="E6418" s="1" t="s">
        <v>26</v>
      </c>
      <c r="F6418" s="1">
        <v>67.0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1">
        <v>43.9</v>
      </c>
      <c r="T6418" s="1">
        <v>3097.2</v>
      </c>
      <c r="U6418" s="1">
        <v>0.0</v>
      </c>
      <c r="V6418" s="1">
        <v>0.0</v>
      </c>
      <c r="W6418" s="1" t="s">
        <v>26</v>
      </c>
    </row>
    <row r="6419" ht="15.75" customHeight="1">
      <c r="A6419" s="1" t="s">
        <v>6456</v>
      </c>
      <c r="B6419" s="1" t="s">
        <v>24</v>
      </c>
      <c r="C6419" s="1">
        <v>1.0</v>
      </c>
      <c r="D6419" s="1" t="s">
        <v>25</v>
      </c>
      <c r="E6419" s="1" t="s">
        <v>26</v>
      </c>
      <c r="F6419" s="1">
        <v>51.0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1">
        <v>77.5</v>
      </c>
      <c r="T6419" s="1">
        <v>3807.35</v>
      </c>
      <c r="U6419" s="1">
        <v>0.0</v>
      </c>
      <c r="V6419" s="1">
        <v>0.0</v>
      </c>
      <c r="W6419" s="1" t="s">
        <v>25</v>
      </c>
    </row>
    <row r="6420" ht="15.75" customHeight="1">
      <c r="A6420" s="1" t="s">
        <v>6457</v>
      </c>
      <c r="B6420" s="1" t="s">
        <v>32</v>
      </c>
      <c r="C6420" s="1">
        <v>0.0</v>
      </c>
      <c r="D6420" s="1" t="s">
        <v>25</v>
      </c>
      <c r="E6420" s="1" t="s">
        <v>26</v>
      </c>
      <c r="F6420" s="1">
        <v>31.0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1">
        <v>79.3</v>
      </c>
      <c r="T6420" s="1">
        <v>2484.0</v>
      </c>
      <c r="U6420" s="1">
        <v>0.0</v>
      </c>
      <c r="V6420" s="1">
        <v>0.0</v>
      </c>
      <c r="W6420" s="1" t="s">
        <v>26</v>
      </c>
    </row>
    <row r="6421" ht="15.75" customHeight="1">
      <c r="A6421" s="1" t="s">
        <v>6458</v>
      </c>
      <c r="B6421" s="1" t="s">
        <v>32</v>
      </c>
      <c r="C6421" s="1">
        <v>1.0</v>
      </c>
      <c r="D6421" s="1" t="s">
        <v>25</v>
      </c>
      <c r="E6421" s="1" t="s">
        <v>26</v>
      </c>
      <c r="F6421" s="1">
        <v>69.0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1">
        <v>84.9</v>
      </c>
      <c r="T6421" s="1">
        <v>5785.65</v>
      </c>
      <c r="U6421" s="1">
        <v>0.0</v>
      </c>
      <c r="V6421" s="1">
        <v>0.0</v>
      </c>
      <c r="W6421" s="1" t="s">
        <v>26</v>
      </c>
    </row>
    <row r="6422" ht="15.75" customHeight="1">
      <c r="A6422" s="1" t="s">
        <v>6459</v>
      </c>
      <c r="B6422" s="1" t="s">
        <v>32</v>
      </c>
      <c r="C6422" s="1">
        <v>0.0</v>
      </c>
      <c r="D6422" s="1" t="s">
        <v>25</v>
      </c>
      <c r="E6422" s="1" t="s">
        <v>26</v>
      </c>
      <c r="F6422" s="1">
        <v>32.0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1">
        <v>79.25</v>
      </c>
      <c r="T6422" s="1">
        <v>2619.15</v>
      </c>
      <c r="U6422" s="1">
        <v>0.0</v>
      </c>
      <c r="V6422" s="1">
        <v>2.0</v>
      </c>
      <c r="W6422" s="1" t="s">
        <v>26</v>
      </c>
    </row>
    <row r="6423" ht="15.75" customHeight="1">
      <c r="A6423" s="1" t="s">
        <v>6460</v>
      </c>
      <c r="B6423" s="1" t="s">
        <v>24</v>
      </c>
      <c r="C6423" s="1">
        <v>0.0</v>
      </c>
      <c r="D6423" s="1" t="s">
        <v>26</v>
      </c>
      <c r="E6423" s="1" t="s">
        <v>26</v>
      </c>
      <c r="F6423" s="1">
        <v>21.0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1">
        <v>71.05</v>
      </c>
      <c r="T6423" s="1">
        <v>1524.85</v>
      </c>
      <c r="U6423" s="1">
        <v>0.0</v>
      </c>
      <c r="V6423" s="1">
        <v>0.0</v>
      </c>
      <c r="W6423" s="1" t="s">
        <v>26</v>
      </c>
    </row>
    <row r="6424" ht="15.75" customHeight="1">
      <c r="A6424" s="1" t="s">
        <v>6461</v>
      </c>
      <c r="B6424" s="1" t="s">
        <v>32</v>
      </c>
      <c r="C6424" s="1">
        <v>0.0</v>
      </c>
      <c r="D6424" s="1" t="s">
        <v>26</v>
      </c>
      <c r="E6424" s="1" t="s">
        <v>26</v>
      </c>
      <c r="F6424" s="1">
        <v>52.0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1">
        <v>53.75</v>
      </c>
      <c r="T6424" s="1">
        <v>2790.65</v>
      </c>
      <c r="U6424" s="1">
        <v>0.0</v>
      </c>
      <c r="V6424" s="1">
        <v>0.0</v>
      </c>
      <c r="W6424" s="1" t="s">
        <v>26</v>
      </c>
    </row>
    <row r="6425" ht="15.75" customHeight="1">
      <c r="A6425" s="1" t="s">
        <v>6462</v>
      </c>
      <c r="B6425" s="1" t="s">
        <v>24</v>
      </c>
      <c r="C6425" s="1">
        <v>0.0</v>
      </c>
      <c r="D6425" s="1" t="s">
        <v>25</v>
      </c>
      <c r="E6425" s="1" t="s">
        <v>25</v>
      </c>
      <c r="F6425" s="1">
        <v>72.0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1">
        <v>24.25</v>
      </c>
      <c r="T6425" s="1">
        <v>1784.5</v>
      </c>
      <c r="U6425" s="1">
        <v>0.0</v>
      </c>
      <c r="V6425" s="1">
        <v>0.0</v>
      </c>
      <c r="W6425" s="1" t="s">
        <v>26</v>
      </c>
    </row>
    <row r="6426" ht="15.75" customHeight="1">
      <c r="A6426" s="1" t="s">
        <v>6463</v>
      </c>
      <c r="B6426" s="1" t="s">
        <v>24</v>
      </c>
      <c r="C6426" s="1">
        <v>0.0</v>
      </c>
      <c r="D6426" s="1" t="s">
        <v>25</v>
      </c>
      <c r="E6426" s="1" t="s">
        <v>26</v>
      </c>
      <c r="F6426" s="1">
        <v>72.0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1">
        <v>54.2</v>
      </c>
      <c r="T6426" s="1">
        <v>3937.45</v>
      </c>
      <c r="U6426" s="1">
        <v>0.0</v>
      </c>
      <c r="V6426" s="1">
        <v>7.0</v>
      </c>
      <c r="W6426" s="1" t="s">
        <v>25</v>
      </c>
    </row>
    <row r="6427" ht="15.75" customHeight="1">
      <c r="A6427" s="1" t="s">
        <v>6464</v>
      </c>
      <c r="B6427" s="1" t="s">
        <v>32</v>
      </c>
      <c r="C6427" s="1">
        <v>0.0</v>
      </c>
      <c r="D6427" s="1" t="s">
        <v>25</v>
      </c>
      <c r="E6427" s="1" t="s">
        <v>25</v>
      </c>
      <c r="F6427" s="1">
        <v>52.0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1">
        <v>44.25</v>
      </c>
      <c r="T6427" s="1">
        <v>2276.1</v>
      </c>
      <c r="U6427" s="1">
        <v>0.0</v>
      </c>
      <c r="V6427" s="1">
        <v>0.0</v>
      </c>
      <c r="W6427" s="1" t="s">
        <v>26</v>
      </c>
    </row>
    <row r="6428" ht="15.75" customHeight="1">
      <c r="A6428" s="1" t="s">
        <v>6465</v>
      </c>
      <c r="B6428" s="1" t="s">
        <v>24</v>
      </c>
      <c r="C6428" s="1">
        <v>0.0</v>
      </c>
      <c r="D6428" s="1" t="s">
        <v>26</v>
      </c>
      <c r="E6428" s="1" t="s">
        <v>26</v>
      </c>
      <c r="F6428" s="1">
        <v>41.0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1">
        <v>50.05</v>
      </c>
      <c r="T6428" s="1">
        <v>2029.05</v>
      </c>
      <c r="U6428" s="1">
        <v>0.0</v>
      </c>
      <c r="V6428" s="1">
        <v>0.0</v>
      </c>
      <c r="W6428" s="1" t="s">
        <v>26</v>
      </c>
    </row>
    <row r="6429" ht="15.75" customHeight="1">
      <c r="A6429" s="1" t="s">
        <v>6466</v>
      </c>
      <c r="B6429" s="1" t="s">
        <v>32</v>
      </c>
      <c r="C6429" s="1">
        <v>0.0</v>
      </c>
      <c r="D6429" s="1" t="s">
        <v>26</v>
      </c>
      <c r="E6429" s="1" t="s">
        <v>26</v>
      </c>
      <c r="F6429" s="1">
        <v>41.0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1">
        <v>20.15</v>
      </c>
      <c r="T6429" s="1">
        <v>802.35</v>
      </c>
      <c r="U6429" s="1">
        <v>0.0</v>
      </c>
      <c r="V6429" s="1">
        <v>0.0</v>
      </c>
      <c r="W6429" s="1" t="s">
        <v>26</v>
      </c>
    </row>
    <row r="6430" ht="15.75" customHeight="1">
      <c r="A6430" s="1" t="s">
        <v>6467</v>
      </c>
      <c r="B6430" s="1" t="s">
        <v>24</v>
      </c>
      <c r="C6430" s="1">
        <v>0.0</v>
      </c>
      <c r="D6430" s="1" t="s">
        <v>26</v>
      </c>
      <c r="E6430" s="1" t="s">
        <v>26</v>
      </c>
      <c r="F6430" s="1">
        <v>6.0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1">
        <v>69.25</v>
      </c>
      <c r="T6430" s="1">
        <v>418.4</v>
      </c>
      <c r="U6430" s="1">
        <v>0.0</v>
      </c>
      <c r="V6430" s="1">
        <v>0.0</v>
      </c>
      <c r="W6430" s="1" t="s">
        <v>25</v>
      </c>
    </row>
    <row r="6431" ht="15.75" customHeight="1">
      <c r="A6431" s="1" t="s">
        <v>6468</v>
      </c>
      <c r="B6431" s="1" t="s">
        <v>32</v>
      </c>
      <c r="C6431" s="1">
        <v>0.0</v>
      </c>
      <c r="D6431" s="1" t="s">
        <v>25</v>
      </c>
      <c r="E6431" s="1" t="s">
        <v>25</v>
      </c>
      <c r="F6431" s="1">
        <v>67.0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1">
        <v>69.35</v>
      </c>
      <c r="T6431" s="1">
        <v>4653.25</v>
      </c>
      <c r="U6431" s="1">
        <v>0.0</v>
      </c>
      <c r="V6431" s="1">
        <v>0.0</v>
      </c>
      <c r="W6431" s="1" t="s">
        <v>26</v>
      </c>
    </row>
    <row r="6432" ht="15.75" customHeight="1">
      <c r="A6432" s="1" t="s">
        <v>6469</v>
      </c>
      <c r="B6432" s="1" t="s">
        <v>24</v>
      </c>
      <c r="C6432" s="1">
        <v>0.0</v>
      </c>
      <c r="D6432" s="1" t="s">
        <v>25</v>
      </c>
      <c r="E6432" s="1" t="s">
        <v>25</v>
      </c>
      <c r="F6432" s="1">
        <v>16.0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1">
        <v>19.35</v>
      </c>
      <c r="T6432" s="1">
        <v>275.9</v>
      </c>
      <c r="U6432" s="1">
        <v>0.0</v>
      </c>
      <c r="V6432" s="1">
        <v>0.0</v>
      </c>
      <c r="W6432" s="1" t="s">
        <v>26</v>
      </c>
    </row>
    <row r="6433" ht="15.75" customHeight="1">
      <c r="A6433" s="1" t="s">
        <v>6470</v>
      </c>
      <c r="B6433" s="1" t="s">
        <v>32</v>
      </c>
      <c r="C6433" s="1">
        <v>0.0</v>
      </c>
      <c r="D6433" s="1" t="s">
        <v>26</v>
      </c>
      <c r="E6433" s="1" t="s">
        <v>26</v>
      </c>
      <c r="F6433" s="1">
        <v>17.0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1">
        <v>19.15</v>
      </c>
      <c r="T6433" s="1">
        <v>343.45</v>
      </c>
      <c r="U6433" s="1">
        <v>0.0</v>
      </c>
      <c r="V6433" s="1">
        <v>0.0</v>
      </c>
      <c r="W6433" s="1" t="s">
        <v>26</v>
      </c>
    </row>
    <row r="6434" ht="15.75" customHeight="1">
      <c r="A6434" s="1" t="s">
        <v>6471</v>
      </c>
      <c r="B6434" s="1" t="s">
        <v>32</v>
      </c>
      <c r="C6434" s="1">
        <v>0.0</v>
      </c>
      <c r="D6434" s="1" t="s">
        <v>25</v>
      </c>
      <c r="E6434" s="1" t="s">
        <v>26</v>
      </c>
      <c r="F6434" s="1">
        <v>35.0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1">
        <v>61.0</v>
      </c>
      <c r="T6434" s="1">
        <v>2130.45</v>
      </c>
      <c r="U6434" s="1">
        <v>0.0</v>
      </c>
      <c r="V6434" s="1">
        <v>0.0</v>
      </c>
      <c r="W6434" s="1" t="s">
        <v>26</v>
      </c>
    </row>
    <row r="6435" ht="15.75" customHeight="1">
      <c r="A6435" s="1" t="s">
        <v>6472</v>
      </c>
      <c r="B6435" s="1" t="s">
        <v>24</v>
      </c>
      <c r="C6435" s="1">
        <v>0.0</v>
      </c>
      <c r="D6435" s="1" t="s">
        <v>25</v>
      </c>
      <c r="E6435" s="1" t="s">
        <v>25</v>
      </c>
      <c r="F6435" s="1">
        <v>58.0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1">
        <v>20.5</v>
      </c>
      <c r="T6435" s="1">
        <v>1191.4</v>
      </c>
      <c r="U6435" s="1">
        <v>4.0</v>
      </c>
      <c r="V6435" s="1">
        <v>0.0</v>
      </c>
      <c r="W6435" s="1" t="s">
        <v>26</v>
      </c>
    </row>
    <row r="6436" ht="15.75" customHeight="1">
      <c r="A6436" s="1" t="s">
        <v>6473</v>
      </c>
      <c r="B6436" s="1" t="s">
        <v>32</v>
      </c>
      <c r="C6436" s="1">
        <v>0.0</v>
      </c>
      <c r="D6436" s="1" t="s">
        <v>26</v>
      </c>
      <c r="E6436" s="1" t="s">
        <v>26</v>
      </c>
      <c r="F6436" s="1">
        <v>1.0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1">
        <v>50.5</v>
      </c>
      <c r="T6436" s="1">
        <v>50.5</v>
      </c>
      <c r="U6436" s="1">
        <v>0.0</v>
      </c>
      <c r="V6436" s="1">
        <v>0.0</v>
      </c>
      <c r="W6436" s="1" t="s">
        <v>25</v>
      </c>
    </row>
    <row r="6437" ht="15.75" customHeight="1">
      <c r="A6437" s="1" t="s">
        <v>6474</v>
      </c>
      <c r="B6437" s="1" t="s">
        <v>32</v>
      </c>
      <c r="C6437" s="1">
        <v>0.0</v>
      </c>
      <c r="D6437" s="1" t="s">
        <v>25</v>
      </c>
      <c r="E6437" s="1" t="s">
        <v>25</v>
      </c>
      <c r="F6437" s="1">
        <v>52.0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1">
        <v>50.2</v>
      </c>
      <c r="T6437" s="1">
        <v>2554.0</v>
      </c>
      <c r="U6437" s="1">
        <v>0.0</v>
      </c>
      <c r="V6437" s="1">
        <v>2.0</v>
      </c>
      <c r="W6437" s="1" t="s">
        <v>26</v>
      </c>
    </row>
    <row r="6438" ht="15.75" customHeight="1">
      <c r="A6438" s="1" t="s">
        <v>6475</v>
      </c>
      <c r="B6438" s="1" t="s">
        <v>24</v>
      </c>
      <c r="C6438" s="1">
        <v>0.0</v>
      </c>
      <c r="D6438" s="1" t="s">
        <v>26</v>
      </c>
      <c r="E6438" s="1" t="s">
        <v>26</v>
      </c>
      <c r="F6438" s="1">
        <v>70.0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1">
        <v>79.6</v>
      </c>
      <c r="T6438" s="1">
        <v>5589.45</v>
      </c>
      <c r="U6438" s="1">
        <v>0.0</v>
      </c>
      <c r="V6438" s="1">
        <v>0.0</v>
      </c>
      <c r="W6438" s="1" t="s">
        <v>26</v>
      </c>
    </row>
    <row r="6439" ht="15.75" customHeight="1">
      <c r="A6439" s="1" t="s">
        <v>6476</v>
      </c>
      <c r="B6439" s="1" t="s">
        <v>24</v>
      </c>
      <c r="C6439" s="1">
        <v>0.0</v>
      </c>
      <c r="D6439" s="1" t="s">
        <v>25</v>
      </c>
      <c r="E6439" s="1" t="s">
        <v>25</v>
      </c>
      <c r="F6439" s="1">
        <v>19.0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1">
        <v>24.9</v>
      </c>
      <c r="T6439" s="1">
        <v>467.7</v>
      </c>
      <c r="U6439" s="1">
        <v>0.0</v>
      </c>
      <c r="V6439" s="1">
        <v>0.0</v>
      </c>
      <c r="W6439" s="1" t="s">
        <v>26</v>
      </c>
    </row>
    <row r="6440" ht="15.75" customHeight="1">
      <c r="A6440" s="1" t="s">
        <v>6477</v>
      </c>
      <c r="B6440" s="1" t="s">
        <v>32</v>
      </c>
      <c r="C6440" s="1">
        <v>1.0</v>
      </c>
      <c r="D6440" s="1" t="s">
        <v>26</v>
      </c>
      <c r="E6440" s="1" t="s">
        <v>26</v>
      </c>
      <c r="F6440" s="1">
        <v>1.0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1">
        <v>74.4</v>
      </c>
      <c r="T6440" s="1">
        <v>74.4</v>
      </c>
      <c r="U6440" s="1">
        <v>0.0</v>
      </c>
      <c r="V6440" s="1">
        <v>0.0</v>
      </c>
      <c r="W6440" s="1" t="s">
        <v>25</v>
      </c>
    </row>
    <row r="6441" ht="15.75" customHeight="1">
      <c r="A6441" s="1" t="s">
        <v>6478</v>
      </c>
      <c r="B6441" s="1" t="s">
        <v>24</v>
      </c>
      <c r="C6441" s="1">
        <v>0.0</v>
      </c>
      <c r="D6441" s="1" t="s">
        <v>25</v>
      </c>
      <c r="E6441" s="1" t="s">
        <v>25</v>
      </c>
      <c r="F6441" s="1">
        <v>35.0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1">
        <v>106.9</v>
      </c>
      <c r="T6441" s="1">
        <v>3756.45</v>
      </c>
      <c r="U6441" s="1">
        <v>4.0</v>
      </c>
      <c r="V6441" s="1">
        <v>0.0</v>
      </c>
      <c r="W6441" s="1" t="s">
        <v>26</v>
      </c>
    </row>
    <row r="6442" ht="15.75" customHeight="1">
      <c r="A6442" s="1" t="s">
        <v>6479</v>
      </c>
      <c r="B6442" s="1" t="s">
        <v>24</v>
      </c>
      <c r="C6442" s="1">
        <v>0.0</v>
      </c>
      <c r="D6442" s="1" t="s">
        <v>26</v>
      </c>
      <c r="E6442" s="1" t="s">
        <v>26</v>
      </c>
      <c r="F6442" s="1">
        <v>32.0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1">
        <v>101.35</v>
      </c>
      <c r="T6442" s="1">
        <v>3334.9</v>
      </c>
      <c r="U6442" s="1">
        <v>0.0</v>
      </c>
      <c r="V6442" s="1">
        <v>0.0</v>
      </c>
      <c r="W6442" s="1" t="s">
        <v>26</v>
      </c>
    </row>
    <row r="6443" ht="15.75" customHeight="1">
      <c r="A6443" s="1" t="s">
        <v>6480</v>
      </c>
      <c r="B6443" s="1" t="s">
        <v>24</v>
      </c>
      <c r="C6443" s="1">
        <v>0.0</v>
      </c>
      <c r="D6443" s="1" t="s">
        <v>25</v>
      </c>
      <c r="E6443" s="1" t="s">
        <v>25</v>
      </c>
      <c r="F6443" s="1">
        <v>17.0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1">
        <v>55.35</v>
      </c>
      <c r="T6443" s="1">
        <v>920.5</v>
      </c>
      <c r="U6443" s="1">
        <v>0.0</v>
      </c>
      <c r="V6443" s="1">
        <v>0.0</v>
      </c>
      <c r="W6443" s="1" t="s">
        <v>26</v>
      </c>
    </row>
    <row r="6444" ht="15.75" customHeight="1">
      <c r="A6444" s="1" t="s">
        <v>6481</v>
      </c>
      <c r="B6444" s="1" t="s">
        <v>24</v>
      </c>
      <c r="C6444" s="1">
        <v>0.0</v>
      </c>
      <c r="D6444" s="1" t="s">
        <v>25</v>
      </c>
      <c r="E6444" s="1" t="s">
        <v>25</v>
      </c>
      <c r="F6444" s="1">
        <v>67.0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1">
        <v>50.55</v>
      </c>
      <c r="T6444" s="1">
        <v>3431.75</v>
      </c>
      <c r="U6444" s="1">
        <v>0.0</v>
      </c>
      <c r="V6444" s="1">
        <v>0.0</v>
      </c>
      <c r="W6444" s="1" t="s">
        <v>26</v>
      </c>
    </row>
    <row r="6445" ht="15.75" customHeight="1">
      <c r="A6445" s="1" t="s">
        <v>6482</v>
      </c>
      <c r="B6445" s="1" t="s">
        <v>24</v>
      </c>
      <c r="C6445" s="1">
        <v>0.0</v>
      </c>
      <c r="D6445" s="1" t="s">
        <v>26</v>
      </c>
      <c r="E6445" s="1" t="s">
        <v>26</v>
      </c>
      <c r="F6445" s="1">
        <v>9.0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1">
        <v>19.5</v>
      </c>
      <c r="T6445" s="1">
        <v>150.35</v>
      </c>
      <c r="U6445" s="1">
        <v>0.0</v>
      </c>
      <c r="V6445" s="1">
        <v>0.0</v>
      </c>
      <c r="W6445" s="1" t="s">
        <v>26</v>
      </c>
    </row>
    <row r="6446" ht="15.75" customHeight="1">
      <c r="A6446" s="1" t="s">
        <v>6483</v>
      </c>
      <c r="B6446" s="1" t="s">
        <v>32</v>
      </c>
      <c r="C6446" s="1">
        <v>0.0</v>
      </c>
      <c r="D6446" s="1" t="s">
        <v>26</v>
      </c>
      <c r="E6446" s="1" t="s">
        <v>25</v>
      </c>
      <c r="F6446" s="1">
        <v>31.0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1">
        <v>79.45</v>
      </c>
      <c r="T6446" s="1">
        <v>2587.7</v>
      </c>
      <c r="U6446" s="1">
        <v>0.0</v>
      </c>
      <c r="V6446" s="1">
        <v>4.0</v>
      </c>
      <c r="W6446" s="1" t="s">
        <v>25</v>
      </c>
    </row>
    <row r="6447" ht="15.75" customHeight="1">
      <c r="A6447" s="1" t="s">
        <v>6484</v>
      </c>
      <c r="B6447" s="1" t="s">
        <v>32</v>
      </c>
      <c r="C6447" s="1">
        <v>0.0</v>
      </c>
      <c r="D6447" s="1" t="s">
        <v>26</v>
      </c>
      <c r="E6447" s="1" t="s">
        <v>26</v>
      </c>
      <c r="F6447" s="1">
        <v>4.0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1">
        <v>90.65</v>
      </c>
      <c r="T6447" s="1">
        <v>367.95</v>
      </c>
      <c r="U6447" s="1">
        <v>0.0</v>
      </c>
      <c r="V6447" s="1">
        <v>0.0</v>
      </c>
      <c r="W6447" s="1" t="s">
        <v>26</v>
      </c>
    </row>
    <row r="6448" ht="15.75" customHeight="1">
      <c r="A6448" s="1" t="s">
        <v>6485</v>
      </c>
      <c r="B6448" s="1" t="s">
        <v>32</v>
      </c>
      <c r="C6448" s="1">
        <v>1.0</v>
      </c>
      <c r="D6448" s="1" t="s">
        <v>25</v>
      </c>
      <c r="E6448" s="1" t="s">
        <v>25</v>
      </c>
      <c r="F6448" s="1">
        <v>58.0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1">
        <v>89.85</v>
      </c>
      <c r="T6448" s="1">
        <v>5125.75</v>
      </c>
      <c r="U6448" s="1">
        <v>0.0</v>
      </c>
      <c r="V6448" s="1">
        <v>0.0</v>
      </c>
      <c r="W6448" s="1" t="s">
        <v>26</v>
      </c>
    </row>
    <row r="6449" ht="15.75" customHeight="1">
      <c r="A6449" s="1" t="s">
        <v>6486</v>
      </c>
      <c r="B6449" s="1" t="s">
        <v>32</v>
      </c>
      <c r="C6449" s="1">
        <v>0.0</v>
      </c>
      <c r="D6449" s="1" t="s">
        <v>26</v>
      </c>
      <c r="E6449" s="1" t="s">
        <v>26</v>
      </c>
      <c r="F6449" s="1">
        <v>60.0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1">
        <v>79.0</v>
      </c>
      <c r="T6449" s="1">
        <v>4801.1</v>
      </c>
      <c r="U6449" s="1">
        <v>3.0</v>
      </c>
      <c r="V6449" s="1">
        <v>0.0</v>
      </c>
      <c r="W6449" s="1" t="s">
        <v>26</v>
      </c>
    </row>
    <row r="6450" ht="15.75" customHeight="1">
      <c r="A6450" s="1" t="s">
        <v>6487</v>
      </c>
      <c r="B6450" s="1" t="s">
        <v>32</v>
      </c>
      <c r="C6450" s="1">
        <v>0.0</v>
      </c>
      <c r="D6450" s="1" t="s">
        <v>26</v>
      </c>
      <c r="E6450" s="1" t="s">
        <v>26</v>
      </c>
      <c r="F6450" s="1">
        <v>58.0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1">
        <v>104.65</v>
      </c>
      <c r="T6450" s="1">
        <v>6219.6</v>
      </c>
      <c r="U6450" s="1">
        <v>0.0</v>
      </c>
      <c r="V6450" s="1">
        <v>5.0</v>
      </c>
      <c r="W6450" s="1" t="s">
        <v>25</v>
      </c>
    </row>
    <row r="6451" ht="15.75" customHeight="1">
      <c r="A6451" s="1" t="s">
        <v>6488</v>
      </c>
      <c r="B6451" s="1" t="s">
        <v>32</v>
      </c>
      <c r="C6451" s="1">
        <v>0.0</v>
      </c>
      <c r="D6451" s="1" t="s">
        <v>26</v>
      </c>
      <c r="E6451" s="1" t="s">
        <v>26</v>
      </c>
      <c r="F6451" s="1">
        <v>1.0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1">
        <v>19.55</v>
      </c>
      <c r="T6451" s="1">
        <v>19.55</v>
      </c>
      <c r="U6451" s="1">
        <v>4.0</v>
      </c>
      <c r="V6451" s="1">
        <v>0.0</v>
      </c>
      <c r="W6451" s="1" t="s">
        <v>26</v>
      </c>
    </row>
    <row r="6452" ht="15.75" customHeight="1">
      <c r="A6452" s="1" t="s">
        <v>6489</v>
      </c>
      <c r="B6452" s="1" t="s">
        <v>24</v>
      </c>
      <c r="C6452" s="1">
        <v>0.0</v>
      </c>
      <c r="D6452" s="1" t="s">
        <v>25</v>
      </c>
      <c r="E6452" s="1" t="s">
        <v>25</v>
      </c>
      <c r="F6452" s="1">
        <v>27.0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1">
        <v>19.9</v>
      </c>
      <c r="T6452" s="1">
        <v>550.1</v>
      </c>
      <c r="U6452" s="1">
        <v>0.0</v>
      </c>
      <c r="V6452" s="1">
        <v>0.0</v>
      </c>
      <c r="W6452" s="1" t="s">
        <v>26</v>
      </c>
    </row>
    <row r="6453" ht="15.75" customHeight="1">
      <c r="A6453" s="1" t="s">
        <v>6490</v>
      </c>
      <c r="B6453" s="1" t="s">
        <v>32</v>
      </c>
      <c r="C6453" s="1">
        <v>1.0</v>
      </c>
      <c r="D6453" s="1" t="s">
        <v>25</v>
      </c>
      <c r="E6453" s="1" t="s">
        <v>25</v>
      </c>
      <c r="F6453" s="1">
        <v>66.0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1">
        <v>116.25</v>
      </c>
      <c r="T6453" s="1">
        <v>7862.25</v>
      </c>
      <c r="U6453" s="1">
        <v>0.0</v>
      </c>
      <c r="V6453" s="1">
        <v>0.0</v>
      </c>
      <c r="W6453" s="1" t="s">
        <v>26</v>
      </c>
    </row>
    <row r="6454" ht="15.75" customHeight="1">
      <c r="A6454" s="1" t="s">
        <v>6491</v>
      </c>
      <c r="B6454" s="1" t="s">
        <v>32</v>
      </c>
      <c r="C6454" s="1">
        <v>0.0</v>
      </c>
      <c r="D6454" s="1" t="s">
        <v>26</v>
      </c>
      <c r="E6454" s="1" t="s">
        <v>26</v>
      </c>
      <c r="F6454" s="1">
        <v>15.0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1">
        <v>87.75</v>
      </c>
      <c r="T6454" s="1">
        <v>1242.2</v>
      </c>
      <c r="U6454" s="1">
        <v>0.0</v>
      </c>
      <c r="V6454" s="1">
        <v>0.0</v>
      </c>
      <c r="W6454" s="1" t="s">
        <v>26</v>
      </c>
    </row>
    <row r="6455" ht="15.75" customHeight="1">
      <c r="A6455" s="1" t="s">
        <v>6492</v>
      </c>
      <c r="B6455" s="1" t="s">
        <v>32</v>
      </c>
      <c r="C6455" s="1">
        <v>1.0</v>
      </c>
      <c r="D6455" s="1" t="s">
        <v>25</v>
      </c>
      <c r="E6455" s="1" t="s">
        <v>26</v>
      </c>
      <c r="F6455" s="1">
        <v>47.0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1">
        <v>100.05</v>
      </c>
      <c r="T6455" s="1">
        <v>4871.05</v>
      </c>
      <c r="U6455" s="1">
        <v>3.0</v>
      </c>
      <c r="V6455" s="1">
        <v>2.0</v>
      </c>
      <c r="W6455" s="1" t="s">
        <v>25</v>
      </c>
    </row>
    <row r="6456" ht="15.75" customHeight="1">
      <c r="A6456" s="1" t="s">
        <v>6493</v>
      </c>
      <c r="B6456" s="1" t="s">
        <v>24</v>
      </c>
      <c r="C6456" s="1">
        <v>0.0</v>
      </c>
      <c r="D6456" s="1" t="s">
        <v>26</v>
      </c>
      <c r="E6456" s="1" t="s">
        <v>26</v>
      </c>
      <c r="F6456" s="1">
        <v>41.0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1">
        <v>81.3</v>
      </c>
      <c r="T6456" s="1">
        <v>3190.65</v>
      </c>
      <c r="U6456" s="1">
        <v>0.0</v>
      </c>
      <c r="V6456" s="1">
        <v>0.0</v>
      </c>
      <c r="W6456" s="1" t="s">
        <v>26</v>
      </c>
    </row>
    <row r="6457" ht="15.75" customHeight="1">
      <c r="A6457" s="1" t="s">
        <v>6494</v>
      </c>
      <c r="B6457" s="1" t="s">
        <v>32</v>
      </c>
      <c r="C6457" s="1">
        <v>0.0</v>
      </c>
      <c r="D6457" s="1" t="s">
        <v>25</v>
      </c>
      <c r="E6457" s="1" t="s">
        <v>26</v>
      </c>
      <c r="F6457" s="1">
        <v>59.0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1">
        <v>44.3</v>
      </c>
      <c r="T6457" s="1">
        <v>2666.75</v>
      </c>
      <c r="U6457" s="1">
        <v>0.0</v>
      </c>
      <c r="V6457" s="1">
        <v>2.0</v>
      </c>
      <c r="W6457" s="1" t="s">
        <v>26</v>
      </c>
    </row>
    <row r="6458" ht="15.75" customHeight="1">
      <c r="A6458" s="1" t="s">
        <v>6495</v>
      </c>
      <c r="B6458" s="1" t="s">
        <v>24</v>
      </c>
      <c r="C6458" s="1">
        <v>0.0</v>
      </c>
      <c r="D6458" s="1" t="s">
        <v>26</v>
      </c>
      <c r="E6458" s="1" t="s">
        <v>25</v>
      </c>
      <c r="F6458" s="1">
        <v>50.0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1">
        <v>70.35</v>
      </c>
      <c r="T6458" s="1">
        <v>3533.6</v>
      </c>
      <c r="U6458" s="1">
        <v>0.0</v>
      </c>
      <c r="V6458" s="1">
        <v>0.0</v>
      </c>
      <c r="W6458" s="1" t="s">
        <v>26</v>
      </c>
    </row>
    <row r="6459" ht="15.75" customHeight="1">
      <c r="A6459" s="1" t="s">
        <v>6496</v>
      </c>
      <c r="B6459" s="1" t="s">
        <v>32</v>
      </c>
      <c r="C6459" s="1">
        <v>0.0</v>
      </c>
      <c r="D6459" s="1" t="s">
        <v>25</v>
      </c>
      <c r="E6459" s="1" t="s">
        <v>25</v>
      </c>
      <c r="F6459" s="1">
        <v>17.0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1">
        <v>44.45</v>
      </c>
      <c r="T6459" s="1">
        <v>792.15</v>
      </c>
      <c r="U6459" s="1">
        <v>0.0</v>
      </c>
      <c r="V6459" s="1">
        <v>0.0</v>
      </c>
      <c r="W6459" s="1" t="s">
        <v>26</v>
      </c>
    </row>
    <row r="6460" ht="15.75" customHeight="1">
      <c r="A6460" s="1" t="s">
        <v>6497</v>
      </c>
      <c r="B6460" s="1" t="s">
        <v>32</v>
      </c>
      <c r="C6460" s="1">
        <v>0.0</v>
      </c>
      <c r="D6460" s="1" t="s">
        <v>25</v>
      </c>
      <c r="E6460" s="1" t="s">
        <v>25</v>
      </c>
      <c r="F6460" s="1">
        <v>6.0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1">
        <v>49.15</v>
      </c>
      <c r="T6460" s="1">
        <v>295.65</v>
      </c>
      <c r="U6460" s="1">
        <v>2.0</v>
      </c>
      <c r="V6460" s="1">
        <v>0.0</v>
      </c>
      <c r="W6460" s="1" t="s">
        <v>26</v>
      </c>
    </row>
    <row r="6461" ht="15.75" customHeight="1">
      <c r="A6461" s="1" t="s">
        <v>6498</v>
      </c>
      <c r="B6461" s="1" t="s">
        <v>32</v>
      </c>
      <c r="C6461" s="1">
        <v>1.0</v>
      </c>
      <c r="D6461" s="1" t="s">
        <v>25</v>
      </c>
      <c r="E6461" s="1" t="s">
        <v>26</v>
      </c>
      <c r="F6461" s="1">
        <v>51.0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1">
        <v>29.45</v>
      </c>
      <c r="T6461" s="1">
        <v>1459.35</v>
      </c>
      <c r="U6461" s="1">
        <v>0.0</v>
      </c>
      <c r="V6461" s="1">
        <v>0.0</v>
      </c>
      <c r="W6461" s="1" t="s">
        <v>26</v>
      </c>
    </row>
    <row r="6462" ht="15.75" customHeight="1">
      <c r="A6462" s="1" t="s">
        <v>6499</v>
      </c>
      <c r="B6462" s="1" t="s">
        <v>32</v>
      </c>
      <c r="C6462" s="1">
        <v>0.0</v>
      </c>
      <c r="D6462" s="1" t="s">
        <v>26</v>
      </c>
      <c r="E6462" s="1" t="s">
        <v>26</v>
      </c>
      <c r="F6462" s="1">
        <v>44.0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1">
        <v>100.55</v>
      </c>
      <c r="T6462" s="1">
        <v>4398.15</v>
      </c>
      <c r="U6462" s="1">
        <v>0.0</v>
      </c>
      <c r="V6462" s="1">
        <v>3.0</v>
      </c>
      <c r="W6462" s="1" t="s">
        <v>25</v>
      </c>
    </row>
    <row r="6463" ht="15.75" customHeight="1">
      <c r="A6463" s="1" t="s">
        <v>6500</v>
      </c>
      <c r="B6463" s="1" t="s">
        <v>32</v>
      </c>
      <c r="C6463" s="1">
        <v>0.0</v>
      </c>
      <c r="D6463" s="1" t="s">
        <v>25</v>
      </c>
      <c r="E6463" s="1" t="s">
        <v>26</v>
      </c>
      <c r="F6463" s="1">
        <v>49.0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1">
        <v>85.3</v>
      </c>
      <c r="T6463" s="1">
        <v>4297.95</v>
      </c>
      <c r="U6463" s="1">
        <v>0.0</v>
      </c>
      <c r="V6463" s="1">
        <v>0.0</v>
      </c>
      <c r="W6463" s="1" t="s">
        <v>26</v>
      </c>
    </row>
    <row r="6464" ht="15.75" customHeight="1">
      <c r="A6464" s="1" t="s">
        <v>6501</v>
      </c>
      <c r="B6464" s="1" t="s">
        <v>32</v>
      </c>
      <c r="C6464" s="1">
        <v>0.0</v>
      </c>
      <c r="D6464" s="1" t="s">
        <v>26</v>
      </c>
      <c r="E6464" s="1" t="s">
        <v>26</v>
      </c>
      <c r="F6464" s="1">
        <v>2.0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1">
        <v>95.65</v>
      </c>
      <c r="T6464" s="1">
        <v>167.3</v>
      </c>
      <c r="U6464" s="1">
        <v>0.0</v>
      </c>
      <c r="V6464" s="1">
        <v>0.0</v>
      </c>
      <c r="W6464" s="1" t="s">
        <v>25</v>
      </c>
    </row>
    <row r="6465" ht="15.75" customHeight="1">
      <c r="A6465" s="1" t="s">
        <v>6502</v>
      </c>
      <c r="B6465" s="1" t="s">
        <v>32</v>
      </c>
      <c r="C6465" s="1">
        <v>0.0</v>
      </c>
      <c r="D6465" s="1" t="s">
        <v>25</v>
      </c>
      <c r="E6465" s="1" t="s">
        <v>26</v>
      </c>
      <c r="F6465" s="1">
        <v>59.0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1">
        <v>69.1</v>
      </c>
      <c r="T6465" s="1">
        <v>4096.9</v>
      </c>
      <c r="U6465" s="1">
        <v>0.0</v>
      </c>
      <c r="V6465" s="1">
        <v>0.0</v>
      </c>
      <c r="W6465" s="1" t="s">
        <v>26</v>
      </c>
    </row>
    <row r="6466" ht="15.75" customHeight="1">
      <c r="A6466" s="1" t="s">
        <v>6503</v>
      </c>
      <c r="B6466" s="1" t="s">
        <v>32</v>
      </c>
      <c r="C6466" s="1">
        <v>1.0</v>
      </c>
      <c r="D6466" s="1" t="s">
        <v>26</v>
      </c>
      <c r="E6466" s="1" t="s">
        <v>26</v>
      </c>
      <c r="F6466" s="1">
        <v>50.0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1">
        <v>70.35</v>
      </c>
      <c r="T6466" s="1">
        <v>3454.6</v>
      </c>
      <c r="U6466" s="1">
        <v>0.0</v>
      </c>
      <c r="V6466" s="1">
        <v>0.0</v>
      </c>
      <c r="W6466" s="1" t="s">
        <v>26</v>
      </c>
    </row>
    <row r="6467" ht="15.75" customHeight="1">
      <c r="A6467" s="1" t="s">
        <v>6504</v>
      </c>
      <c r="B6467" s="1" t="s">
        <v>24</v>
      </c>
      <c r="C6467" s="1">
        <v>0.0</v>
      </c>
      <c r="D6467" s="1" t="s">
        <v>25</v>
      </c>
      <c r="E6467" s="1" t="s">
        <v>25</v>
      </c>
      <c r="F6467" s="1">
        <v>59.0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1">
        <v>20.6</v>
      </c>
      <c r="T6467" s="1">
        <v>1286.0</v>
      </c>
      <c r="U6467" s="1">
        <v>0.0</v>
      </c>
      <c r="V6467" s="1">
        <v>4.0</v>
      </c>
      <c r="W6467" s="1" t="s">
        <v>26</v>
      </c>
    </row>
    <row r="6468" ht="15.75" customHeight="1">
      <c r="A6468" s="1" t="s">
        <v>6505</v>
      </c>
      <c r="B6468" s="1" t="s">
        <v>32</v>
      </c>
      <c r="C6468" s="1">
        <v>0.0</v>
      </c>
      <c r="D6468" s="1" t="s">
        <v>26</v>
      </c>
      <c r="E6468" s="1" t="s">
        <v>26</v>
      </c>
      <c r="F6468" s="1">
        <v>18.0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1">
        <v>74.15</v>
      </c>
      <c r="T6468" s="1">
        <v>1387.0</v>
      </c>
      <c r="U6468" s="1">
        <v>0.0</v>
      </c>
      <c r="V6468" s="1">
        <v>0.0</v>
      </c>
      <c r="W6468" s="1" t="s">
        <v>26</v>
      </c>
    </row>
    <row r="6469" ht="15.75" customHeight="1">
      <c r="A6469" s="1" t="s">
        <v>6506</v>
      </c>
      <c r="B6469" s="1" t="s">
        <v>32</v>
      </c>
      <c r="C6469" s="1">
        <v>0.0</v>
      </c>
      <c r="D6469" s="1" t="s">
        <v>26</v>
      </c>
      <c r="E6469" s="1" t="s">
        <v>26</v>
      </c>
      <c r="F6469" s="1">
        <v>10.0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1">
        <v>75.05</v>
      </c>
      <c r="T6469" s="1">
        <v>786.3</v>
      </c>
      <c r="U6469" s="1">
        <v>0.0</v>
      </c>
      <c r="V6469" s="1">
        <v>0.0</v>
      </c>
      <c r="W6469" s="1" t="s">
        <v>26</v>
      </c>
    </row>
    <row r="6470" ht="15.75" customHeight="1">
      <c r="A6470" s="1" t="s">
        <v>6507</v>
      </c>
      <c r="B6470" s="1" t="s">
        <v>32</v>
      </c>
      <c r="C6470" s="1">
        <v>0.0</v>
      </c>
      <c r="D6470" s="1" t="s">
        <v>25</v>
      </c>
      <c r="E6470" s="1" t="s">
        <v>26</v>
      </c>
      <c r="F6470" s="1">
        <v>14.0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1">
        <v>44.6</v>
      </c>
      <c r="T6470" s="1">
        <v>641.25</v>
      </c>
      <c r="U6470" s="1">
        <v>0.0</v>
      </c>
      <c r="V6470" s="1">
        <v>0.0</v>
      </c>
      <c r="W6470" s="1" t="s">
        <v>26</v>
      </c>
    </row>
    <row r="6471" ht="15.75" customHeight="1">
      <c r="A6471" s="1" t="s">
        <v>6508</v>
      </c>
      <c r="B6471" s="1" t="s">
        <v>32</v>
      </c>
      <c r="C6471" s="1">
        <v>0.0</v>
      </c>
      <c r="D6471" s="1" t="s">
        <v>26</v>
      </c>
      <c r="E6471" s="1" t="s">
        <v>26</v>
      </c>
      <c r="F6471" s="1">
        <v>35.0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1">
        <v>21.45</v>
      </c>
      <c r="T6471" s="1">
        <v>705.45</v>
      </c>
      <c r="U6471" s="1">
        <v>0.0</v>
      </c>
      <c r="V6471" s="1">
        <v>0.0</v>
      </c>
      <c r="W6471" s="1" t="s">
        <v>26</v>
      </c>
    </row>
    <row r="6472" ht="15.75" customHeight="1">
      <c r="A6472" s="1" t="s">
        <v>6509</v>
      </c>
      <c r="B6472" s="1" t="s">
        <v>32</v>
      </c>
      <c r="C6472" s="1">
        <v>0.0</v>
      </c>
      <c r="D6472" s="1" t="s">
        <v>25</v>
      </c>
      <c r="E6472" s="1" t="s">
        <v>25</v>
      </c>
      <c r="F6472" s="1">
        <v>8.0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1">
        <v>43.45</v>
      </c>
      <c r="T6472" s="1">
        <v>345.5</v>
      </c>
      <c r="U6472" s="1">
        <v>5.0</v>
      </c>
      <c r="V6472" s="1">
        <v>0.0</v>
      </c>
      <c r="W6472" s="1" t="s">
        <v>26</v>
      </c>
    </row>
    <row r="6473" ht="15.75" customHeight="1">
      <c r="A6473" s="1" t="s">
        <v>6510</v>
      </c>
      <c r="B6473" s="1" t="s">
        <v>32</v>
      </c>
      <c r="C6473" s="1">
        <v>0.0</v>
      </c>
      <c r="D6473" s="1" t="s">
        <v>25</v>
      </c>
      <c r="E6473" s="1" t="s">
        <v>25</v>
      </c>
      <c r="F6473" s="1">
        <v>18.0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1">
        <v>20.05</v>
      </c>
      <c r="T6473" s="1">
        <v>345.9</v>
      </c>
      <c r="U6473" s="1">
        <v>1.0</v>
      </c>
      <c r="V6473" s="1">
        <v>0.0</v>
      </c>
      <c r="W6473" s="1" t="s">
        <v>26</v>
      </c>
    </row>
    <row r="6474" ht="15.75" customHeight="1">
      <c r="A6474" s="1" t="s">
        <v>6511</v>
      </c>
      <c r="B6474" s="1" t="s">
        <v>24</v>
      </c>
      <c r="C6474" s="1">
        <v>0.0</v>
      </c>
      <c r="D6474" s="1" t="s">
        <v>25</v>
      </c>
      <c r="E6474" s="1" t="s">
        <v>25</v>
      </c>
      <c r="F6474" s="1">
        <v>60.0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1">
        <v>94.15</v>
      </c>
      <c r="T6474" s="1">
        <v>5811.8</v>
      </c>
      <c r="U6474" s="1">
        <v>5.0</v>
      </c>
      <c r="V6474" s="1">
        <v>0.0</v>
      </c>
      <c r="W6474" s="1" t="s">
        <v>26</v>
      </c>
    </row>
    <row r="6475" ht="15.75" customHeight="1">
      <c r="A6475" s="1" t="s">
        <v>6512</v>
      </c>
      <c r="B6475" s="1" t="s">
        <v>24</v>
      </c>
      <c r="C6475" s="1">
        <v>0.0</v>
      </c>
      <c r="D6475" s="1" t="s">
        <v>26</v>
      </c>
      <c r="E6475" s="1" t="s">
        <v>26</v>
      </c>
      <c r="F6475" s="1">
        <v>1.0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1">
        <v>94.4</v>
      </c>
      <c r="T6475" s="1">
        <v>94.4</v>
      </c>
      <c r="U6475" s="1">
        <v>3.0</v>
      </c>
      <c r="V6475" s="1">
        <v>0.0</v>
      </c>
      <c r="W6475" s="1" t="s">
        <v>25</v>
      </c>
    </row>
    <row r="6476" ht="15.75" customHeight="1">
      <c r="A6476" s="1" t="s">
        <v>6513</v>
      </c>
      <c r="B6476" s="1" t="s">
        <v>24</v>
      </c>
      <c r="C6476" s="1">
        <v>0.0</v>
      </c>
      <c r="D6476" s="1" t="s">
        <v>26</v>
      </c>
      <c r="E6476" s="1" t="s">
        <v>26</v>
      </c>
      <c r="F6476" s="1">
        <v>6.0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1">
        <v>19.55</v>
      </c>
      <c r="T6476" s="1">
        <v>124.45</v>
      </c>
      <c r="U6476" s="1">
        <v>0.0</v>
      </c>
      <c r="V6476" s="1">
        <v>0.0</v>
      </c>
      <c r="W6476" s="1" t="s">
        <v>26</v>
      </c>
    </row>
    <row r="6477" ht="15.75" customHeight="1">
      <c r="A6477" s="1" t="s">
        <v>6514</v>
      </c>
      <c r="B6477" s="1" t="s">
        <v>24</v>
      </c>
      <c r="C6477" s="1">
        <v>0.0</v>
      </c>
      <c r="D6477" s="1" t="s">
        <v>26</v>
      </c>
      <c r="E6477" s="1" t="s">
        <v>25</v>
      </c>
      <c r="F6477" s="1">
        <v>19.0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1">
        <v>75.9</v>
      </c>
      <c r="T6477" s="1">
        <v>1375.6</v>
      </c>
      <c r="U6477" s="1">
        <v>0.0</v>
      </c>
      <c r="V6477" s="1">
        <v>0.0</v>
      </c>
      <c r="W6477" s="1" t="s">
        <v>26</v>
      </c>
    </row>
    <row r="6478" ht="15.75" customHeight="1">
      <c r="A6478" s="1" t="s">
        <v>6515</v>
      </c>
      <c r="B6478" s="1" t="s">
        <v>32</v>
      </c>
      <c r="C6478" s="1">
        <v>0.0</v>
      </c>
      <c r="D6478" s="1" t="s">
        <v>25</v>
      </c>
      <c r="E6478" s="1" t="s">
        <v>25</v>
      </c>
      <c r="F6478" s="1">
        <v>53.0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1">
        <v>64.15</v>
      </c>
      <c r="T6478" s="1">
        <v>3491.55</v>
      </c>
      <c r="U6478" s="1">
        <v>0.0</v>
      </c>
      <c r="V6478" s="1">
        <v>0.0</v>
      </c>
      <c r="W6478" s="1" t="s">
        <v>26</v>
      </c>
    </row>
    <row r="6479" ht="15.75" customHeight="1">
      <c r="A6479" s="1" t="s">
        <v>6516</v>
      </c>
      <c r="B6479" s="1" t="s">
        <v>32</v>
      </c>
      <c r="C6479" s="1">
        <v>1.0</v>
      </c>
      <c r="D6479" s="1" t="s">
        <v>25</v>
      </c>
      <c r="E6479" s="1" t="s">
        <v>26</v>
      </c>
      <c r="F6479" s="1">
        <v>72.0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1">
        <v>109.55</v>
      </c>
      <c r="T6479" s="1">
        <v>7920.7</v>
      </c>
      <c r="U6479" s="1">
        <v>0.0</v>
      </c>
      <c r="V6479" s="1">
        <v>0.0</v>
      </c>
      <c r="W6479" s="1" t="s">
        <v>26</v>
      </c>
    </row>
    <row r="6480" ht="15.75" customHeight="1">
      <c r="A6480" s="1" t="s">
        <v>6517</v>
      </c>
      <c r="B6480" s="1" t="s">
        <v>24</v>
      </c>
      <c r="C6480" s="1">
        <v>0.0</v>
      </c>
      <c r="D6480" s="1" t="s">
        <v>25</v>
      </c>
      <c r="E6480" s="1" t="s">
        <v>26</v>
      </c>
      <c r="F6480" s="1">
        <v>60.0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1">
        <v>110.8</v>
      </c>
      <c r="T6480" s="1">
        <v>6640.7</v>
      </c>
      <c r="U6480" s="1">
        <v>0.0</v>
      </c>
      <c r="V6480" s="1">
        <v>0.0</v>
      </c>
      <c r="W6480" s="1" t="s">
        <v>26</v>
      </c>
    </row>
    <row r="6481" ht="15.75" customHeight="1">
      <c r="A6481" s="1" t="s">
        <v>6518</v>
      </c>
      <c r="B6481" s="1" t="s">
        <v>24</v>
      </c>
      <c r="C6481" s="1">
        <v>0.0</v>
      </c>
      <c r="D6481" s="1" t="s">
        <v>26</v>
      </c>
      <c r="E6481" s="1" t="s">
        <v>26</v>
      </c>
      <c r="F6481" s="1">
        <v>1.0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1">
        <v>55.0</v>
      </c>
      <c r="T6481" s="1">
        <v>55.0</v>
      </c>
      <c r="U6481" s="1">
        <v>4.0</v>
      </c>
      <c r="V6481" s="1">
        <v>0.0</v>
      </c>
      <c r="W6481" s="1" t="s">
        <v>25</v>
      </c>
    </row>
    <row r="6482" ht="15.75" customHeight="1">
      <c r="A6482" s="1" t="s">
        <v>6519</v>
      </c>
      <c r="B6482" s="1" t="s">
        <v>24</v>
      </c>
      <c r="C6482" s="1">
        <v>0.0</v>
      </c>
      <c r="D6482" s="1" t="s">
        <v>26</v>
      </c>
      <c r="E6482" s="1" t="s">
        <v>25</v>
      </c>
      <c r="F6482" s="1">
        <v>13.0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1">
        <v>53.45</v>
      </c>
      <c r="T6482" s="1">
        <v>718.1</v>
      </c>
      <c r="U6482" s="1">
        <v>0.0</v>
      </c>
      <c r="V6482" s="1">
        <v>0.0</v>
      </c>
      <c r="W6482" s="1" t="s">
        <v>26</v>
      </c>
    </row>
    <row r="6483" ht="15.75" customHeight="1">
      <c r="A6483" s="1" t="s">
        <v>6520</v>
      </c>
      <c r="B6483" s="1" t="s">
        <v>24</v>
      </c>
      <c r="C6483" s="1">
        <v>0.0</v>
      </c>
      <c r="D6483" s="1" t="s">
        <v>25</v>
      </c>
      <c r="E6483" s="1" t="s">
        <v>25</v>
      </c>
      <c r="F6483" s="1">
        <v>5.0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1">
        <v>69.95</v>
      </c>
      <c r="T6483" s="1">
        <v>320.4</v>
      </c>
      <c r="U6483" s="1">
        <v>0.0</v>
      </c>
      <c r="V6483" s="1">
        <v>0.0</v>
      </c>
      <c r="W6483" s="1" t="s">
        <v>26</v>
      </c>
    </row>
    <row r="6484" ht="15.75" customHeight="1">
      <c r="A6484" s="1" t="s">
        <v>6521</v>
      </c>
      <c r="B6484" s="1" t="s">
        <v>32</v>
      </c>
      <c r="C6484" s="1">
        <v>0.0</v>
      </c>
      <c r="D6484" s="1" t="s">
        <v>26</v>
      </c>
      <c r="E6484" s="1" t="s">
        <v>26</v>
      </c>
      <c r="F6484" s="1">
        <v>1.0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1">
        <v>101.45</v>
      </c>
      <c r="T6484" s="1">
        <v>101.45</v>
      </c>
      <c r="U6484" s="1">
        <v>0.0</v>
      </c>
      <c r="V6484" s="1">
        <v>1.0</v>
      </c>
      <c r="W6484" s="1" t="s">
        <v>25</v>
      </c>
    </row>
    <row r="6485" ht="15.75" customHeight="1">
      <c r="A6485" s="1" t="s">
        <v>6522</v>
      </c>
      <c r="B6485" s="1" t="s">
        <v>32</v>
      </c>
      <c r="C6485" s="1">
        <v>0.0</v>
      </c>
      <c r="D6485" s="1" t="s">
        <v>25</v>
      </c>
      <c r="E6485" s="1" t="s">
        <v>25</v>
      </c>
      <c r="F6485" s="1">
        <v>13.0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1">
        <v>97.0</v>
      </c>
      <c r="T6485" s="1">
        <v>1334.45</v>
      </c>
      <c r="U6485" s="1">
        <v>0.0</v>
      </c>
      <c r="V6485" s="1">
        <v>0.0</v>
      </c>
      <c r="W6485" s="1" t="s">
        <v>26</v>
      </c>
    </row>
    <row r="6486" ht="15.75" customHeight="1">
      <c r="A6486" s="1" t="s">
        <v>6523</v>
      </c>
      <c r="B6486" s="1" t="s">
        <v>32</v>
      </c>
      <c r="C6486" s="1">
        <v>0.0</v>
      </c>
      <c r="D6486" s="1" t="s">
        <v>26</v>
      </c>
      <c r="E6486" s="1" t="s">
        <v>26</v>
      </c>
      <c r="F6486" s="1">
        <v>37.0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1">
        <v>90.6</v>
      </c>
      <c r="T6486" s="1">
        <v>3358.65</v>
      </c>
      <c r="U6486" s="1">
        <v>0.0</v>
      </c>
      <c r="V6486" s="1">
        <v>0.0</v>
      </c>
      <c r="W6486" s="1" t="s">
        <v>26</v>
      </c>
    </row>
    <row r="6487" ht="15.75" customHeight="1">
      <c r="A6487" s="1" t="s">
        <v>6524</v>
      </c>
      <c r="B6487" s="1" t="s">
        <v>32</v>
      </c>
      <c r="C6487" s="1">
        <v>0.0</v>
      </c>
      <c r="D6487" s="1" t="s">
        <v>25</v>
      </c>
      <c r="E6487" s="1" t="s">
        <v>26</v>
      </c>
      <c r="F6487" s="1">
        <v>64.0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1">
        <v>73.55</v>
      </c>
      <c r="T6487" s="1">
        <v>4764.0</v>
      </c>
      <c r="U6487" s="1">
        <v>0.0</v>
      </c>
      <c r="V6487" s="1">
        <v>0.0</v>
      </c>
      <c r="W6487" s="1" t="s">
        <v>26</v>
      </c>
    </row>
    <row r="6488" ht="15.75" customHeight="1">
      <c r="A6488" s="1" t="s">
        <v>6525</v>
      </c>
      <c r="B6488" s="1" t="s">
        <v>24</v>
      </c>
      <c r="C6488" s="1">
        <v>0.0</v>
      </c>
      <c r="D6488" s="1" t="s">
        <v>25</v>
      </c>
      <c r="E6488" s="1" t="s">
        <v>26</v>
      </c>
      <c r="F6488" s="1">
        <v>5.0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1">
        <v>67.95</v>
      </c>
      <c r="T6488" s="1">
        <v>350.3</v>
      </c>
      <c r="U6488" s="1">
        <v>0.0</v>
      </c>
      <c r="V6488" s="1">
        <v>0.0</v>
      </c>
      <c r="W6488" s="1" t="s">
        <v>25</v>
      </c>
    </row>
    <row r="6489" ht="15.75" customHeight="1">
      <c r="A6489" s="1" t="s">
        <v>6526</v>
      </c>
      <c r="B6489" s="1" t="s">
        <v>24</v>
      </c>
      <c r="C6489" s="1">
        <v>0.0</v>
      </c>
      <c r="D6489" s="1" t="s">
        <v>25</v>
      </c>
      <c r="E6489" s="1" t="s">
        <v>26</v>
      </c>
      <c r="F6489" s="1">
        <v>61.0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1">
        <v>94.35</v>
      </c>
      <c r="T6489" s="1">
        <v>5703.0</v>
      </c>
      <c r="U6489" s="1">
        <v>0.0</v>
      </c>
      <c r="V6489" s="1">
        <v>0.0</v>
      </c>
      <c r="W6489" s="1" t="s">
        <v>26</v>
      </c>
    </row>
    <row r="6490" ht="15.75" customHeight="1">
      <c r="A6490" s="1" t="s">
        <v>6527</v>
      </c>
      <c r="B6490" s="1" t="s">
        <v>24</v>
      </c>
      <c r="C6490" s="1">
        <v>0.0</v>
      </c>
      <c r="D6490" s="1" t="s">
        <v>26</v>
      </c>
      <c r="E6490" s="1" t="s">
        <v>26</v>
      </c>
      <c r="F6490" s="1">
        <v>1.0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1">
        <v>69.5</v>
      </c>
      <c r="T6490" s="1">
        <v>69.5</v>
      </c>
      <c r="U6490" s="1">
        <v>0.0</v>
      </c>
      <c r="V6490" s="1">
        <v>0.0</v>
      </c>
      <c r="W6490" s="1" t="s">
        <v>25</v>
      </c>
    </row>
    <row r="6491" ht="15.75" customHeight="1">
      <c r="A6491" s="1" t="s">
        <v>6528</v>
      </c>
      <c r="B6491" s="1" t="s">
        <v>32</v>
      </c>
      <c r="C6491" s="1">
        <v>0.0</v>
      </c>
      <c r="D6491" s="1" t="s">
        <v>26</v>
      </c>
      <c r="E6491" s="1" t="s">
        <v>26</v>
      </c>
      <c r="F6491" s="1">
        <v>1.0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1">
        <v>18.85</v>
      </c>
      <c r="T6491" s="1">
        <v>18.85</v>
      </c>
      <c r="U6491" s="1">
        <v>0.0</v>
      </c>
      <c r="V6491" s="1">
        <v>0.0</v>
      </c>
      <c r="W6491" s="1" t="s">
        <v>25</v>
      </c>
    </row>
    <row r="6492" ht="15.75" customHeight="1">
      <c r="A6492" s="1" t="s">
        <v>6529</v>
      </c>
      <c r="B6492" s="1" t="s">
        <v>32</v>
      </c>
      <c r="C6492" s="1">
        <v>0.0</v>
      </c>
      <c r="D6492" s="1" t="s">
        <v>26</v>
      </c>
      <c r="E6492" s="1" t="s">
        <v>26</v>
      </c>
      <c r="F6492" s="1">
        <v>26.0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1">
        <v>19.4</v>
      </c>
      <c r="T6492" s="1">
        <v>525.55</v>
      </c>
      <c r="U6492" s="1">
        <v>0.0</v>
      </c>
      <c r="V6492" s="1">
        <v>0.0</v>
      </c>
      <c r="W6492" s="1" t="s">
        <v>26</v>
      </c>
    </row>
    <row r="6493" ht="15.75" customHeight="1">
      <c r="A6493" s="1" t="s">
        <v>6530</v>
      </c>
      <c r="B6493" s="1" t="s">
        <v>24</v>
      </c>
      <c r="C6493" s="1">
        <v>0.0</v>
      </c>
      <c r="D6493" s="1" t="s">
        <v>26</v>
      </c>
      <c r="E6493" s="1" t="s">
        <v>26</v>
      </c>
      <c r="F6493" s="1">
        <v>1.0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1">
        <v>69.2</v>
      </c>
      <c r="T6493" s="1">
        <v>69.2</v>
      </c>
      <c r="U6493" s="1">
        <v>5.0</v>
      </c>
      <c r="V6493" s="1">
        <v>0.0</v>
      </c>
      <c r="W6493" s="1" t="s">
        <v>25</v>
      </c>
    </row>
    <row r="6494" ht="15.75" customHeight="1">
      <c r="A6494" s="1" t="s">
        <v>6531</v>
      </c>
      <c r="B6494" s="1" t="s">
        <v>32</v>
      </c>
      <c r="C6494" s="1">
        <v>0.0</v>
      </c>
      <c r="D6494" s="1" t="s">
        <v>25</v>
      </c>
      <c r="E6494" s="1" t="s">
        <v>26</v>
      </c>
      <c r="F6494" s="1">
        <v>24.0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1">
        <v>19.75</v>
      </c>
      <c r="T6494" s="1">
        <v>483.15</v>
      </c>
      <c r="U6494" s="1">
        <v>0.0</v>
      </c>
      <c r="V6494" s="1">
        <v>0.0</v>
      </c>
      <c r="W6494" s="1" t="s">
        <v>26</v>
      </c>
    </row>
    <row r="6495" ht="15.75" customHeight="1">
      <c r="A6495" s="1" t="s">
        <v>6532</v>
      </c>
      <c r="B6495" s="1" t="s">
        <v>32</v>
      </c>
      <c r="C6495" s="1">
        <v>0.0</v>
      </c>
      <c r="D6495" s="1" t="s">
        <v>25</v>
      </c>
      <c r="E6495" s="1" t="s">
        <v>26</v>
      </c>
      <c r="F6495" s="1">
        <v>17.0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1">
        <v>54.6</v>
      </c>
      <c r="T6495" s="1">
        <v>934.8</v>
      </c>
      <c r="U6495" s="1">
        <v>0.0</v>
      </c>
      <c r="V6495" s="1">
        <v>0.0</v>
      </c>
      <c r="W6495" s="1" t="s">
        <v>26</v>
      </c>
    </row>
    <row r="6496" ht="15.75" customHeight="1">
      <c r="A6496" s="1" t="s">
        <v>6533</v>
      </c>
      <c r="B6496" s="1" t="s">
        <v>24</v>
      </c>
      <c r="C6496" s="1">
        <v>0.0</v>
      </c>
      <c r="D6496" s="1" t="s">
        <v>26</v>
      </c>
      <c r="E6496" s="1" t="s">
        <v>25</v>
      </c>
      <c r="F6496" s="1">
        <v>26.0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1">
        <v>29.8</v>
      </c>
      <c r="T6496" s="1">
        <v>786.5</v>
      </c>
      <c r="U6496" s="1">
        <v>2.0</v>
      </c>
      <c r="V6496" s="1">
        <v>0.0</v>
      </c>
      <c r="W6496" s="1" t="s">
        <v>26</v>
      </c>
    </row>
    <row r="6497" ht="15.75" customHeight="1">
      <c r="A6497" s="1" t="s">
        <v>6534</v>
      </c>
      <c r="B6497" s="1" t="s">
        <v>32</v>
      </c>
      <c r="C6497" s="1">
        <v>0.0</v>
      </c>
      <c r="D6497" s="1" t="s">
        <v>26</v>
      </c>
      <c r="E6497" s="1" t="s">
        <v>26</v>
      </c>
      <c r="F6497" s="1">
        <v>1.0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1">
        <v>69.65</v>
      </c>
      <c r="T6497" s="1">
        <v>69.65</v>
      </c>
      <c r="U6497" s="1">
        <v>0.0</v>
      </c>
      <c r="V6497" s="1">
        <v>0.0</v>
      </c>
      <c r="W6497" s="1" t="s">
        <v>25</v>
      </c>
    </row>
    <row r="6498" ht="15.75" customHeight="1">
      <c r="A6498" s="1" t="s">
        <v>6535</v>
      </c>
      <c r="B6498" s="1" t="s">
        <v>32</v>
      </c>
      <c r="C6498" s="1">
        <v>1.0</v>
      </c>
      <c r="D6498" s="1" t="s">
        <v>25</v>
      </c>
      <c r="E6498" s="1" t="s">
        <v>26</v>
      </c>
      <c r="F6498" s="1">
        <v>40.0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1">
        <v>101.85</v>
      </c>
      <c r="T6498" s="1">
        <v>4086.3</v>
      </c>
      <c r="U6498" s="1">
        <v>0.0</v>
      </c>
      <c r="V6498" s="1">
        <v>2.0</v>
      </c>
      <c r="W6498" s="1" t="s">
        <v>25</v>
      </c>
    </row>
    <row r="6499" ht="15.75" customHeight="1">
      <c r="A6499" s="1" t="s">
        <v>6536</v>
      </c>
      <c r="B6499" s="1" t="s">
        <v>32</v>
      </c>
      <c r="C6499" s="1">
        <v>0.0</v>
      </c>
      <c r="D6499" s="1" t="s">
        <v>26</v>
      </c>
      <c r="E6499" s="1" t="s">
        <v>26</v>
      </c>
      <c r="F6499" s="1">
        <v>52.0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1">
        <v>103.05</v>
      </c>
      <c r="T6499" s="1">
        <v>5364.8</v>
      </c>
      <c r="U6499" s="1">
        <v>0.0</v>
      </c>
      <c r="V6499" s="1">
        <v>0.0</v>
      </c>
      <c r="W6499" s="1" t="s">
        <v>26</v>
      </c>
    </row>
    <row r="6500" ht="15.75" customHeight="1">
      <c r="A6500" s="1" t="s">
        <v>6537</v>
      </c>
      <c r="B6500" s="1" t="s">
        <v>24</v>
      </c>
      <c r="C6500" s="1">
        <v>0.0</v>
      </c>
      <c r="D6500" s="1" t="s">
        <v>26</v>
      </c>
      <c r="E6500" s="1" t="s">
        <v>26</v>
      </c>
      <c r="F6500" s="1">
        <v>1.0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1">
        <v>82.3</v>
      </c>
      <c r="T6500" s="1">
        <v>82.3</v>
      </c>
      <c r="U6500" s="1">
        <v>0.0</v>
      </c>
      <c r="V6500" s="1">
        <v>0.0</v>
      </c>
      <c r="W6500" s="1" t="s">
        <v>25</v>
      </c>
    </row>
    <row r="6501" ht="15.75" customHeight="1">
      <c r="A6501" s="1" t="s">
        <v>6538</v>
      </c>
      <c r="B6501" s="1" t="s">
        <v>32</v>
      </c>
      <c r="C6501" s="1">
        <v>0.0</v>
      </c>
      <c r="D6501" s="1" t="s">
        <v>26</v>
      </c>
      <c r="E6501" s="1" t="s">
        <v>26</v>
      </c>
      <c r="F6501" s="1">
        <v>1.0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1">
        <v>20.3</v>
      </c>
      <c r="T6501" s="1">
        <v>20.3</v>
      </c>
      <c r="U6501" s="1">
        <v>0.0</v>
      </c>
      <c r="V6501" s="1">
        <v>0.0</v>
      </c>
      <c r="W6501" s="1" t="s">
        <v>26</v>
      </c>
    </row>
    <row r="6502" ht="15.75" customHeight="1">
      <c r="A6502" s="1" t="s">
        <v>6539</v>
      </c>
      <c r="B6502" s="1" t="s">
        <v>24</v>
      </c>
      <c r="C6502" s="1">
        <v>0.0</v>
      </c>
      <c r="D6502" s="1" t="s">
        <v>26</v>
      </c>
      <c r="E6502" s="1" t="s">
        <v>26</v>
      </c>
      <c r="F6502" s="1">
        <v>21.0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1">
        <v>35.1</v>
      </c>
      <c r="T6502" s="1">
        <v>770.4</v>
      </c>
      <c r="U6502" s="1">
        <v>0.0</v>
      </c>
      <c r="V6502" s="1">
        <v>0.0</v>
      </c>
      <c r="W6502" s="1" t="s">
        <v>26</v>
      </c>
    </row>
    <row r="6503" ht="15.75" customHeight="1">
      <c r="A6503" s="1" t="s">
        <v>6540</v>
      </c>
      <c r="B6503" s="1" t="s">
        <v>24</v>
      </c>
      <c r="C6503" s="1">
        <v>0.0</v>
      </c>
      <c r="D6503" s="1" t="s">
        <v>25</v>
      </c>
      <c r="E6503" s="1" t="s">
        <v>26</v>
      </c>
      <c r="F6503" s="1">
        <v>67.0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1">
        <v>105.7</v>
      </c>
      <c r="T6503" s="1">
        <v>6816.95</v>
      </c>
      <c r="U6503" s="1">
        <v>0.0</v>
      </c>
      <c r="V6503" s="1">
        <v>0.0</v>
      </c>
      <c r="W6503" s="1" t="s">
        <v>26</v>
      </c>
    </row>
    <row r="6504" ht="15.75" customHeight="1">
      <c r="A6504" s="1" t="s">
        <v>6541</v>
      </c>
      <c r="B6504" s="1" t="s">
        <v>24</v>
      </c>
      <c r="C6504" s="1">
        <v>0.0</v>
      </c>
      <c r="D6504" s="1" t="s">
        <v>25</v>
      </c>
      <c r="E6504" s="1" t="s">
        <v>25</v>
      </c>
      <c r="F6504" s="1">
        <v>44.0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1">
        <v>56.25</v>
      </c>
      <c r="T6504" s="1">
        <v>2419.55</v>
      </c>
      <c r="U6504" s="1">
        <v>0.0</v>
      </c>
      <c r="V6504" s="1">
        <v>0.0</v>
      </c>
      <c r="W6504" s="1" t="s">
        <v>26</v>
      </c>
    </row>
    <row r="6505" ht="15.75" customHeight="1">
      <c r="A6505" s="1" t="s">
        <v>6542</v>
      </c>
      <c r="B6505" s="1" t="s">
        <v>32</v>
      </c>
      <c r="C6505" s="1">
        <v>0.0</v>
      </c>
      <c r="D6505" s="1" t="s">
        <v>25</v>
      </c>
      <c r="E6505" s="1" t="s">
        <v>25</v>
      </c>
      <c r="F6505" s="1">
        <v>70.0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1">
        <v>60.35</v>
      </c>
      <c r="T6505" s="1">
        <v>4138.7</v>
      </c>
      <c r="U6505" s="1">
        <v>0.0</v>
      </c>
      <c r="V6505" s="1">
        <v>0.0</v>
      </c>
      <c r="W6505" s="1" t="s">
        <v>26</v>
      </c>
    </row>
    <row r="6506" ht="15.75" customHeight="1">
      <c r="A6506" s="1" t="s">
        <v>6543</v>
      </c>
      <c r="B6506" s="1" t="s">
        <v>32</v>
      </c>
      <c r="C6506" s="1">
        <v>0.0</v>
      </c>
      <c r="D6506" s="1" t="s">
        <v>26</v>
      </c>
      <c r="E6506" s="1" t="s">
        <v>26</v>
      </c>
      <c r="F6506" s="1">
        <v>3.0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1">
        <v>79.25</v>
      </c>
      <c r="T6506" s="1">
        <v>267.6</v>
      </c>
      <c r="U6506" s="1">
        <v>0.0</v>
      </c>
      <c r="V6506" s="1">
        <v>0.0</v>
      </c>
      <c r="W6506" s="1" t="s">
        <v>25</v>
      </c>
    </row>
    <row r="6507" ht="15.75" customHeight="1">
      <c r="A6507" s="1" t="s">
        <v>6544</v>
      </c>
      <c r="B6507" s="1" t="s">
        <v>32</v>
      </c>
      <c r="C6507" s="1">
        <v>0.0</v>
      </c>
      <c r="D6507" s="1" t="s">
        <v>25</v>
      </c>
      <c r="E6507" s="1" t="s">
        <v>25</v>
      </c>
      <c r="F6507" s="1">
        <v>56.0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1">
        <v>59.8</v>
      </c>
      <c r="T6507" s="1">
        <v>3457.45</v>
      </c>
      <c r="U6507" s="1">
        <v>1.0</v>
      </c>
      <c r="V6507" s="1">
        <v>0.0</v>
      </c>
      <c r="W6507" s="1" t="s">
        <v>26</v>
      </c>
    </row>
    <row r="6508" ht="15.75" customHeight="1">
      <c r="A6508" s="1" t="s">
        <v>6545</v>
      </c>
      <c r="B6508" s="1" t="s">
        <v>24</v>
      </c>
      <c r="C6508" s="1">
        <v>0.0</v>
      </c>
      <c r="D6508" s="1" t="s">
        <v>26</v>
      </c>
      <c r="E6508" s="1" t="s">
        <v>26</v>
      </c>
      <c r="F6508" s="1">
        <v>13.0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1">
        <v>84.6</v>
      </c>
      <c r="T6508" s="1">
        <v>1115.2</v>
      </c>
      <c r="U6508" s="1">
        <v>0.0</v>
      </c>
      <c r="V6508" s="1">
        <v>0.0</v>
      </c>
      <c r="W6508" s="1" t="s">
        <v>25</v>
      </c>
    </row>
    <row r="6509" ht="15.75" customHeight="1">
      <c r="A6509" s="1" t="s">
        <v>6546</v>
      </c>
      <c r="B6509" s="1" t="s">
        <v>24</v>
      </c>
      <c r="C6509" s="1">
        <v>0.0</v>
      </c>
      <c r="D6509" s="1" t="s">
        <v>25</v>
      </c>
      <c r="E6509" s="1" t="s">
        <v>25</v>
      </c>
      <c r="F6509" s="1">
        <v>58.0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1">
        <v>93.4</v>
      </c>
      <c r="T6509" s="1">
        <v>5435.6</v>
      </c>
      <c r="U6509" s="1">
        <v>2.0</v>
      </c>
      <c r="V6509" s="1">
        <v>5.0</v>
      </c>
      <c r="W6509" s="1" t="s">
        <v>25</v>
      </c>
    </row>
    <row r="6510" ht="15.75" customHeight="1">
      <c r="A6510" s="1" t="s">
        <v>6547</v>
      </c>
      <c r="B6510" s="1" t="s">
        <v>24</v>
      </c>
      <c r="C6510" s="1">
        <v>0.0</v>
      </c>
      <c r="D6510" s="1" t="s">
        <v>25</v>
      </c>
      <c r="E6510" s="1" t="s">
        <v>25</v>
      </c>
      <c r="F6510" s="1">
        <v>42.0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1">
        <v>94.2</v>
      </c>
      <c r="T6510" s="1">
        <v>4186.3</v>
      </c>
      <c r="U6510" s="1">
        <v>0.0</v>
      </c>
      <c r="V6510" s="1">
        <v>5.0</v>
      </c>
      <c r="W6510" s="1" t="s">
        <v>25</v>
      </c>
    </row>
    <row r="6511" ht="15.75" customHeight="1">
      <c r="A6511" s="1" t="s">
        <v>6548</v>
      </c>
      <c r="B6511" s="1" t="s">
        <v>32</v>
      </c>
      <c r="C6511" s="1">
        <v>1.0</v>
      </c>
      <c r="D6511" s="1" t="s">
        <v>25</v>
      </c>
      <c r="E6511" s="1" t="s">
        <v>26</v>
      </c>
      <c r="F6511" s="1">
        <v>1.0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1">
        <v>25.05</v>
      </c>
      <c r="T6511" s="1">
        <v>25.05</v>
      </c>
      <c r="U6511" s="1">
        <v>0.0</v>
      </c>
      <c r="V6511" s="1">
        <v>0.0</v>
      </c>
      <c r="W6511" s="1" t="s">
        <v>25</v>
      </c>
    </row>
    <row r="6512" ht="15.75" customHeight="1">
      <c r="A6512" s="1" t="s">
        <v>6549</v>
      </c>
      <c r="B6512" s="1" t="s">
        <v>24</v>
      </c>
      <c r="C6512" s="1">
        <v>0.0</v>
      </c>
      <c r="D6512" s="1" t="s">
        <v>25</v>
      </c>
      <c r="E6512" s="1" t="s">
        <v>25</v>
      </c>
      <c r="F6512" s="1">
        <v>46.0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1">
        <v>99.65</v>
      </c>
      <c r="T6512" s="1">
        <v>4630.2</v>
      </c>
      <c r="U6512" s="1">
        <v>0.0</v>
      </c>
      <c r="V6512" s="1">
        <v>0.0</v>
      </c>
      <c r="W6512" s="1" t="s">
        <v>26</v>
      </c>
    </row>
    <row r="6513" ht="15.75" customHeight="1">
      <c r="A6513" s="1" t="s">
        <v>6550</v>
      </c>
      <c r="B6513" s="1" t="s">
        <v>24</v>
      </c>
      <c r="C6513" s="1">
        <v>0.0</v>
      </c>
      <c r="D6513" s="1" t="s">
        <v>25</v>
      </c>
      <c r="E6513" s="1" t="s">
        <v>25</v>
      </c>
      <c r="F6513" s="1">
        <v>63.0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1">
        <v>50.65</v>
      </c>
      <c r="T6513" s="1">
        <v>3221.25</v>
      </c>
      <c r="U6513" s="1">
        <v>0.0</v>
      </c>
      <c r="V6513" s="1">
        <v>0.0</v>
      </c>
      <c r="W6513" s="1" t="s">
        <v>26</v>
      </c>
    </row>
    <row r="6514" ht="15.75" customHeight="1">
      <c r="A6514" s="1" t="s">
        <v>6551</v>
      </c>
      <c r="B6514" s="1" t="s">
        <v>32</v>
      </c>
      <c r="C6514" s="1">
        <v>0.0</v>
      </c>
      <c r="D6514" s="1" t="s">
        <v>26</v>
      </c>
      <c r="E6514" s="1" t="s">
        <v>26</v>
      </c>
      <c r="F6514" s="1">
        <v>11.0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1">
        <v>60.9</v>
      </c>
      <c r="T6514" s="1">
        <v>688.5</v>
      </c>
      <c r="U6514" s="1">
        <v>1.0</v>
      </c>
      <c r="V6514" s="1">
        <v>0.0</v>
      </c>
      <c r="W6514" s="1" t="s">
        <v>26</v>
      </c>
    </row>
    <row r="6515" ht="15.75" customHeight="1">
      <c r="A6515" s="1" t="s">
        <v>6552</v>
      </c>
      <c r="B6515" s="1" t="s">
        <v>32</v>
      </c>
      <c r="C6515" s="1">
        <v>0.0</v>
      </c>
      <c r="D6515" s="1" t="s">
        <v>25</v>
      </c>
      <c r="E6515" s="1" t="s">
        <v>25</v>
      </c>
      <c r="F6515" s="1">
        <v>15.0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1">
        <v>59.65</v>
      </c>
      <c r="T6515" s="1">
        <v>867.1</v>
      </c>
      <c r="U6515" s="1">
        <v>1.0</v>
      </c>
      <c r="V6515" s="1">
        <v>0.0</v>
      </c>
      <c r="W6515" s="1" t="s">
        <v>26</v>
      </c>
    </row>
    <row r="6516" ht="15.75" customHeight="1">
      <c r="A6516" s="1" t="s">
        <v>6553</v>
      </c>
      <c r="B6516" s="1" t="s">
        <v>32</v>
      </c>
      <c r="C6516" s="1">
        <v>0.0</v>
      </c>
      <c r="D6516" s="1" t="s">
        <v>25</v>
      </c>
      <c r="E6516" s="1" t="s">
        <v>26</v>
      </c>
      <c r="F6516" s="1">
        <v>72.0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1">
        <v>64.7</v>
      </c>
      <c r="T6516" s="1">
        <v>4746.05</v>
      </c>
      <c r="U6516" s="1">
        <v>0.0</v>
      </c>
      <c r="V6516" s="1">
        <v>0.0</v>
      </c>
      <c r="W6516" s="1" t="s">
        <v>26</v>
      </c>
    </row>
    <row r="6517" ht="15.75" customHeight="1">
      <c r="A6517" s="1" t="s">
        <v>6554</v>
      </c>
      <c r="B6517" s="1" t="s">
        <v>24</v>
      </c>
      <c r="C6517" s="1">
        <v>0.0</v>
      </c>
      <c r="D6517" s="1" t="s">
        <v>26</v>
      </c>
      <c r="E6517" s="1" t="s">
        <v>26</v>
      </c>
      <c r="F6517" s="1">
        <v>29.0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1">
        <v>25.1</v>
      </c>
      <c r="T6517" s="1">
        <v>712.85</v>
      </c>
      <c r="U6517" s="1">
        <v>0.0</v>
      </c>
      <c r="V6517" s="1">
        <v>0.0</v>
      </c>
      <c r="W6517" s="1" t="s">
        <v>25</v>
      </c>
    </row>
    <row r="6518" ht="15.75" customHeight="1">
      <c r="A6518" s="1" t="s">
        <v>6555</v>
      </c>
      <c r="B6518" s="1" t="s">
        <v>32</v>
      </c>
      <c r="C6518" s="1">
        <v>0.0</v>
      </c>
      <c r="D6518" s="1" t="s">
        <v>26</v>
      </c>
      <c r="E6518" s="1" t="s">
        <v>25</v>
      </c>
      <c r="F6518" s="1">
        <v>1.0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1">
        <v>48.95</v>
      </c>
      <c r="T6518" s="1">
        <v>48.95</v>
      </c>
      <c r="U6518" s="1">
        <v>0.0</v>
      </c>
      <c r="V6518" s="1">
        <v>0.0</v>
      </c>
      <c r="W6518" s="1" t="s">
        <v>25</v>
      </c>
    </row>
    <row r="6519" ht="15.75" customHeight="1">
      <c r="A6519" s="1" t="s">
        <v>6556</v>
      </c>
      <c r="B6519" s="1" t="s">
        <v>24</v>
      </c>
      <c r="C6519" s="1">
        <v>0.0</v>
      </c>
      <c r="D6519" s="1" t="s">
        <v>25</v>
      </c>
      <c r="E6519" s="1" t="s">
        <v>25</v>
      </c>
      <c r="F6519" s="1">
        <v>6.0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1">
        <v>54.85</v>
      </c>
      <c r="T6519" s="1">
        <v>355.1</v>
      </c>
      <c r="U6519" s="1">
        <v>0.0</v>
      </c>
      <c r="V6519" s="1">
        <v>0.0</v>
      </c>
      <c r="W6519" s="1" t="s">
        <v>26</v>
      </c>
    </row>
    <row r="6520" ht="15.75" customHeight="1">
      <c r="A6520" s="1" t="s">
        <v>6557</v>
      </c>
      <c r="B6520" s="1" t="s">
        <v>32</v>
      </c>
      <c r="C6520" s="1">
        <v>0.0</v>
      </c>
      <c r="D6520" s="1" t="s">
        <v>26</v>
      </c>
      <c r="E6520" s="1" t="s">
        <v>26</v>
      </c>
      <c r="F6520" s="1">
        <v>1.0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1">
        <v>45.3</v>
      </c>
      <c r="T6520" s="1">
        <v>45.3</v>
      </c>
      <c r="U6520" s="1">
        <v>0.0</v>
      </c>
      <c r="V6520" s="1">
        <v>0.0</v>
      </c>
      <c r="W6520" s="1" t="s">
        <v>25</v>
      </c>
    </row>
    <row r="6521" ht="15.75" customHeight="1">
      <c r="A6521" s="1" t="s">
        <v>6558</v>
      </c>
      <c r="B6521" s="1" t="s">
        <v>32</v>
      </c>
      <c r="C6521" s="1">
        <v>0.0</v>
      </c>
      <c r="D6521" s="1" t="s">
        <v>25</v>
      </c>
      <c r="E6521" s="1" t="s">
        <v>25</v>
      </c>
      <c r="F6521" s="1">
        <v>63.0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1">
        <v>91.35</v>
      </c>
      <c r="T6521" s="1">
        <v>5764.7</v>
      </c>
      <c r="U6521" s="1">
        <v>0.0</v>
      </c>
      <c r="V6521" s="1">
        <v>0.0</v>
      </c>
      <c r="W6521" s="1" t="s">
        <v>26</v>
      </c>
    </row>
    <row r="6522" ht="15.75" customHeight="1">
      <c r="A6522" s="1" t="s">
        <v>6559</v>
      </c>
      <c r="B6522" s="1" t="s">
        <v>32</v>
      </c>
      <c r="C6522" s="1">
        <v>0.0</v>
      </c>
      <c r="D6522" s="1" t="s">
        <v>26</v>
      </c>
      <c r="E6522" s="1" t="s">
        <v>26</v>
      </c>
      <c r="F6522" s="1">
        <v>2.0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1">
        <v>85.85</v>
      </c>
      <c r="T6522" s="1">
        <v>167.3</v>
      </c>
      <c r="U6522" s="1">
        <v>0.0</v>
      </c>
      <c r="V6522" s="1">
        <v>0.0</v>
      </c>
      <c r="W6522" s="1" t="s">
        <v>25</v>
      </c>
    </row>
    <row r="6523" ht="15.75" customHeight="1">
      <c r="A6523" s="1" t="s">
        <v>6560</v>
      </c>
      <c r="B6523" s="1" t="s">
        <v>24</v>
      </c>
      <c r="C6523" s="1">
        <v>0.0</v>
      </c>
      <c r="D6523" s="1" t="s">
        <v>25</v>
      </c>
      <c r="E6523" s="1" t="s">
        <v>25</v>
      </c>
      <c r="F6523" s="1">
        <v>18.0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1">
        <v>25.1</v>
      </c>
      <c r="T6523" s="1">
        <v>428.45</v>
      </c>
      <c r="U6523" s="1">
        <v>0.0</v>
      </c>
      <c r="V6523" s="1">
        <v>0.0</v>
      </c>
      <c r="W6523" s="1" t="s">
        <v>26</v>
      </c>
    </row>
    <row r="6524" ht="15.75" customHeight="1">
      <c r="A6524" s="1" t="s">
        <v>6561</v>
      </c>
      <c r="B6524" s="1" t="s">
        <v>24</v>
      </c>
      <c r="C6524" s="1">
        <v>0.0</v>
      </c>
      <c r="D6524" s="1" t="s">
        <v>25</v>
      </c>
      <c r="E6524" s="1" t="s">
        <v>26</v>
      </c>
      <c r="F6524" s="1">
        <v>43.0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1">
        <v>34.0</v>
      </c>
      <c r="T6524" s="1">
        <v>1505.35</v>
      </c>
      <c r="U6524" s="1">
        <v>0.0</v>
      </c>
      <c r="V6524" s="1">
        <v>0.0</v>
      </c>
      <c r="W6524" s="1" t="s">
        <v>26</v>
      </c>
    </row>
    <row r="6525" ht="15.75" customHeight="1">
      <c r="A6525" s="1" t="s">
        <v>6562</v>
      </c>
      <c r="B6525" s="1" t="s">
        <v>24</v>
      </c>
      <c r="C6525" s="1">
        <v>0.0</v>
      </c>
      <c r="D6525" s="1" t="s">
        <v>26</v>
      </c>
      <c r="E6525" s="1" t="s">
        <v>26</v>
      </c>
      <c r="F6525" s="1">
        <v>15.0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1">
        <v>45.9</v>
      </c>
      <c r="T6525" s="1">
        <v>693.45</v>
      </c>
      <c r="U6525" s="1">
        <v>0.0</v>
      </c>
      <c r="V6525" s="1">
        <v>0.0</v>
      </c>
      <c r="W6525" s="1" t="s">
        <v>26</v>
      </c>
    </row>
    <row r="6526" ht="15.75" customHeight="1">
      <c r="A6526" s="1" t="s">
        <v>6563</v>
      </c>
      <c r="B6526" s="1" t="s">
        <v>32</v>
      </c>
      <c r="C6526" s="1">
        <v>0.0</v>
      </c>
      <c r="D6526" s="1" t="s">
        <v>26</v>
      </c>
      <c r="E6526" s="1" t="s">
        <v>25</v>
      </c>
      <c r="F6526" s="1">
        <v>10.0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1">
        <v>95.2</v>
      </c>
      <c r="T6526" s="1">
        <v>930.4</v>
      </c>
      <c r="U6526" s="1">
        <v>5.0</v>
      </c>
      <c r="V6526" s="1">
        <v>0.0</v>
      </c>
      <c r="W6526" s="1" t="s">
        <v>25</v>
      </c>
    </row>
    <row r="6527" ht="15.75" customHeight="1">
      <c r="A6527" s="1" t="s">
        <v>6564</v>
      </c>
      <c r="B6527" s="1" t="s">
        <v>32</v>
      </c>
      <c r="C6527" s="1">
        <v>0.0</v>
      </c>
      <c r="D6527" s="1" t="s">
        <v>25</v>
      </c>
      <c r="E6527" s="1" t="s">
        <v>25</v>
      </c>
      <c r="F6527" s="1">
        <v>55.0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1">
        <v>20.5</v>
      </c>
      <c r="T6527" s="1">
        <v>1177.95</v>
      </c>
      <c r="U6527" s="1">
        <v>0.0</v>
      </c>
      <c r="V6527" s="1">
        <v>0.0</v>
      </c>
      <c r="W6527" s="1" t="s">
        <v>26</v>
      </c>
    </row>
    <row r="6528" ht="15.75" customHeight="1">
      <c r="A6528" s="1" t="s">
        <v>6565</v>
      </c>
      <c r="B6528" s="1" t="s">
        <v>32</v>
      </c>
      <c r="C6528" s="1">
        <v>0.0</v>
      </c>
      <c r="D6528" s="1" t="s">
        <v>26</v>
      </c>
      <c r="E6528" s="1" t="s">
        <v>25</v>
      </c>
      <c r="F6528" s="1">
        <v>49.0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1">
        <v>100.6</v>
      </c>
      <c r="T6528" s="1">
        <v>5069.65</v>
      </c>
      <c r="U6528" s="1">
        <v>0.0</v>
      </c>
      <c r="V6528" s="1">
        <v>5.0</v>
      </c>
      <c r="W6528" s="1" t="s">
        <v>25</v>
      </c>
    </row>
    <row r="6529" ht="15.75" customHeight="1">
      <c r="A6529" s="1" t="s">
        <v>6566</v>
      </c>
      <c r="B6529" s="1" t="s">
        <v>32</v>
      </c>
      <c r="C6529" s="1">
        <v>0.0</v>
      </c>
      <c r="D6529" s="1" t="s">
        <v>25</v>
      </c>
      <c r="E6529" s="1" t="s">
        <v>25</v>
      </c>
      <c r="F6529" s="1">
        <v>6.0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1">
        <v>55.3</v>
      </c>
      <c r="T6529" s="1">
        <v>324.25</v>
      </c>
      <c r="U6529" s="1">
        <v>0.0</v>
      </c>
      <c r="V6529" s="1">
        <v>0.0</v>
      </c>
      <c r="W6529" s="1" t="s">
        <v>25</v>
      </c>
    </row>
    <row r="6530" ht="15.75" customHeight="1">
      <c r="A6530" s="1" t="s">
        <v>6567</v>
      </c>
      <c r="B6530" s="1" t="s">
        <v>32</v>
      </c>
      <c r="C6530" s="1">
        <v>0.0</v>
      </c>
      <c r="D6530" s="1" t="s">
        <v>25</v>
      </c>
      <c r="E6530" s="1" t="s">
        <v>25</v>
      </c>
      <c r="F6530" s="1">
        <v>70.0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1">
        <v>20.35</v>
      </c>
      <c r="T6530" s="1">
        <v>1458.1</v>
      </c>
      <c r="U6530" s="1">
        <v>0.0</v>
      </c>
      <c r="V6530" s="1">
        <v>2.0</v>
      </c>
      <c r="W6530" s="1" t="s">
        <v>26</v>
      </c>
    </row>
    <row r="6531" ht="15.75" customHeight="1">
      <c r="A6531" s="1" t="s">
        <v>6568</v>
      </c>
      <c r="B6531" s="1" t="s">
        <v>32</v>
      </c>
      <c r="C6531" s="1">
        <v>1.0</v>
      </c>
      <c r="D6531" s="1" t="s">
        <v>26</v>
      </c>
      <c r="E6531" s="1" t="s">
        <v>26</v>
      </c>
      <c r="F6531" s="1">
        <v>2.0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1">
        <v>74.85</v>
      </c>
      <c r="T6531" s="1">
        <v>156.4</v>
      </c>
      <c r="U6531" s="1">
        <v>4.0</v>
      </c>
      <c r="V6531" s="1">
        <v>0.0</v>
      </c>
      <c r="W6531" s="1" t="s">
        <v>25</v>
      </c>
    </row>
    <row r="6532" ht="15.75" customHeight="1">
      <c r="A6532" s="1" t="s">
        <v>6569</v>
      </c>
      <c r="B6532" s="1" t="s">
        <v>32</v>
      </c>
      <c r="C6532" s="1">
        <v>1.0</v>
      </c>
      <c r="D6532" s="1" t="s">
        <v>25</v>
      </c>
      <c r="E6532" s="1" t="s">
        <v>26</v>
      </c>
      <c r="F6532" s="1">
        <v>63.0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1">
        <v>36.1</v>
      </c>
      <c r="T6532" s="1">
        <v>2298.9</v>
      </c>
      <c r="U6532" s="1">
        <v>0.0</v>
      </c>
      <c r="V6532" s="1">
        <v>0.0</v>
      </c>
      <c r="W6532" s="1" t="s">
        <v>26</v>
      </c>
    </row>
    <row r="6533" ht="15.75" customHeight="1">
      <c r="A6533" s="1" t="s">
        <v>6570</v>
      </c>
      <c r="B6533" s="1" t="s">
        <v>24</v>
      </c>
      <c r="C6533" s="1">
        <v>0.0</v>
      </c>
      <c r="D6533" s="1" t="s">
        <v>26</v>
      </c>
      <c r="E6533" s="1" t="s">
        <v>26</v>
      </c>
      <c r="F6533" s="1">
        <v>25.0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1">
        <v>65.8</v>
      </c>
      <c r="T6533" s="1">
        <v>1679.65</v>
      </c>
      <c r="U6533" s="1">
        <v>0.0</v>
      </c>
      <c r="V6533" s="1">
        <v>0.0</v>
      </c>
      <c r="W6533" s="1" t="s">
        <v>26</v>
      </c>
    </row>
    <row r="6534" ht="15.75" customHeight="1">
      <c r="A6534" s="1" t="s">
        <v>6571</v>
      </c>
      <c r="B6534" s="1" t="s">
        <v>24</v>
      </c>
      <c r="C6534" s="1">
        <v>1.0</v>
      </c>
      <c r="D6534" s="1" t="s">
        <v>26</v>
      </c>
      <c r="E6534" s="1" t="s">
        <v>26</v>
      </c>
      <c r="F6534" s="1">
        <v>18.0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1">
        <v>20.35</v>
      </c>
      <c r="T6534" s="1">
        <v>369.6</v>
      </c>
      <c r="U6534" s="1">
        <v>0.0</v>
      </c>
      <c r="V6534" s="1">
        <v>0.0</v>
      </c>
      <c r="W6534" s="1" t="s">
        <v>26</v>
      </c>
    </row>
    <row r="6535" ht="15.75" customHeight="1">
      <c r="A6535" s="1" t="s">
        <v>6572</v>
      </c>
      <c r="B6535" s="1" t="s">
        <v>32</v>
      </c>
      <c r="C6535" s="1">
        <v>1.0</v>
      </c>
      <c r="D6535" s="1" t="s">
        <v>25</v>
      </c>
      <c r="E6535" s="1" t="s">
        <v>26</v>
      </c>
      <c r="F6535" s="1">
        <v>28.0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1">
        <v>105.8</v>
      </c>
      <c r="T6535" s="1">
        <v>2998.0</v>
      </c>
      <c r="U6535" s="1">
        <v>0.0</v>
      </c>
      <c r="V6535" s="1">
        <v>0.0</v>
      </c>
      <c r="W6535" s="1" t="s">
        <v>26</v>
      </c>
    </row>
    <row r="6536" ht="15.75" customHeight="1">
      <c r="A6536" s="1" t="s">
        <v>6573</v>
      </c>
      <c r="B6536" s="1" t="s">
        <v>24</v>
      </c>
      <c r="C6536" s="1">
        <v>1.0</v>
      </c>
      <c r="D6536" s="1" t="s">
        <v>26</v>
      </c>
      <c r="E6536" s="1" t="s">
        <v>26</v>
      </c>
      <c r="F6536" s="1">
        <v>53.0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1">
        <v>96.75</v>
      </c>
      <c r="T6536" s="1">
        <v>5206.55</v>
      </c>
      <c r="U6536" s="1">
        <v>0.0</v>
      </c>
      <c r="V6536" s="1">
        <v>0.0</v>
      </c>
      <c r="W6536" s="1" t="s">
        <v>26</v>
      </c>
    </row>
    <row r="6537" ht="15.75" customHeight="1">
      <c r="A6537" s="1" t="s">
        <v>6574</v>
      </c>
      <c r="B6537" s="1" t="s">
        <v>32</v>
      </c>
      <c r="C6537" s="1">
        <v>0.0</v>
      </c>
      <c r="D6537" s="1" t="s">
        <v>26</v>
      </c>
      <c r="E6537" s="1" t="s">
        <v>26</v>
      </c>
      <c r="F6537" s="1">
        <v>35.0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1">
        <v>102.35</v>
      </c>
      <c r="T6537" s="1">
        <v>3626.1</v>
      </c>
      <c r="U6537" s="1">
        <v>0.0</v>
      </c>
      <c r="V6537" s="1">
        <v>4.0</v>
      </c>
      <c r="W6537" s="1" t="s">
        <v>25</v>
      </c>
    </row>
    <row r="6538" ht="15.75" customHeight="1">
      <c r="A6538" s="1" t="s">
        <v>6575</v>
      </c>
      <c r="B6538" s="1" t="s">
        <v>32</v>
      </c>
      <c r="C6538" s="1">
        <v>0.0</v>
      </c>
      <c r="D6538" s="1" t="s">
        <v>26</v>
      </c>
      <c r="E6538" s="1" t="s">
        <v>26</v>
      </c>
      <c r="F6538" s="1">
        <v>1.0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1">
        <v>24.4</v>
      </c>
      <c r="T6538" s="1">
        <v>24.4</v>
      </c>
      <c r="U6538" s="1">
        <v>0.0</v>
      </c>
      <c r="V6538" s="1">
        <v>0.0</v>
      </c>
      <c r="W6538" s="1" t="s">
        <v>26</v>
      </c>
    </row>
    <row r="6539" ht="15.75" customHeight="1">
      <c r="A6539" s="1" t="s">
        <v>6576</v>
      </c>
      <c r="B6539" s="1" t="s">
        <v>32</v>
      </c>
      <c r="C6539" s="1">
        <v>0.0</v>
      </c>
      <c r="D6539" s="1" t="s">
        <v>25</v>
      </c>
      <c r="E6539" s="1" t="s">
        <v>26</v>
      </c>
      <c r="F6539" s="1">
        <v>70.0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1">
        <v>115.65</v>
      </c>
      <c r="T6539" s="1">
        <v>7968.85</v>
      </c>
      <c r="U6539" s="1">
        <v>2.0</v>
      </c>
      <c r="V6539" s="1">
        <v>7.0</v>
      </c>
      <c r="W6539" s="1" t="s">
        <v>25</v>
      </c>
    </row>
    <row r="6540" ht="15.75" customHeight="1">
      <c r="A6540" s="1" t="s">
        <v>6577</v>
      </c>
      <c r="B6540" s="1" t="s">
        <v>32</v>
      </c>
      <c r="C6540" s="1">
        <v>0.0</v>
      </c>
      <c r="D6540" s="1" t="s">
        <v>26</v>
      </c>
      <c r="E6540" s="1" t="s">
        <v>26</v>
      </c>
      <c r="F6540" s="1">
        <v>2.0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1">
        <v>79.85</v>
      </c>
      <c r="T6540" s="1">
        <v>152.45</v>
      </c>
      <c r="U6540" s="1">
        <v>0.0</v>
      </c>
      <c r="V6540" s="1">
        <v>0.0</v>
      </c>
      <c r="W6540" s="1" t="s">
        <v>25</v>
      </c>
    </row>
    <row r="6541" ht="15.75" customHeight="1">
      <c r="A6541" s="1" t="s">
        <v>6578</v>
      </c>
      <c r="B6541" s="1" t="s">
        <v>24</v>
      </c>
      <c r="C6541" s="1">
        <v>0.0</v>
      </c>
      <c r="D6541" s="1" t="s">
        <v>25</v>
      </c>
      <c r="E6541" s="1" t="s">
        <v>26</v>
      </c>
      <c r="F6541" s="1">
        <v>26.0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1">
        <v>73.05</v>
      </c>
      <c r="T6541" s="1">
        <v>1959.5</v>
      </c>
      <c r="U6541" s="1">
        <v>0.0</v>
      </c>
      <c r="V6541" s="1">
        <v>0.0</v>
      </c>
      <c r="W6541" s="1" t="s">
        <v>26</v>
      </c>
    </row>
    <row r="6542" ht="15.75" customHeight="1">
      <c r="A6542" s="1" t="s">
        <v>6579</v>
      </c>
      <c r="B6542" s="1" t="s">
        <v>24</v>
      </c>
      <c r="C6542" s="1">
        <v>0.0</v>
      </c>
      <c r="D6542" s="1" t="s">
        <v>26</v>
      </c>
      <c r="E6542" s="1" t="s">
        <v>26</v>
      </c>
      <c r="F6542" s="1">
        <v>34.0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1">
        <v>64.35</v>
      </c>
      <c r="T6542" s="1">
        <v>2053.05</v>
      </c>
      <c r="U6542" s="1">
        <v>1.0</v>
      </c>
      <c r="V6542" s="1">
        <v>0.0</v>
      </c>
      <c r="W6542" s="1" t="s">
        <v>26</v>
      </c>
    </row>
    <row r="6543" ht="15.75" customHeight="1">
      <c r="A6543" s="1" t="s">
        <v>6580</v>
      </c>
      <c r="B6543" s="1" t="s">
        <v>24</v>
      </c>
      <c r="C6543" s="1">
        <v>0.0</v>
      </c>
      <c r="D6543" s="1" t="s">
        <v>26</v>
      </c>
      <c r="E6543" s="1" t="s">
        <v>25</v>
      </c>
      <c r="F6543" s="1">
        <v>19.0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1">
        <v>20.5</v>
      </c>
      <c r="T6543" s="1">
        <v>398.55</v>
      </c>
      <c r="U6543" s="1">
        <v>0.0</v>
      </c>
      <c r="V6543" s="1">
        <v>0.0</v>
      </c>
      <c r="W6543" s="1" t="s">
        <v>26</v>
      </c>
    </row>
    <row r="6544" ht="15.75" customHeight="1">
      <c r="A6544" s="1" t="s">
        <v>6581</v>
      </c>
      <c r="B6544" s="1" t="s">
        <v>32</v>
      </c>
      <c r="C6544" s="1">
        <v>0.0</v>
      </c>
      <c r="D6544" s="1" t="s">
        <v>26</v>
      </c>
      <c r="E6544" s="1" t="s">
        <v>26</v>
      </c>
      <c r="F6544" s="1">
        <v>15.0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1">
        <v>76.0</v>
      </c>
      <c r="T6544" s="1">
        <v>1130.85</v>
      </c>
      <c r="U6544" s="1">
        <v>0.0</v>
      </c>
      <c r="V6544" s="1">
        <v>0.0</v>
      </c>
      <c r="W6544" s="1" t="s">
        <v>25</v>
      </c>
    </row>
    <row r="6545" ht="15.75" customHeight="1">
      <c r="A6545" s="1" t="s">
        <v>6582</v>
      </c>
      <c r="B6545" s="1" t="s">
        <v>24</v>
      </c>
      <c r="C6545" s="1">
        <v>0.0</v>
      </c>
      <c r="D6545" s="1" t="s">
        <v>25</v>
      </c>
      <c r="E6545" s="1" t="s">
        <v>25</v>
      </c>
      <c r="F6545" s="1">
        <v>62.0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1">
        <v>54.75</v>
      </c>
      <c r="T6545" s="1">
        <v>3425.35</v>
      </c>
      <c r="U6545" s="1">
        <v>0.0</v>
      </c>
      <c r="V6545" s="1">
        <v>0.0</v>
      </c>
      <c r="W6545" s="1" t="s">
        <v>26</v>
      </c>
    </row>
    <row r="6546" ht="15.75" customHeight="1">
      <c r="A6546" s="1" t="s">
        <v>6583</v>
      </c>
      <c r="B6546" s="1" t="s">
        <v>24</v>
      </c>
      <c r="C6546" s="1">
        <v>1.0</v>
      </c>
      <c r="D6546" s="1" t="s">
        <v>26</v>
      </c>
      <c r="E6546" s="1" t="s">
        <v>26</v>
      </c>
      <c r="F6546" s="1">
        <v>42.0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1">
        <v>104.75</v>
      </c>
      <c r="T6546" s="1">
        <v>4323.45</v>
      </c>
      <c r="U6546" s="1">
        <v>0.0</v>
      </c>
      <c r="V6546" s="1">
        <v>4.0</v>
      </c>
      <c r="W6546" s="1" t="s">
        <v>25</v>
      </c>
    </row>
    <row r="6547" ht="15.75" customHeight="1">
      <c r="A6547" s="1" t="s">
        <v>6584</v>
      </c>
      <c r="B6547" s="1" t="s">
        <v>24</v>
      </c>
      <c r="C6547" s="1">
        <v>0.0</v>
      </c>
      <c r="D6547" s="1" t="s">
        <v>26</v>
      </c>
      <c r="E6547" s="1" t="s">
        <v>26</v>
      </c>
      <c r="F6547" s="1">
        <v>9.0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1">
        <v>74.65</v>
      </c>
      <c r="T6547" s="1">
        <v>703.55</v>
      </c>
      <c r="U6547" s="1">
        <v>0.0</v>
      </c>
      <c r="V6547" s="1">
        <v>0.0</v>
      </c>
      <c r="W6547" s="1" t="s">
        <v>25</v>
      </c>
    </row>
    <row r="6548" ht="15.75" customHeight="1">
      <c r="A6548" s="1" t="s">
        <v>6585</v>
      </c>
      <c r="B6548" s="1" t="s">
        <v>32</v>
      </c>
      <c r="C6548" s="1">
        <v>0.0</v>
      </c>
      <c r="D6548" s="1" t="s">
        <v>26</v>
      </c>
      <c r="E6548" s="1" t="s">
        <v>26</v>
      </c>
      <c r="F6548" s="1">
        <v>24.0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1">
        <v>51.15</v>
      </c>
      <c r="T6548" s="1">
        <v>1275.7</v>
      </c>
      <c r="U6548" s="1">
        <v>0.0</v>
      </c>
      <c r="V6548" s="1">
        <v>0.0</v>
      </c>
      <c r="W6548" s="1" t="s">
        <v>26</v>
      </c>
    </row>
    <row r="6549" ht="15.75" customHeight="1">
      <c r="A6549" s="1" t="s">
        <v>6586</v>
      </c>
      <c r="B6549" s="1" t="s">
        <v>32</v>
      </c>
      <c r="C6549" s="1">
        <v>1.0</v>
      </c>
      <c r="D6549" s="1" t="s">
        <v>25</v>
      </c>
      <c r="E6549" s="1" t="s">
        <v>26</v>
      </c>
      <c r="F6549" s="1">
        <v>68.0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1">
        <v>41.95</v>
      </c>
      <c r="T6549" s="1">
        <v>2965.75</v>
      </c>
      <c r="U6549" s="1">
        <v>0.0</v>
      </c>
      <c r="V6549" s="1">
        <v>0.0</v>
      </c>
      <c r="W6549" s="1" t="s">
        <v>26</v>
      </c>
    </row>
    <row r="6550" ht="15.75" customHeight="1">
      <c r="A6550" s="1" t="s">
        <v>6587</v>
      </c>
      <c r="B6550" s="1" t="s">
        <v>32</v>
      </c>
      <c r="C6550" s="1">
        <v>0.0</v>
      </c>
      <c r="D6550" s="1" t="s">
        <v>25</v>
      </c>
      <c r="E6550" s="1" t="s">
        <v>25</v>
      </c>
      <c r="F6550" s="1">
        <v>31.0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1">
        <v>54.35</v>
      </c>
      <c r="T6550" s="1">
        <v>1647.0</v>
      </c>
      <c r="U6550" s="1">
        <v>0.0</v>
      </c>
      <c r="V6550" s="1">
        <v>0.0</v>
      </c>
      <c r="W6550" s="1" t="s">
        <v>26</v>
      </c>
    </row>
    <row r="6551" ht="15.75" customHeight="1">
      <c r="A6551" s="1" t="s">
        <v>6588</v>
      </c>
      <c r="B6551" s="1" t="s">
        <v>24</v>
      </c>
      <c r="C6551" s="1">
        <v>0.0</v>
      </c>
      <c r="D6551" s="1" t="s">
        <v>26</v>
      </c>
      <c r="E6551" s="1" t="s">
        <v>26</v>
      </c>
      <c r="F6551" s="1">
        <v>1.0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1">
        <v>56.25</v>
      </c>
      <c r="T6551" s="1">
        <v>56.25</v>
      </c>
      <c r="U6551" s="1">
        <v>0.0</v>
      </c>
      <c r="V6551" s="1">
        <v>0.0</v>
      </c>
      <c r="W6551" s="1" t="s">
        <v>25</v>
      </c>
    </row>
    <row r="6552" ht="15.75" customHeight="1">
      <c r="A6552" s="1" t="s">
        <v>6589</v>
      </c>
      <c r="B6552" s="1" t="s">
        <v>32</v>
      </c>
      <c r="C6552" s="1">
        <v>0.0</v>
      </c>
      <c r="D6552" s="1" t="s">
        <v>25</v>
      </c>
      <c r="E6552" s="1" t="s">
        <v>26</v>
      </c>
      <c r="F6552" s="1">
        <v>21.0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1">
        <v>106.1</v>
      </c>
      <c r="T6552" s="1">
        <v>2249.95</v>
      </c>
      <c r="U6552" s="1">
        <v>0.0</v>
      </c>
      <c r="V6552" s="1">
        <v>2.0</v>
      </c>
      <c r="W6552" s="1" t="s">
        <v>25</v>
      </c>
    </row>
    <row r="6553" ht="15.75" customHeight="1">
      <c r="A6553" s="1" t="s">
        <v>6590</v>
      </c>
      <c r="B6553" s="1" t="s">
        <v>24</v>
      </c>
      <c r="C6553" s="1">
        <v>0.0</v>
      </c>
      <c r="D6553" s="1" t="s">
        <v>25</v>
      </c>
      <c r="E6553" s="1" t="s">
        <v>26</v>
      </c>
      <c r="F6553" s="1">
        <v>63.0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1">
        <v>96.0</v>
      </c>
      <c r="T6553" s="1">
        <v>6109.75</v>
      </c>
      <c r="U6553" s="1">
        <v>0.0</v>
      </c>
      <c r="V6553" s="1">
        <v>0.0</v>
      </c>
      <c r="W6553" s="1" t="s">
        <v>26</v>
      </c>
    </row>
    <row r="6554" ht="15.75" customHeight="1">
      <c r="A6554" s="1" t="s">
        <v>6591</v>
      </c>
      <c r="B6554" s="1" t="s">
        <v>24</v>
      </c>
      <c r="C6554" s="1">
        <v>1.0</v>
      </c>
      <c r="D6554" s="1" t="s">
        <v>26</v>
      </c>
      <c r="E6554" s="1" t="s">
        <v>26</v>
      </c>
      <c r="F6554" s="1">
        <v>2.0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1">
        <v>79.75</v>
      </c>
      <c r="T6554" s="1">
        <v>159.4</v>
      </c>
      <c r="U6554" s="1">
        <v>0.0</v>
      </c>
      <c r="V6554" s="1">
        <v>0.0</v>
      </c>
      <c r="W6554" s="1" t="s">
        <v>25</v>
      </c>
    </row>
    <row r="6555" ht="15.75" customHeight="1">
      <c r="A6555" s="1" t="s">
        <v>6592</v>
      </c>
      <c r="B6555" s="1" t="s">
        <v>24</v>
      </c>
      <c r="C6555" s="1">
        <v>0.0</v>
      </c>
      <c r="D6555" s="1" t="s">
        <v>25</v>
      </c>
      <c r="E6555" s="1" t="s">
        <v>25</v>
      </c>
      <c r="F6555" s="1">
        <v>61.0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1">
        <v>61.45</v>
      </c>
      <c r="T6555" s="1">
        <v>3751.15</v>
      </c>
      <c r="U6555" s="1">
        <v>0.0</v>
      </c>
      <c r="V6555" s="1">
        <v>5.0</v>
      </c>
      <c r="W6555" s="1" t="s">
        <v>26</v>
      </c>
    </row>
    <row r="6556" ht="15.75" customHeight="1">
      <c r="A6556" s="1" t="s">
        <v>6593</v>
      </c>
      <c r="B6556" s="1" t="s">
        <v>24</v>
      </c>
      <c r="C6556" s="1">
        <v>0.0</v>
      </c>
      <c r="D6556" s="1" t="s">
        <v>26</v>
      </c>
      <c r="E6556" s="1" t="s">
        <v>26</v>
      </c>
      <c r="F6556" s="1">
        <v>1.0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1">
        <v>68.65</v>
      </c>
      <c r="T6556" s="1">
        <v>68.65</v>
      </c>
      <c r="U6556" s="1">
        <v>0.0</v>
      </c>
      <c r="V6556" s="1">
        <v>0.0</v>
      </c>
      <c r="W6556" s="1" t="s">
        <v>25</v>
      </c>
    </row>
    <row r="6557" ht="15.75" customHeight="1">
      <c r="A6557" s="1" t="s">
        <v>6594</v>
      </c>
      <c r="B6557" s="1" t="s">
        <v>32</v>
      </c>
      <c r="C6557" s="1">
        <v>0.0</v>
      </c>
      <c r="D6557" s="1" t="s">
        <v>26</v>
      </c>
      <c r="E6557" s="1" t="s">
        <v>26</v>
      </c>
      <c r="F6557" s="1">
        <v>18.0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1">
        <v>19.65</v>
      </c>
      <c r="T6557" s="1">
        <v>411.25</v>
      </c>
      <c r="U6557" s="1">
        <v>0.0</v>
      </c>
      <c r="V6557" s="1">
        <v>0.0</v>
      </c>
      <c r="W6557" s="1" t="s">
        <v>26</v>
      </c>
    </row>
    <row r="6558" ht="15.75" customHeight="1">
      <c r="A6558" s="1" t="s">
        <v>6595</v>
      </c>
      <c r="B6558" s="1" t="s">
        <v>24</v>
      </c>
      <c r="C6558" s="1">
        <v>0.0</v>
      </c>
      <c r="D6558" s="1" t="s">
        <v>25</v>
      </c>
      <c r="E6558" s="1" t="s">
        <v>25</v>
      </c>
      <c r="F6558" s="1">
        <v>6.0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1">
        <v>19.0</v>
      </c>
      <c r="T6558" s="1">
        <v>105.5</v>
      </c>
      <c r="U6558" s="1">
        <v>0.0</v>
      </c>
      <c r="V6558" s="1">
        <v>0.0</v>
      </c>
      <c r="W6558" s="1" t="s">
        <v>26</v>
      </c>
    </row>
    <row r="6559" ht="15.75" customHeight="1">
      <c r="A6559" s="1" t="s">
        <v>6596</v>
      </c>
      <c r="B6559" s="1" t="s">
        <v>24</v>
      </c>
      <c r="C6559" s="1">
        <v>0.0</v>
      </c>
      <c r="D6559" s="1" t="s">
        <v>26</v>
      </c>
      <c r="E6559" s="1" t="s">
        <v>26</v>
      </c>
      <c r="F6559" s="1">
        <v>33.0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1">
        <v>100.0</v>
      </c>
      <c r="T6559" s="1">
        <v>3320.6</v>
      </c>
      <c r="U6559" s="1">
        <v>0.0</v>
      </c>
      <c r="V6559" s="1">
        <v>0.0</v>
      </c>
      <c r="W6559" s="1" t="s">
        <v>26</v>
      </c>
    </row>
    <row r="6560" ht="15.75" customHeight="1">
      <c r="A6560" s="1" t="s">
        <v>6597</v>
      </c>
      <c r="B6560" s="1" t="s">
        <v>32</v>
      </c>
      <c r="C6560" s="1">
        <v>0.0</v>
      </c>
      <c r="D6560" s="1" t="s">
        <v>26</v>
      </c>
      <c r="E6560" s="1" t="s">
        <v>26</v>
      </c>
      <c r="F6560" s="1">
        <v>16.0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1">
        <v>20.25</v>
      </c>
      <c r="T6560" s="1">
        <v>327.45</v>
      </c>
      <c r="U6560" s="1">
        <v>0.0</v>
      </c>
      <c r="V6560" s="1">
        <v>0.0</v>
      </c>
      <c r="W6560" s="1" t="s">
        <v>25</v>
      </c>
    </row>
    <row r="6561" ht="15.75" customHeight="1">
      <c r="A6561" s="1" t="s">
        <v>6598</v>
      </c>
      <c r="B6561" s="1" t="s">
        <v>24</v>
      </c>
      <c r="C6561" s="1">
        <v>0.0</v>
      </c>
      <c r="D6561" s="1" t="s">
        <v>25</v>
      </c>
      <c r="E6561" s="1" t="s">
        <v>26</v>
      </c>
      <c r="F6561" s="1">
        <v>56.0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1">
        <v>98.7</v>
      </c>
      <c r="T6561" s="1">
        <v>5669.5</v>
      </c>
      <c r="U6561" s="1">
        <v>0.0</v>
      </c>
      <c r="V6561" s="1">
        <v>0.0</v>
      </c>
      <c r="W6561" s="1" t="s">
        <v>26</v>
      </c>
    </row>
    <row r="6562" ht="15.75" customHeight="1">
      <c r="A6562" s="1" t="s">
        <v>6599</v>
      </c>
      <c r="B6562" s="1" t="s">
        <v>32</v>
      </c>
      <c r="C6562" s="1">
        <v>0.0</v>
      </c>
      <c r="D6562" s="1" t="s">
        <v>26</v>
      </c>
      <c r="E6562" s="1" t="s">
        <v>25</v>
      </c>
      <c r="F6562" s="1">
        <v>23.0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1">
        <v>19.8</v>
      </c>
      <c r="T6562" s="1">
        <v>465.45</v>
      </c>
      <c r="U6562" s="1">
        <v>0.0</v>
      </c>
      <c r="V6562" s="1">
        <v>0.0</v>
      </c>
      <c r="W6562" s="1" t="s">
        <v>26</v>
      </c>
    </row>
    <row r="6563" ht="15.75" customHeight="1">
      <c r="A6563" s="1" t="s">
        <v>6600</v>
      </c>
      <c r="B6563" s="1" t="s">
        <v>32</v>
      </c>
      <c r="C6563" s="1">
        <v>0.0</v>
      </c>
      <c r="D6563" s="1" t="s">
        <v>26</v>
      </c>
      <c r="E6563" s="1" t="s">
        <v>26</v>
      </c>
      <c r="F6563" s="1">
        <v>9.0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1">
        <v>73.8</v>
      </c>
      <c r="T6563" s="1">
        <v>704.3</v>
      </c>
      <c r="U6563" s="1">
        <v>0.0</v>
      </c>
      <c r="V6563" s="1">
        <v>0.0</v>
      </c>
      <c r="W6563" s="1" t="s">
        <v>26</v>
      </c>
    </row>
    <row r="6564" ht="15.75" customHeight="1">
      <c r="A6564" s="1" t="s">
        <v>6601</v>
      </c>
      <c r="B6564" s="1" t="s">
        <v>24</v>
      </c>
      <c r="C6564" s="1">
        <v>1.0</v>
      </c>
      <c r="D6564" s="1" t="s">
        <v>25</v>
      </c>
      <c r="E6564" s="1" t="s">
        <v>26</v>
      </c>
      <c r="F6564" s="1">
        <v>14.0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1">
        <v>100.2</v>
      </c>
      <c r="T6564" s="1">
        <v>1369.8</v>
      </c>
      <c r="U6564" s="1">
        <v>1.0</v>
      </c>
      <c r="V6564" s="1">
        <v>1.0</v>
      </c>
      <c r="W6564" s="1" t="s">
        <v>25</v>
      </c>
    </row>
    <row r="6565" ht="15.75" customHeight="1">
      <c r="A6565" s="1" t="s">
        <v>6602</v>
      </c>
      <c r="B6565" s="1" t="s">
        <v>32</v>
      </c>
      <c r="C6565" s="1">
        <v>0.0</v>
      </c>
      <c r="D6565" s="1" t="s">
        <v>25</v>
      </c>
      <c r="E6565" s="1" t="s">
        <v>25</v>
      </c>
      <c r="F6565" s="1">
        <v>15.0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1">
        <v>74.9</v>
      </c>
      <c r="T6565" s="1">
        <v>1107.25</v>
      </c>
      <c r="U6565" s="1">
        <v>1.0</v>
      </c>
      <c r="V6565" s="1">
        <v>0.0</v>
      </c>
      <c r="W6565" s="1" t="s">
        <v>25</v>
      </c>
    </row>
    <row r="6566" ht="15.75" customHeight="1">
      <c r="A6566" s="1" t="s">
        <v>6603</v>
      </c>
      <c r="B6566" s="1" t="s">
        <v>32</v>
      </c>
      <c r="C6566" s="1">
        <v>0.0</v>
      </c>
      <c r="D6566" s="1" t="s">
        <v>26</v>
      </c>
      <c r="E6566" s="1" t="s">
        <v>26</v>
      </c>
      <c r="F6566" s="1">
        <v>5.0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1">
        <v>20.05</v>
      </c>
      <c r="T6566" s="1">
        <v>95.55</v>
      </c>
      <c r="U6566" s="1">
        <v>0.0</v>
      </c>
      <c r="V6566" s="1">
        <v>0.0</v>
      </c>
      <c r="W6566" s="1" t="s">
        <v>26</v>
      </c>
    </row>
    <row r="6567" ht="15.75" customHeight="1">
      <c r="A6567" s="1" t="s">
        <v>6604</v>
      </c>
      <c r="B6567" s="1" t="s">
        <v>32</v>
      </c>
      <c r="C6567" s="1">
        <v>0.0</v>
      </c>
      <c r="D6567" s="1" t="s">
        <v>25</v>
      </c>
      <c r="E6567" s="1" t="s">
        <v>26</v>
      </c>
      <c r="F6567" s="1">
        <v>61.0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1">
        <v>106.2</v>
      </c>
      <c r="T6567" s="1">
        <v>6375.2</v>
      </c>
      <c r="U6567" s="1">
        <v>0.0</v>
      </c>
      <c r="V6567" s="1">
        <v>0.0</v>
      </c>
      <c r="W6567" s="1" t="s">
        <v>26</v>
      </c>
    </row>
    <row r="6568" ht="15.75" customHeight="1">
      <c r="A6568" s="1" t="s">
        <v>6605</v>
      </c>
      <c r="B6568" s="1" t="s">
        <v>32</v>
      </c>
      <c r="C6568" s="1">
        <v>0.0</v>
      </c>
      <c r="D6568" s="1" t="s">
        <v>25</v>
      </c>
      <c r="E6568" s="1" t="s">
        <v>25</v>
      </c>
      <c r="F6568" s="1">
        <v>70.0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1">
        <v>116.55</v>
      </c>
      <c r="T6568" s="1">
        <v>8152.3</v>
      </c>
      <c r="U6568" s="1">
        <v>0.0</v>
      </c>
      <c r="V6568" s="1">
        <v>0.0</v>
      </c>
      <c r="W6568" s="1" t="s">
        <v>26</v>
      </c>
    </row>
    <row r="6569" ht="15.75" customHeight="1">
      <c r="A6569" s="1" t="s">
        <v>6606</v>
      </c>
      <c r="B6569" s="1" t="s">
        <v>32</v>
      </c>
      <c r="C6569" s="1">
        <v>0.0</v>
      </c>
      <c r="D6569" s="1" t="s">
        <v>26</v>
      </c>
      <c r="E6569" s="1" t="s">
        <v>26</v>
      </c>
      <c r="F6569" s="1">
        <v>15.0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1">
        <v>99.7</v>
      </c>
      <c r="T6569" s="1">
        <v>1566.75</v>
      </c>
      <c r="U6569" s="1">
        <v>0.0</v>
      </c>
      <c r="V6569" s="1">
        <v>0.0</v>
      </c>
      <c r="W6569" s="1" t="s">
        <v>26</v>
      </c>
    </row>
    <row r="6570" ht="15.75" customHeight="1">
      <c r="A6570" s="1" t="s">
        <v>6607</v>
      </c>
      <c r="B6570" s="1" t="s">
        <v>32</v>
      </c>
      <c r="C6570" s="1">
        <v>0.0</v>
      </c>
      <c r="D6570" s="1" t="s">
        <v>25</v>
      </c>
      <c r="E6570" s="1" t="s">
        <v>25</v>
      </c>
      <c r="F6570" s="1">
        <v>8.0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1">
        <v>19.7</v>
      </c>
      <c r="T6570" s="1">
        <v>130.25</v>
      </c>
      <c r="U6570" s="1">
        <v>0.0</v>
      </c>
      <c r="V6570" s="1">
        <v>0.0</v>
      </c>
      <c r="W6570" s="1" t="s">
        <v>26</v>
      </c>
    </row>
    <row r="6571" ht="15.75" customHeight="1">
      <c r="A6571" s="1" t="s">
        <v>6608</v>
      </c>
      <c r="B6571" s="1" t="s">
        <v>24</v>
      </c>
      <c r="C6571" s="1">
        <v>0.0</v>
      </c>
      <c r="D6571" s="1" t="s">
        <v>25</v>
      </c>
      <c r="E6571" s="1" t="s">
        <v>25</v>
      </c>
      <c r="F6571" s="1">
        <v>8.0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1">
        <v>19.5</v>
      </c>
      <c r="T6571" s="1">
        <v>162.15</v>
      </c>
      <c r="U6571" s="1">
        <v>0.0</v>
      </c>
      <c r="V6571" s="1">
        <v>0.0</v>
      </c>
      <c r="W6571" s="1" t="s">
        <v>26</v>
      </c>
    </row>
    <row r="6572" ht="15.75" customHeight="1">
      <c r="A6572" s="1" t="s">
        <v>6609</v>
      </c>
      <c r="B6572" s="1" t="s">
        <v>24</v>
      </c>
      <c r="C6572" s="1">
        <v>0.0</v>
      </c>
      <c r="D6572" s="1" t="s">
        <v>26</v>
      </c>
      <c r="E6572" s="1" t="s">
        <v>26</v>
      </c>
      <c r="F6572" s="1">
        <v>4.0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1">
        <v>29.15</v>
      </c>
      <c r="T6572" s="1">
        <v>110.05</v>
      </c>
      <c r="U6572" s="1">
        <v>0.0</v>
      </c>
      <c r="V6572" s="1">
        <v>0.0</v>
      </c>
      <c r="W6572" s="1" t="s">
        <v>26</v>
      </c>
    </row>
    <row r="6573" ht="15.75" customHeight="1">
      <c r="A6573" s="1" t="s">
        <v>6610</v>
      </c>
      <c r="B6573" s="1" t="s">
        <v>24</v>
      </c>
      <c r="C6573" s="1">
        <v>0.0</v>
      </c>
      <c r="D6573" s="1" t="s">
        <v>26</v>
      </c>
      <c r="E6573" s="1" t="s">
        <v>26</v>
      </c>
      <c r="F6573" s="1">
        <v>34.0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1">
        <v>55.0</v>
      </c>
      <c r="T6573" s="1">
        <v>1885.15</v>
      </c>
      <c r="U6573" s="1">
        <v>0.0</v>
      </c>
      <c r="V6573" s="1">
        <v>0.0</v>
      </c>
      <c r="W6573" s="1" t="s">
        <v>26</v>
      </c>
    </row>
    <row r="6574" ht="15.75" customHeight="1">
      <c r="A6574" s="1" t="s">
        <v>6611</v>
      </c>
      <c r="B6574" s="1" t="s">
        <v>32</v>
      </c>
      <c r="C6574" s="1">
        <v>0.0</v>
      </c>
      <c r="D6574" s="1" t="s">
        <v>25</v>
      </c>
      <c r="E6574" s="1" t="s">
        <v>26</v>
      </c>
      <c r="F6574" s="1">
        <v>68.0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1">
        <v>90.8</v>
      </c>
      <c r="T6574" s="1">
        <v>6302.85</v>
      </c>
      <c r="U6574" s="1">
        <v>0.0</v>
      </c>
      <c r="V6574" s="1">
        <v>0.0</v>
      </c>
      <c r="W6574" s="1" t="s">
        <v>26</v>
      </c>
    </row>
    <row r="6575" ht="15.75" customHeight="1">
      <c r="A6575" s="1" t="s">
        <v>6612</v>
      </c>
      <c r="B6575" s="1" t="s">
        <v>24</v>
      </c>
      <c r="C6575" s="1">
        <v>0.0</v>
      </c>
      <c r="D6575" s="1" t="s">
        <v>25</v>
      </c>
      <c r="E6575" s="1" t="s">
        <v>25</v>
      </c>
      <c r="F6575" s="1">
        <v>45.0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1">
        <v>51.0</v>
      </c>
      <c r="T6575" s="1">
        <v>2264.5</v>
      </c>
      <c r="U6575" s="1">
        <v>0.0</v>
      </c>
      <c r="V6575" s="1">
        <v>2.0</v>
      </c>
      <c r="W6575" s="1" t="s">
        <v>26</v>
      </c>
    </row>
    <row r="6576" ht="15.75" customHeight="1">
      <c r="A6576" s="1" t="s">
        <v>6613</v>
      </c>
      <c r="B6576" s="1" t="s">
        <v>24</v>
      </c>
      <c r="C6576" s="1">
        <v>1.0</v>
      </c>
      <c r="D6576" s="1" t="s">
        <v>26</v>
      </c>
      <c r="E6576" s="1" t="s">
        <v>26</v>
      </c>
      <c r="F6576" s="1">
        <v>9.0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1">
        <v>90.1</v>
      </c>
      <c r="T6576" s="1">
        <v>816.8</v>
      </c>
      <c r="U6576" s="1">
        <v>0.0</v>
      </c>
      <c r="V6576" s="1">
        <v>0.0</v>
      </c>
      <c r="W6576" s="1" t="s">
        <v>26</v>
      </c>
    </row>
    <row r="6577" ht="15.75" customHeight="1">
      <c r="A6577" s="1" t="s">
        <v>6614</v>
      </c>
      <c r="B6577" s="1" t="s">
        <v>24</v>
      </c>
      <c r="C6577" s="1">
        <v>0.0</v>
      </c>
      <c r="D6577" s="1" t="s">
        <v>26</v>
      </c>
      <c r="E6577" s="1" t="s">
        <v>26</v>
      </c>
      <c r="F6577" s="1">
        <v>22.0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1">
        <v>59.05</v>
      </c>
      <c r="T6577" s="1">
        <v>1253.5</v>
      </c>
      <c r="U6577" s="1">
        <v>3.0</v>
      </c>
      <c r="V6577" s="1">
        <v>0.0</v>
      </c>
      <c r="W6577" s="1" t="s">
        <v>26</v>
      </c>
    </row>
    <row r="6578" ht="15.75" customHeight="1">
      <c r="A6578" s="1" t="s">
        <v>6615</v>
      </c>
      <c r="B6578" s="1" t="s">
        <v>24</v>
      </c>
      <c r="C6578" s="1">
        <v>0.0</v>
      </c>
      <c r="D6578" s="1" t="s">
        <v>26</v>
      </c>
      <c r="E6578" s="1" t="s">
        <v>26</v>
      </c>
      <c r="F6578" s="1">
        <v>2.0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1">
        <v>20.3</v>
      </c>
      <c r="T6578" s="1">
        <v>41.2</v>
      </c>
      <c r="U6578" s="1">
        <v>0.0</v>
      </c>
      <c r="V6578" s="1">
        <v>0.0</v>
      </c>
      <c r="W6578" s="1" t="s">
        <v>26</v>
      </c>
    </row>
    <row r="6579" ht="15.75" customHeight="1">
      <c r="A6579" s="1" t="s">
        <v>6616</v>
      </c>
      <c r="B6579" s="1" t="s">
        <v>32</v>
      </c>
      <c r="C6579" s="1">
        <v>0.0</v>
      </c>
      <c r="D6579" s="1" t="s">
        <v>25</v>
      </c>
      <c r="E6579" s="1" t="s">
        <v>26</v>
      </c>
      <c r="F6579" s="1">
        <v>70.0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1">
        <v>72.95</v>
      </c>
      <c r="T6579" s="1">
        <v>5265.55</v>
      </c>
      <c r="U6579" s="1">
        <v>0.0</v>
      </c>
      <c r="V6579" s="1">
        <v>3.0</v>
      </c>
      <c r="W6579" s="1" t="s">
        <v>26</v>
      </c>
    </row>
    <row r="6580" ht="15.75" customHeight="1">
      <c r="A6580" s="1" t="s">
        <v>6617</v>
      </c>
      <c r="B6580" s="1" t="s">
        <v>24</v>
      </c>
      <c r="C6580" s="1">
        <v>0.0</v>
      </c>
      <c r="D6580" s="1" t="s">
        <v>26</v>
      </c>
      <c r="E6580" s="1" t="s">
        <v>25</v>
      </c>
      <c r="F6580" s="1">
        <v>10.0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1">
        <v>73.55</v>
      </c>
      <c r="T6580" s="1">
        <v>693.3</v>
      </c>
      <c r="U6580" s="1">
        <v>0.0</v>
      </c>
      <c r="V6580" s="1">
        <v>0.0</v>
      </c>
      <c r="W6580" s="1" t="s">
        <v>26</v>
      </c>
    </row>
    <row r="6581" ht="15.75" customHeight="1">
      <c r="A6581" s="1" t="s">
        <v>6618</v>
      </c>
      <c r="B6581" s="1" t="s">
        <v>32</v>
      </c>
      <c r="C6581" s="1">
        <v>0.0</v>
      </c>
      <c r="D6581" s="1" t="s">
        <v>26</v>
      </c>
      <c r="E6581" s="1" t="s">
        <v>26</v>
      </c>
      <c r="F6581" s="1">
        <v>72.0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1">
        <v>84.3</v>
      </c>
      <c r="T6581" s="1">
        <v>5997.1</v>
      </c>
      <c r="U6581" s="1">
        <v>0.0</v>
      </c>
      <c r="V6581" s="1">
        <v>0.0</v>
      </c>
      <c r="W6581" s="1" t="s">
        <v>26</v>
      </c>
    </row>
    <row r="6582" ht="15.75" customHeight="1">
      <c r="A6582" s="1" t="s">
        <v>6619</v>
      </c>
      <c r="B6582" s="1" t="s">
        <v>24</v>
      </c>
      <c r="C6582" s="1">
        <v>0.0</v>
      </c>
      <c r="D6582" s="1" t="s">
        <v>25</v>
      </c>
      <c r="E6582" s="1" t="s">
        <v>25</v>
      </c>
      <c r="F6582" s="1">
        <v>49.0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1">
        <v>78.0</v>
      </c>
      <c r="T6582" s="1">
        <v>3824.2</v>
      </c>
      <c r="U6582" s="1">
        <v>0.0</v>
      </c>
      <c r="V6582" s="1">
        <v>0.0</v>
      </c>
      <c r="W6582" s="1" t="s">
        <v>26</v>
      </c>
    </row>
    <row r="6583" ht="15.75" customHeight="1">
      <c r="A6583" s="1" t="s">
        <v>6620</v>
      </c>
      <c r="B6583" s="1" t="s">
        <v>24</v>
      </c>
      <c r="C6583" s="1">
        <v>1.0</v>
      </c>
      <c r="D6583" s="1" t="s">
        <v>26</v>
      </c>
      <c r="E6583" s="1" t="s">
        <v>26</v>
      </c>
      <c r="F6583" s="1">
        <v>54.0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1">
        <v>72.1</v>
      </c>
      <c r="T6583" s="1">
        <v>3886.05</v>
      </c>
      <c r="U6583" s="1">
        <v>0.0</v>
      </c>
      <c r="V6583" s="1">
        <v>0.0</v>
      </c>
      <c r="W6583" s="1" t="s">
        <v>26</v>
      </c>
    </row>
    <row r="6584" ht="15.75" customHeight="1">
      <c r="A6584" s="1" t="s">
        <v>6621</v>
      </c>
      <c r="B6584" s="1" t="s">
        <v>24</v>
      </c>
      <c r="C6584" s="1">
        <v>0.0</v>
      </c>
      <c r="D6584" s="1" t="s">
        <v>26</v>
      </c>
      <c r="E6584" s="1" t="s">
        <v>26</v>
      </c>
      <c r="F6584" s="1">
        <v>71.0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1">
        <v>106.75</v>
      </c>
      <c r="T6584" s="1">
        <v>7283.25</v>
      </c>
      <c r="U6584" s="1">
        <v>0.0</v>
      </c>
      <c r="V6584" s="1">
        <v>0.0</v>
      </c>
      <c r="W6584" s="1" t="s">
        <v>26</v>
      </c>
    </row>
    <row r="6585" ht="15.75" customHeight="1">
      <c r="A6585" s="1" t="s">
        <v>6622</v>
      </c>
      <c r="B6585" s="1" t="s">
        <v>24</v>
      </c>
      <c r="C6585" s="1">
        <v>0.0</v>
      </c>
      <c r="D6585" s="1" t="s">
        <v>26</v>
      </c>
      <c r="E6585" s="1" t="s">
        <v>26</v>
      </c>
      <c r="F6585" s="1">
        <v>22.0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1">
        <v>19.25</v>
      </c>
      <c r="T6585" s="1">
        <v>412.55</v>
      </c>
      <c r="U6585" s="1">
        <v>0.0</v>
      </c>
      <c r="V6585" s="1">
        <v>0.0</v>
      </c>
      <c r="W6585" s="1" t="s">
        <v>26</v>
      </c>
    </row>
    <row r="6586" ht="15.75" customHeight="1">
      <c r="A6586" s="1" t="s">
        <v>6623</v>
      </c>
      <c r="B6586" s="1" t="s">
        <v>24</v>
      </c>
      <c r="C6586" s="1">
        <v>0.0</v>
      </c>
      <c r="D6586" s="1" t="s">
        <v>25</v>
      </c>
      <c r="E6586" s="1" t="s">
        <v>25</v>
      </c>
      <c r="F6586" s="1">
        <v>50.0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1">
        <v>20.55</v>
      </c>
      <c r="T6586" s="1">
        <v>1070.25</v>
      </c>
      <c r="U6586" s="1">
        <v>0.0</v>
      </c>
      <c r="V6586" s="1">
        <v>0.0</v>
      </c>
      <c r="W6586" s="1" t="s">
        <v>26</v>
      </c>
    </row>
    <row r="6587" ht="15.75" customHeight="1">
      <c r="A6587" s="1" t="s">
        <v>6624</v>
      </c>
      <c r="B6587" s="1" t="s">
        <v>24</v>
      </c>
      <c r="C6587" s="1">
        <v>0.0</v>
      </c>
      <c r="D6587" s="1" t="s">
        <v>25</v>
      </c>
      <c r="E6587" s="1" t="s">
        <v>25</v>
      </c>
      <c r="F6587" s="1">
        <v>43.0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1">
        <v>20.0</v>
      </c>
      <c r="T6587" s="1">
        <v>817.95</v>
      </c>
      <c r="U6587" s="1">
        <v>0.0</v>
      </c>
      <c r="V6587" s="1">
        <v>0.0</v>
      </c>
      <c r="W6587" s="1" t="s">
        <v>26</v>
      </c>
    </row>
    <row r="6588" ht="15.75" customHeight="1">
      <c r="A6588" s="1" t="s">
        <v>6625</v>
      </c>
      <c r="B6588" s="1" t="s">
        <v>24</v>
      </c>
      <c r="C6588" s="1">
        <v>0.0</v>
      </c>
      <c r="D6588" s="1" t="s">
        <v>25</v>
      </c>
      <c r="E6588" s="1" t="s">
        <v>25</v>
      </c>
      <c r="F6588" s="1">
        <v>45.0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1">
        <v>24.65</v>
      </c>
      <c r="T6588" s="1">
        <v>1171.3</v>
      </c>
      <c r="U6588" s="1">
        <v>0.0</v>
      </c>
      <c r="V6588" s="1">
        <v>0.0</v>
      </c>
      <c r="W6588" s="1" t="s">
        <v>26</v>
      </c>
    </row>
    <row r="6589" ht="15.75" customHeight="1">
      <c r="A6589" s="1" t="s">
        <v>6626</v>
      </c>
      <c r="B6589" s="1" t="s">
        <v>32</v>
      </c>
      <c r="C6589" s="1">
        <v>1.0</v>
      </c>
      <c r="D6589" s="1" t="s">
        <v>26</v>
      </c>
      <c r="E6589" s="1" t="s">
        <v>26</v>
      </c>
      <c r="F6589" s="1">
        <v>64.0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1">
        <v>103.5</v>
      </c>
      <c r="T6589" s="1">
        <v>6548.65</v>
      </c>
      <c r="U6589" s="1">
        <v>0.0</v>
      </c>
      <c r="V6589" s="1">
        <v>0.0</v>
      </c>
      <c r="W6589" s="1" t="s">
        <v>26</v>
      </c>
    </row>
    <row r="6590" ht="15.75" customHeight="1">
      <c r="A6590" s="1" t="s">
        <v>6627</v>
      </c>
      <c r="B6590" s="1" t="s">
        <v>24</v>
      </c>
      <c r="C6590" s="1">
        <v>0.0</v>
      </c>
      <c r="D6590" s="1" t="s">
        <v>25</v>
      </c>
      <c r="E6590" s="1" t="s">
        <v>25</v>
      </c>
      <c r="F6590" s="1">
        <v>23.0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1">
        <v>23.85</v>
      </c>
      <c r="T6590" s="1">
        <v>625.65</v>
      </c>
      <c r="U6590" s="1">
        <v>4.0</v>
      </c>
      <c r="V6590" s="1">
        <v>0.0</v>
      </c>
      <c r="W6590" s="1" t="s">
        <v>26</v>
      </c>
    </row>
    <row r="6591" ht="15.75" customHeight="1">
      <c r="A6591" s="1" t="s">
        <v>6628</v>
      </c>
      <c r="B6591" s="1" t="s">
        <v>24</v>
      </c>
      <c r="C6591" s="1">
        <v>0.0</v>
      </c>
      <c r="D6591" s="1" t="s">
        <v>25</v>
      </c>
      <c r="E6591" s="1" t="s">
        <v>26</v>
      </c>
      <c r="F6591" s="1">
        <v>68.0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1">
        <v>25.8</v>
      </c>
      <c r="T6591" s="1">
        <v>1911.5</v>
      </c>
      <c r="U6591" s="1">
        <v>0.0</v>
      </c>
      <c r="V6591" s="1">
        <v>0.0</v>
      </c>
      <c r="W6591" s="1" t="s">
        <v>26</v>
      </c>
    </row>
    <row r="6592" ht="15.75" customHeight="1">
      <c r="A6592" s="1" t="s">
        <v>6629</v>
      </c>
      <c r="B6592" s="1" t="s">
        <v>24</v>
      </c>
      <c r="C6592" s="1">
        <v>0.0</v>
      </c>
      <c r="D6592" s="1" t="s">
        <v>26</v>
      </c>
      <c r="E6592" s="1" t="s">
        <v>26</v>
      </c>
      <c r="F6592" s="1">
        <v>1.0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1">
        <v>70.85</v>
      </c>
      <c r="T6592" s="1">
        <v>70.85</v>
      </c>
      <c r="U6592" s="1">
        <v>0.0</v>
      </c>
      <c r="V6592" s="1">
        <v>0.0</v>
      </c>
      <c r="W6592" s="1" t="s">
        <v>25</v>
      </c>
    </row>
    <row r="6593" ht="15.75" customHeight="1">
      <c r="A6593" s="1" t="s">
        <v>6630</v>
      </c>
      <c r="B6593" s="1" t="s">
        <v>32</v>
      </c>
      <c r="C6593" s="1">
        <v>0.0</v>
      </c>
      <c r="D6593" s="1" t="s">
        <v>26</v>
      </c>
      <c r="E6593" s="1" t="s">
        <v>26</v>
      </c>
      <c r="F6593" s="1">
        <v>2.0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1">
        <v>69.8</v>
      </c>
      <c r="T6593" s="1">
        <v>134.7</v>
      </c>
      <c r="U6593" s="1">
        <v>0.0</v>
      </c>
      <c r="V6593" s="1">
        <v>0.0</v>
      </c>
      <c r="W6593" s="1" t="s">
        <v>25</v>
      </c>
    </row>
    <row r="6594" ht="15.75" customHeight="1">
      <c r="A6594" s="1" t="s">
        <v>6631</v>
      </c>
      <c r="B6594" s="1" t="s">
        <v>32</v>
      </c>
      <c r="C6594" s="1">
        <v>0.0</v>
      </c>
      <c r="D6594" s="1" t="s">
        <v>26</v>
      </c>
      <c r="E6594" s="1" t="s">
        <v>26</v>
      </c>
      <c r="F6594" s="1">
        <v>26.0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1">
        <v>59.45</v>
      </c>
      <c r="T6594" s="1">
        <v>1507.0</v>
      </c>
      <c r="U6594" s="1">
        <v>0.0</v>
      </c>
      <c r="V6594" s="1">
        <v>0.0</v>
      </c>
      <c r="W6594" s="1" t="s">
        <v>26</v>
      </c>
    </row>
    <row r="6595" ht="15.75" customHeight="1">
      <c r="A6595" s="1" t="s">
        <v>6632</v>
      </c>
      <c r="B6595" s="1" t="s">
        <v>32</v>
      </c>
      <c r="C6595" s="1">
        <v>0.0</v>
      </c>
      <c r="D6595" s="1" t="s">
        <v>25</v>
      </c>
      <c r="E6595" s="1" t="s">
        <v>26</v>
      </c>
      <c r="F6595" s="1">
        <v>55.0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1">
        <v>54.55</v>
      </c>
      <c r="T6595" s="1">
        <v>2978.3</v>
      </c>
      <c r="U6595" s="1">
        <v>0.0</v>
      </c>
      <c r="V6595" s="1">
        <v>6.0</v>
      </c>
      <c r="W6595" s="1" t="s">
        <v>25</v>
      </c>
    </row>
    <row r="6596" ht="15.75" customHeight="1">
      <c r="A6596" s="1" t="s">
        <v>6633</v>
      </c>
      <c r="B6596" s="1" t="s">
        <v>32</v>
      </c>
      <c r="C6596" s="1">
        <v>0.0</v>
      </c>
      <c r="D6596" s="1" t="s">
        <v>26</v>
      </c>
      <c r="E6596" s="1" t="s">
        <v>26</v>
      </c>
      <c r="F6596" s="1">
        <v>14.0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1">
        <v>20.05</v>
      </c>
      <c r="T6596" s="1">
        <v>299.3</v>
      </c>
      <c r="U6596" s="1">
        <v>5.0</v>
      </c>
      <c r="V6596" s="1">
        <v>0.0</v>
      </c>
      <c r="W6596" s="1" t="s">
        <v>26</v>
      </c>
    </row>
    <row r="6597" ht="15.75" customHeight="1">
      <c r="A6597" s="1" t="s">
        <v>6634</v>
      </c>
      <c r="B6597" s="1" t="s">
        <v>32</v>
      </c>
      <c r="C6597" s="1">
        <v>0.0</v>
      </c>
      <c r="D6597" s="1" t="s">
        <v>25</v>
      </c>
      <c r="E6597" s="1" t="s">
        <v>26</v>
      </c>
      <c r="F6597" s="1">
        <v>71.0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1">
        <v>82.55</v>
      </c>
      <c r="T6597" s="1">
        <v>5832.65</v>
      </c>
      <c r="U6597" s="1">
        <v>0.0</v>
      </c>
      <c r="V6597" s="1">
        <v>0.0</v>
      </c>
      <c r="W6597" s="1" t="s">
        <v>26</v>
      </c>
    </row>
    <row r="6598" ht="15.75" customHeight="1">
      <c r="A6598" s="1" t="s">
        <v>6635</v>
      </c>
      <c r="B6598" s="1" t="s">
        <v>32</v>
      </c>
      <c r="C6598" s="1">
        <v>0.0</v>
      </c>
      <c r="D6598" s="1" t="s">
        <v>26</v>
      </c>
      <c r="E6598" s="1" t="s">
        <v>26</v>
      </c>
      <c r="F6598" s="1">
        <v>64.0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1">
        <v>81.25</v>
      </c>
      <c r="T6598" s="1">
        <v>5567.55</v>
      </c>
      <c r="U6598" s="1">
        <v>0.0</v>
      </c>
      <c r="V6598" s="1">
        <v>0.0</v>
      </c>
      <c r="W6598" s="1" t="s">
        <v>26</v>
      </c>
    </row>
    <row r="6599" ht="15.75" customHeight="1">
      <c r="A6599" s="1" t="s">
        <v>6636</v>
      </c>
      <c r="B6599" s="1" t="s">
        <v>24</v>
      </c>
      <c r="C6599" s="1">
        <v>0.0</v>
      </c>
      <c r="D6599" s="1" t="s">
        <v>26</v>
      </c>
      <c r="E6599" s="1" t="s">
        <v>26</v>
      </c>
      <c r="F6599" s="1">
        <v>7.0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1">
        <v>70.75</v>
      </c>
      <c r="T6599" s="1">
        <v>450.8</v>
      </c>
      <c r="U6599" s="1">
        <v>0.0</v>
      </c>
      <c r="V6599" s="1">
        <v>0.0</v>
      </c>
      <c r="W6599" s="1" t="s">
        <v>25</v>
      </c>
    </row>
    <row r="6600" ht="15.75" customHeight="1">
      <c r="A6600" s="1" t="s">
        <v>6637</v>
      </c>
      <c r="B6600" s="1" t="s">
        <v>24</v>
      </c>
      <c r="C6600" s="1">
        <v>0.0</v>
      </c>
      <c r="D6600" s="1" t="s">
        <v>26</v>
      </c>
      <c r="E6600" s="1" t="s">
        <v>26</v>
      </c>
      <c r="F6600" s="1">
        <v>57.0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1">
        <v>74.3</v>
      </c>
      <c r="T6600" s="1">
        <v>4166.35</v>
      </c>
      <c r="U6600" s="1">
        <v>0.0</v>
      </c>
      <c r="V6600" s="1">
        <v>0.0</v>
      </c>
      <c r="W6600" s="1" t="s">
        <v>26</v>
      </c>
    </row>
    <row r="6601" ht="15.75" customHeight="1">
      <c r="A6601" s="1" t="s">
        <v>6638</v>
      </c>
      <c r="B6601" s="1" t="s">
        <v>24</v>
      </c>
      <c r="C6601" s="1">
        <v>0.0</v>
      </c>
      <c r="D6601" s="1" t="s">
        <v>25</v>
      </c>
      <c r="E6601" s="1" t="s">
        <v>26</v>
      </c>
      <c r="F6601" s="1">
        <v>13.0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1">
        <v>94.1</v>
      </c>
      <c r="T6601" s="1">
        <v>1215.6</v>
      </c>
      <c r="U6601" s="1">
        <v>0.0</v>
      </c>
      <c r="V6601" s="1">
        <v>1.0</v>
      </c>
      <c r="W6601" s="1" t="s">
        <v>25</v>
      </c>
    </row>
    <row r="6602" ht="15.75" customHeight="1">
      <c r="A6602" s="1" t="s">
        <v>6639</v>
      </c>
      <c r="B6602" s="1" t="s">
        <v>24</v>
      </c>
      <c r="C6602" s="1">
        <v>0.0</v>
      </c>
      <c r="D6602" s="1" t="s">
        <v>25</v>
      </c>
      <c r="E6602" s="1" t="s">
        <v>25</v>
      </c>
      <c r="F6602" s="1">
        <v>3.0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1">
        <v>29.7</v>
      </c>
      <c r="T6602" s="1">
        <v>91.7</v>
      </c>
      <c r="U6602" s="1">
        <v>0.0</v>
      </c>
      <c r="V6602" s="1">
        <v>0.0</v>
      </c>
      <c r="W6602" s="1" t="s">
        <v>25</v>
      </c>
    </row>
    <row r="6603" ht="15.75" customHeight="1">
      <c r="A6603" s="1" t="s">
        <v>6640</v>
      </c>
      <c r="B6603" s="1" t="s">
        <v>32</v>
      </c>
      <c r="C6603" s="1">
        <v>1.0</v>
      </c>
      <c r="D6603" s="1" t="s">
        <v>25</v>
      </c>
      <c r="E6603" s="1" t="s">
        <v>26</v>
      </c>
      <c r="F6603" s="1">
        <v>72.0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1">
        <v>109.7</v>
      </c>
      <c r="T6603" s="1">
        <v>7898.45</v>
      </c>
      <c r="U6603" s="1">
        <v>0.0</v>
      </c>
      <c r="V6603" s="1">
        <v>0.0</v>
      </c>
      <c r="W6603" s="1" t="s">
        <v>26</v>
      </c>
    </row>
    <row r="6604" ht="15.75" customHeight="1">
      <c r="A6604" s="1" t="s">
        <v>6641</v>
      </c>
      <c r="B6604" s="1" t="s">
        <v>24</v>
      </c>
      <c r="C6604" s="1">
        <v>0.0</v>
      </c>
      <c r="D6604" s="1" t="s">
        <v>25</v>
      </c>
      <c r="E6604" s="1" t="s">
        <v>25</v>
      </c>
      <c r="F6604" s="1">
        <v>40.0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1">
        <v>96.35</v>
      </c>
      <c r="T6604" s="1">
        <v>3915.4</v>
      </c>
      <c r="U6604" s="1">
        <v>0.0</v>
      </c>
      <c r="V6604" s="1">
        <v>0.0</v>
      </c>
      <c r="W6604" s="1" t="s">
        <v>26</v>
      </c>
    </row>
    <row r="6605" ht="15.75" customHeight="1">
      <c r="A6605" s="1" t="s">
        <v>6642</v>
      </c>
      <c r="B6605" s="1" t="s">
        <v>32</v>
      </c>
      <c r="C6605" s="1">
        <v>0.0</v>
      </c>
      <c r="D6605" s="1" t="s">
        <v>25</v>
      </c>
      <c r="E6605" s="1" t="s">
        <v>26</v>
      </c>
      <c r="F6605" s="1">
        <v>14.0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1">
        <v>66.6</v>
      </c>
      <c r="T6605" s="1">
        <v>979.5</v>
      </c>
      <c r="U6605" s="1">
        <v>0.0</v>
      </c>
      <c r="V6605" s="1">
        <v>0.0</v>
      </c>
      <c r="W6605" s="1" t="s">
        <v>26</v>
      </c>
    </row>
    <row r="6606" ht="15.75" customHeight="1">
      <c r="A6606" s="1" t="s">
        <v>6643</v>
      </c>
      <c r="B6606" s="1" t="s">
        <v>32</v>
      </c>
      <c r="C6606" s="1">
        <v>0.0</v>
      </c>
      <c r="D6606" s="1" t="s">
        <v>25</v>
      </c>
      <c r="E6606" s="1" t="s">
        <v>25</v>
      </c>
      <c r="F6606" s="1">
        <v>2.0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1">
        <v>44.5</v>
      </c>
      <c r="T6606" s="1">
        <v>90.05</v>
      </c>
      <c r="U6606" s="1">
        <v>5.0</v>
      </c>
      <c r="V6606" s="1">
        <v>0.0</v>
      </c>
      <c r="W6606" s="1" t="s">
        <v>26</v>
      </c>
    </row>
    <row r="6607" ht="15.75" customHeight="1">
      <c r="A6607" s="1" t="s">
        <v>6644</v>
      </c>
      <c r="B6607" s="1" t="s">
        <v>32</v>
      </c>
      <c r="C6607" s="1">
        <v>1.0</v>
      </c>
      <c r="D6607" s="1" t="s">
        <v>26</v>
      </c>
      <c r="E6607" s="1" t="s">
        <v>26</v>
      </c>
      <c r="F6607" s="1">
        <v>66.0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1">
        <v>110.9</v>
      </c>
      <c r="T6607" s="1">
        <v>7432.05</v>
      </c>
      <c r="U6607" s="1">
        <v>0.0</v>
      </c>
      <c r="V6607" s="1">
        <v>6.0</v>
      </c>
      <c r="W6607" s="1" t="s">
        <v>25</v>
      </c>
    </row>
    <row r="6608" ht="15.75" customHeight="1">
      <c r="A6608" s="1" t="s">
        <v>6645</v>
      </c>
      <c r="B6608" s="1" t="s">
        <v>24</v>
      </c>
      <c r="C6608" s="1">
        <v>0.0</v>
      </c>
      <c r="D6608" s="1" t="s">
        <v>25</v>
      </c>
      <c r="E6608" s="1" t="s">
        <v>26</v>
      </c>
      <c r="F6608" s="1">
        <v>38.0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1">
        <v>105.0</v>
      </c>
      <c r="T6608" s="1">
        <v>4026.4</v>
      </c>
      <c r="U6608" s="1">
        <v>0.0</v>
      </c>
      <c r="V6608" s="1">
        <v>3.0</v>
      </c>
      <c r="W6608" s="1" t="s">
        <v>25</v>
      </c>
    </row>
    <row r="6609" ht="15.75" customHeight="1">
      <c r="A6609" s="1" t="s">
        <v>6646</v>
      </c>
      <c r="B6609" s="1" t="s">
        <v>32</v>
      </c>
      <c r="C6609" s="1">
        <v>0.0</v>
      </c>
      <c r="D6609" s="1" t="s">
        <v>26</v>
      </c>
      <c r="E6609" s="1" t="s">
        <v>25</v>
      </c>
      <c r="F6609" s="1">
        <v>1.0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1">
        <v>25.3</v>
      </c>
      <c r="T6609" s="1">
        <v>25.3</v>
      </c>
      <c r="U6609" s="1">
        <v>0.0</v>
      </c>
      <c r="V6609" s="1">
        <v>0.0</v>
      </c>
      <c r="W6609" s="1" t="s">
        <v>25</v>
      </c>
    </row>
    <row r="6610" ht="15.75" customHeight="1">
      <c r="A6610" s="1" t="s">
        <v>6647</v>
      </c>
      <c r="B6610" s="1" t="s">
        <v>32</v>
      </c>
      <c r="C6610" s="1">
        <v>0.0</v>
      </c>
      <c r="D6610" s="1" t="s">
        <v>26</v>
      </c>
      <c r="E6610" s="1" t="s">
        <v>26</v>
      </c>
      <c r="F6610" s="1">
        <v>22.0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1">
        <v>55.15</v>
      </c>
      <c r="T6610" s="1">
        <v>1193.05</v>
      </c>
      <c r="U6610" s="1">
        <v>0.0</v>
      </c>
      <c r="V6610" s="1">
        <v>0.0</v>
      </c>
      <c r="W6610" s="1" t="s">
        <v>25</v>
      </c>
    </row>
    <row r="6611" ht="15.75" customHeight="1">
      <c r="A6611" s="1" t="s">
        <v>6648</v>
      </c>
      <c r="B6611" s="1" t="s">
        <v>32</v>
      </c>
      <c r="C6611" s="1">
        <v>0.0</v>
      </c>
      <c r="D6611" s="1" t="s">
        <v>26</v>
      </c>
      <c r="E6611" s="1" t="s">
        <v>26</v>
      </c>
      <c r="F6611" s="1">
        <v>1.0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1">
        <v>20.1</v>
      </c>
      <c r="T6611" s="1">
        <v>20.1</v>
      </c>
      <c r="U6611" s="1">
        <v>0.0</v>
      </c>
      <c r="V6611" s="1">
        <v>0.0</v>
      </c>
      <c r="W6611" s="1" t="s">
        <v>25</v>
      </c>
    </row>
    <row r="6612" ht="15.75" customHeight="1">
      <c r="A6612" s="1" t="s">
        <v>6649</v>
      </c>
      <c r="B6612" s="1" t="s">
        <v>32</v>
      </c>
      <c r="C6612" s="1">
        <v>0.0</v>
      </c>
      <c r="D6612" s="1" t="s">
        <v>26</v>
      </c>
      <c r="E6612" s="1" t="s">
        <v>26</v>
      </c>
      <c r="F6612" s="1">
        <v>5.0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1">
        <v>80.1</v>
      </c>
      <c r="T6612" s="1">
        <v>398.55</v>
      </c>
      <c r="U6612" s="1">
        <v>0.0</v>
      </c>
      <c r="V6612" s="1">
        <v>0.0</v>
      </c>
      <c r="W6612" s="1" t="s">
        <v>26</v>
      </c>
    </row>
    <row r="6613" ht="15.75" customHeight="1">
      <c r="A6613" s="1" t="s">
        <v>6650</v>
      </c>
      <c r="B6613" s="1" t="s">
        <v>32</v>
      </c>
      <c r="C6613" s="1">
        <v>0.0</v>
      </c>
      <c r="D6613" s="1" t="s">
        <v>25</v>
      </c>
      <c r="E6613" s="1" t="s">
        <v>25</v>
      </c>
      <c r="F6613" s="1">
        <v>29.0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1">
        <v>69.05</v>
      </c>
      <c r="T6613" s="1">
        <v>1958.45</v>
      </c>
      <c r="U6613" s="1">
        <v>0.0</v>
      </c>
      <c r="V6613" s="1">
        <v>0.0</v>
      </c>
      <c r="W6613" s="1" t="s">
        <v>26</v>
      </c>
    </row>
    <row r="6614" ht="15.75" customHeight="1">
      <c r="A6614" s="1" t="s">
        <v>6651</v>
      </c>
      <c r="B6614" s="1" t="s">
        <v>32</v>
      </c>
      <c r="C6614" s="1">
        <v>0.0</v>
      </c>
      <c r="D6614" s="1" t="s">
        <v>25</v>
      </c>
      <c r="E6614" s="1" t="s">
        <v>25</v>
      </c>
      <c r="F6614" s="1">
        <v>1.0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1">
        <v>69.9</v>
      </c>
      <c r="T6614" s="1">
        <v>69.9</v>
      </c>
      <c r="U6614" s="1">
        <v>0.0</v>
      </c>
      <c r="V6614" s="1">
        <v>0.0</v>
      </c>
      <c r="W6614" s="1" t="s">
        <v>25</v>
      </c>
    </row>
    <row r="6615" ht="15.75" customHeight="1">
      <c r="A6615" s="1" t="s">
        <v>6652</v>
      </c>
      <c r="B6615" s="1" t="s">
        <v>24</v>
      </c>
      <c r="C6615" s="1">
        <v>0.0</v>
      </c>
      <c r="D6615" s="1" t="s">
        <v>26</v>
      </c>
      <c r="E6615" s="1" t="s">
        <v>26</v>
      </c>
      <c r="F6615" s="1">
        <v>3.0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1">
        <v>20.4</v>
      </c>
      <c r="T6615" s="1">
        <v>63.15</v>
      </c>
      <c r="U6615" s="1">
        <v>0.0</v>
      </c>
      <c r="V6615" s="1">
        <v>0.0</v>
      </c>
      <c r="W6615" s="1" t="s">
        <v>26</v>
      </c>
    </row>
    <row r="6616" ht="15.75" customHeight="1">
      <c r="A6616" s="1" t="s">
        <v>6653</v>
      </c>
      <c r="B6616" s="1" t="s">
        <v>32</v>
      </c>
      <c r="C6616" s="1">
        <v>0.0</v>
      </c>
      <c r="D6616" s="1" t="s">
        <v>25</v>
      </c>
      <c r="E6616" s="1" t="s">
        <v>25</v>
      </c>
      <c r="F6616" s="1">
        <v>71.0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1">
        <v>19.7</v>
      </c>
      <c r="T6616" s="1">
        <v>1301.1</v>
      </c>
      <c r="U6616" s="1">
        <v>4.0</v>
      </c>
      <c r="V6616" s="1">
        <v>0.0</v>
      </c>
      <c r="W6616" s="1" t="s">
        <v>26</v>
      </c>
    </row>
    <row r="6617" ht="15.75" customHeight="1">
      <c r="A6617" s="1" t="s">
        <v>6654</v>
      </c>
      <c r="B6617" s="1" t="s">
        <v>32</v>
      </c>
      <c r="C6617" s="1">
        <v>0.0</v>
      </c>
      <c r="D6617" s="1" t="s">
        <v>26</v>
      </c>
      <c r="E6617" s="1" t="s">
        <v>25</v>
      </c>
      <c r="F6617" s="1">
        <v>9.0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1">
        <v>50.1</v>
      </c>
      <c r="T6617" s="1">
        <v>484.05</v>
      </c>
      <c r="U6617" s="1">
        <v>0.0</v>
      </c>
      <c r="V6617" s="1">
        <v>0.0</v>
      </c>
      <c r="W6617" s="1" t="s">
        <v>26</v>
      </c>
    </row>
    <row r="6618" ht="15.75" customHeight="1">
      <c r="A6618" s="1" t="s">
        <v>6655</v>
      </c>
      <c r="B6618" s="1" t="s">
        <v>32</v>
      </c>
      <c r="C6618" s="1">
        <v>0.0</v>
      </c>
      <c r="D6618" s="1" t="s">
        <v>26</v>
      </c>
      <c r="E6618" s="1" t="s">
        <v>26</v>
      </c>
      <c r="F6618" s="1">
        <v>43.0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1">
        <v>101.4</v>
      </c>
      <c r="T6618" s="1">
        <v>4528.0</v>
      </c>
      <c r="U6618" s="1">
        <v>0.0</v>
      </c>
      <c r="V6618" s="1">
        <v>4.0</v>
      </c>
      <c r="W6618" s="1" t="s">
        <v>25</v>
      </c>
    </row>
    <row r="6619" ht="15.75" customHeight="1">
      <c r="A6619" s="1" t="s">
        <v>6656</v>
      </c>
      <c r="B6619" s="1" t="s">
        <v>24</v>
      </c>
      <c r="C6619" s="1">
        <v>0.0</v>
      </c>
      <c r="D6619" s="1" t="s">
        <v>26</v>
      </c>
      <c r="E6619" s="1" t="s">
        <v>26</v>
      </c>
      <c r="F6619" s="1">
        <v>48.0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1">
        <v>83.45</v>
      </c>
      <c r="T6619" s="1">
        <v>3887.85</v>
      </c>
      <c r="U6619" s="1">
        <v>0.0</v>
      </c>
      <c r="V6619" s="1">
        <v>0.0</v>
      </c>
      <c r="W6619" s="1" t="s">
        <v>26</v>
      </c>
    </row>
    <row r="6620" ht="15.75" customHeight="1">
      <c r="A6620" s="1" t="s">
        <v>6657</v>
      </c>
      <c r="B6620" s="1" t="s">
        <v>32</v>
      </c>
      <c r="C6620" s="1">
        <v>0.0</v>
      </c>
      <c r="D6620" s="1" t="s">
        <v>26</v>
      </c>
      <c r="E6620" s="1" t="s">
        <v>26</v>
      </c>
      <c r="F6620" s="1">
        <v>26.0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1">
        <v>86.65</v>
      </c>
      <c r="T6620" s="1">
        <v>2208.75</v>
      </c>
      <c r="U6620" s="1">
        <v>0.0</v>
      </c>
      <c r="V6620" s="1">
        <v>0.0</v>
      </c>
      <c r="W6620" s="1" t="s">
        <v>26</v>
      </c>
    </row>
    <row r="6621" ht="15.75" customHeight="1">
      <c r="A6621" s="1" t="s">
        <v>6658</v>
      </c>
      <c r="B6621" s="1" t="s">
        <v>24</v>
      </c>
      <c r="C6621" s="1">
        <v>0.0</v>
      </c>
      <c r="D6621" s="1" t="s">
        <v>26</v>
      </c>
      <c r="E6621" s="1" t="s">
        <v>26</v>
      </c>
      <c r="F6621" s="1">
        <v>9.0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1">
        <v>20.15</v>
      </c>
      <c r="T6621" s="1">
        <v>238.15</v>
      </c>
      <c r="U6621" s="1">
        <v>0.0</v>
      </c>
      <c r="V6621" s="1">
        <v>0.0</v>
      </c>
      <c r="W6621" s="1" t="s">
        <v>26</v>
      </c>
    </row>
    <row r="6622" ht="15.75" customHeight="1">
      <c r="A6622" s="1" t="s">
        <v>6659</v>
      </c>
      <c r="B6622" s="1" t="s">
        <v>32</v>
      </c>
      <c r="C6622" s="1">
        <v>0.0</v>
      </c>
      <c r="D6622" s="1" t="s">
        <v>26</v>
      </c>
      <c r="E6622" s="1" t="s">
        <v>26</v>
      </c>
      <c r="F6622" s="1">
        <v>1.0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1">
        <v>80.8</v>
      </c>
      <c r="T6622" s="1">
        <v>80.8</v>
      </c>
      <c r="U6622" s="1">
        <v>0.0</v>
      </c>
      <c r="V6622" s="1">
        <v>0.0</v>
      </c>
      <c r="W6622" s="1" t="s">
        <v>25</v>
      </c>
    </row>
    <row r="6623" ht="15.75" customHeight="1">
      <c r="A6623" s="1" t="s">
        <v>6660</v>
      </c>
      <c r="B6623" s="1" t="s">
        <v>24</v>
      </c>
      <c r="C6623" s="1">
        <v>0.0</v>
      </c>
      <c r="D6623" s="1" t="s">
        <v>25</v>
      </c>
      <c r="E6623" s="1" t="s">
        <v>25</v>
      </c>
      <c r="F6623" s="1">
        <v>46.0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1">
        <v>19.4</v>
      </c>
      <c r="T6623" s="1">
        <v>958.15</v>
      </c>
      <c r="U6623" s="1">
        <v>0.0</v>
      </c>
      <c r="V6623" s="1">
        <v>2.0</v>
      </c>
      <c r="W6623" s="1" t="s">
        <v>26</v>
      </c>
    </row>
    <row r="6624" ht="15.75" customHeight="1">
      <c r="A6624" s="1" t="s">
        <v>6661</v>
      </c>
      <c r="B6624" s="1" t="s">
        <v>32</v>
      </c>
      <c r="C6624" s="1">
        <v>0.0</v>
      </c>
      <c r="D6624" s="1" t="s">
        <v>26</v>
      </c>
      <c r="E6624" s="1" t="s">
        <v>26</v>
      </c>
      <c r="F6624" s="1">
        <v>2.0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1">
        <v>62.05</v>
      </c>
      <c r="T6624" s="1">
        <v>118.3</v>
      </c>
      <c r="U6624" s="1">
        <v>0.0</v>
      </c>
      <c r="V6624" s="1">
        <v>0.0</v>
      </c>
      <c r="W6624" s="1" t="s">
        <v>25</v>
      </c>
    </row>
    <row r="6625" ht="15.75" customHeight="1">
      <c r="A6625" s="1" t="s">
        <v>6662</v>
      </c>
      <c r="B6625" s="1" t="s">
        <v>32</v>
      </c>
      <c r="C6625" s="1">
        <v>1.0</v>
      </c>
      <c r="D6625" s="1" t="s">
        <v>26</v>
      </c>
      <c r="E6625" s="1" t="s">
        <v>26</v>
      </c>
      <c r="F6625" s="1">
        <v>1.0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1">
        <v>76.45</v>
      </c>
      <c r="T6625" s="1">
        <v>76.45</v>
      </c>
      <c r="U6625" s="1">
        <v>0.0</v>
      </c>
      <c r="V6625" s="1">
        <v>0.0</v>
      </c>
      <c r="W6625" s="1" t="s">
        <v>25</v>
      </c>
    </row>
    <row r="6626" ht="15.75" customHeight="1">
      <c r="A6626" s="1" t="s">
        <v>6663</v>
      </c>
      <c r="B6626" s="1" t="s">
        <v>32</v>
      </c>
      <c r="C6626" s="1">
        <v>0.0</v>
      </c>
      <c r="D6626" s="1" t="s">
        <v>25</v>
      </c>
      <c r="E6626" s="1" t="s">
        <v>25</v>
      </c>
      <c r="F6626" s="1">
        <v>64.0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1">
        <v>60.05</v>
      </c>
      <c r="T6626" s="1">
        <v>3845.45</v>
      </c>
      <c r="U6626" s="1">
        <v>0.0</v>
      </c>
      <c r="V6626" s="1">
        <v>0.0</v>
      </c>
      <c r="W6626" s="1" t="s">
        <v>26</v>
      </c>
    </row>
    <row r="6627" ht="15.75" customHeight="1">
      <c r="A6627" s="1" t="s">
        <v>6664</v>
      </c>
      <c r="B6627" s="1" t="s">
        <v>24</v>
      </c>
      <c r="C6627" s="1">
        <v>1.0</v>
      </c>
      <c r="D6627" s="1" t="s">
        <v>26</v>
      </c>
      <c r="E6627" s="1" t="s">
        <v>26</v>
      </c>
      <c r="F6627" s="1">
        <v>12.0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1">
        <v>91.3</v>
      </c>
      <c r="T6627" s="1">
        <v>1094.5</v>
      </c>
      <c r="U6627" s="1">
        <v>0.0</v>
      </c>
      <c r="V6627" s="1">
        <v>1.0</v>
      </c>
      <c r="W6627" s="1" t="s">
        <v>25</v>
      </c>
    </row>
    <row r="6628" ht="15.75" customHeight="1">
      <c r="A6628" s="1" t="s">
        <v>6665</v>
      </c>
      <c r="B6628" s="1" t="s">
        <v>32</v>
      </c>
      <c r="C6628" s="1">
        <v>1.0</v>
      </c>
      <c r="D6628" s="1" t="s">
        <v>25</v>
      </c>
      <c r="E6628" s="1" t="s">
        <v>26</v>
      </c>
      <c r="F6628" s="1">
        <v>6.0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1">
        <v>95.75</v>
      </c>
      <c r="T6628" s="1">
        <v>573.75</v>
      </c>
      <c r="U6628" s="1">
        <v>0.0</v>
      </c>
      <c r="V6628" s="1">
        <v>1.0</v>
      </c>
      <c r="W6628" s="1" t="s">
        <v>25</v>
      </c>
    </row>
    <row r="6629" ht="15.75" customHeight="1">
      <c r="A6629" s="1" t="s">
        <v>6666</v>
      </c>
      <c r="B6629" s="1" t="s">
        <v>24</v>
      </c>
      <c r="C6629" s="1">
        <v>0.0</v>
      </c>
      <c r="D6629" s="1" t="s">
        <v>25</v>
      </c>
      <c r="E6629" s="1" t="s">
        <v>26</v>
      </c>
      <c r="F6629" s="1">
        <v>59.0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1">
        <v>20.35</v>
      </c>
      <c r="T6629" s="1">
        <v>1267.0</v>
      </c>
      <c r="U6629" s="1">
        <v>0.0</v>
      </c>
      <c r="V6629" s="1">
        <v>4.0</v>
      </c>
      <c r="W6629" s="1" t="s">
        <v>26</v>
      </c>
    </row>
    <row r="6630" ht="15.75" customHeight="1">
      <c r="A6630" s="1" t="s">
        <v>6667</v>
      </c>
      <c r="B6630" s="1" t="s">
        <v>24</v>
      </c>
      <c r="C6630" s="1">
        <v>0.0</v>
      </c>
      <c r="D6630" s="1" t="s">
        <v>26</v>
      </c>
      <c r="E6630" s="1" t="s">
        <v>26</v>
      </c>
      <c r="F6630" s="1">
        <v>7.0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1">
        <v>94.05</v>
      </c>
      <c r="T6630" s="1">
        <v>633.45</v>
      </c>
      <c r="U6630" s="1">
        <v>0.0</v>
      </c>
      <c r="V6630" s="1">
        <v>0.0</v>
      </c>
      <c r="W6630" s="1" t="s">
        <v>26</v>
      </c>
    </row>
    <row r="6631" ht="15.75" customHeight="1">
      <c r="A6631" s="1" t="s">
        <v>6668</v>
      </c>
      <c r="B6631" s="1" t="s">
        <v>24</v>
      </c>
      <c r="C6631" s="1">
        <v>1.0</v>
      </c>
      <c r="D6631" s="1" t="s">
        <v>25</v>
      </c>
      <c r="E6631" s="1" t="s">
        <v>26</v>
      </c>
      <c r="F6631" s="1">
        <v>72.0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1">
        <v>84.1</v>
      </c>
      <c r="T6631" s="1">
        <v>6129.65</v>
      </c>
      <c r="U6631" s="1">
        <v>0.0</v>
      </c>
      <c r="V6631" s="1">
        <v>0.0</v>
      </c>
      <c r="W6631" s="1" t="s">
        <v>26</v>
      </c>
    </row>
    <row r="6632" ht="15.75" customHeight="1">
      <c r="A6632" s="1" t="s">
        <v>6669</v>
      </c>
      <c r="B6632" s="1" t="s">
        <v>32</v>
      </c>
      <c r="C6632" s="1">
        <v>1.0</v>
      </c>
      <c r="D6632" s="1" t="s">
        <v>26</v>
      </c>
      <c r="E6632" s="1" t="s">
        <v>26</v>
      </c>
      <c r="F6632" s="1">
        <v>16.0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1">
        <v>78.75</v>
      </c>
      <c r="T6632" s="1">
        <v>1218.25</v>
      </c>
      <c r="U6632" s="1">
        <v>0.0</v>
      </c>
      <c r="V6632" s="1">
        <v>0.0</v>
      </c>
      <c r="W6632" s="1" t="s">
        <v>26</v>
      </c>
    </row>
    <row r="6633" ht="15.75" customHeight="1">
      <c r="A6633" s="1" t="s">
        <v>6670</v>
      </c>
      <c r="B6633" s="1" t="s">
        <v>32</v>
      </c>
      <c r="C6633" s="1">
        <v>0.0</v>
      </c>
      <c r="D6633" s="1" t="s">
        <v>25</v>
      </c>
      <c r="E6633" s="1" t="s">
        <v>26</v>
      </c>
      <c r="F6633" s="1">
        <v>25.0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1">
        <v>55.55</v>
      </c>
      <c r="T6633" s="1">
        <v>1405.3</v>
      </c>
      <c r="U6633" s="1">
        <v>0.0</v>
      </c>
      <c r="V6633" s="1">
        <v>0.0</v>
      </c>
      <c r="W6633" s="1" t="s">
        <v>26</v>
      </c>
    </row>
    <row r="6634" ht="15.75" customHeight="1">
      <c r="A6634" s="1" t="s">
        <v>6671</v>
      </c>
      <c r="B6634" s="1" t="s">
        <v>24</v>
      </c>
      <c r="C6634" s="1">
        <v>0.0</v>
      </c>
      <c r="D6634" s="1" t="s">
        <v>25</v>
      </c>
      <c r="E6634" s="1" t="s">
        <v>26</v>
      </c>
      <c r="F6634" s="1">
        <v>34.0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1">
        <v>62.65</v>
      </c>
      <c r="T6634" s="1">
        <v>2274.9</v>
      </c>
      <c r="U6634" s="1">
        <v>0.0</v>
      </c>
      <c r="V6634" s="1">
        <v>3.0</v>
      </c>
      <c r="W6634" s="1" t="s">
        <v>25</v>
      </c>
    </row>
    <row r="6635" ht="15.75" customHeight="1">
      <c r="A6635" s="1" t="s">
        <v>6672</v>
      </c>
      <c r="B6635" s="1" t="s">
        <v>24</v>
      </c>
      <c r="C6635" s="1">
        <v>0.0</v>
      </c>
      <c r="D6635" s="1" t="s">
        <v>26</v>
      </c>
      <c r="E6635" s="1" t="s">
        <v>26</v>
      </c>
      <c r="F6635" s="1">
        <v>1.0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1">
        <v>74.5</v>
      </c>
      <c r="T6635" s="1">
        <v>74.5</v>
      </c>
      <c r="U6635" s="1">
        <v>0.0</v>
      </c>
      <c r="V6635" s="1">
        <v>0.0</v>
      </c>
      <c r="W6635" s="1" t="s">
        <v>25</v>
      </c>
    </row>
    <row r="6636" ht="15.75" customHeight="1">
      <c r="A6636" s="1" t="s">
        <v>6673</v>
      </c>
      <c r="B6636" s="1" t="s">
        <v>24</v>
      </c>
      <c r="C6636" s="1">
        <v>0.0</v>
      </c>
      <c r="D6636" s="1" t="s">
        <v>25</v>
      </c>
      <c r="E6636" s="1" t="s">
        <v>25</v>
      </c>
      <c r="F6636" s="1">
        <v>10.0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1">
        <v>102.1</v>
      </c>
      <c r="T6636" s="1">
        <v>1068.85</v>
      </c>
      <c r="U6636" s="1">
        <v>0.0</v>
      </c>
      <c r="V6636" s="1">
        <v>0.0</v>
      </c>
      <c r="W6636" s="1" t="s">
        <v>25</v>
      </c>
    </row>
    <row r="6637" ht="15.75" customHeight="1">
      <c r="A6637" s="1" t="s">
        <v>6674</v>
      </c>
      <c r="B6637" s="1" t="s">
        <v>32</v>
      </c>
      <c r="C6637" s="1">
        <v>0.0</v>
      </c>
      <c r="D6637" s="1" t="s">
        <v>25</v>
      </c>
      <c r="E6637" s="1" t="s">
        <v>26</v>
      </c>
      <c r="F6637" s="1">
        <v>24.0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1">
        <v>20.1</v>
      </c>
      <c r="T6637" s="1">
        <v>533.9</v>
      </c>
      <c r="U6637" s="1">
        <v>0.0</v>
      </c>
      <c r="V6637" s="1">
        <v>0.0</v>
      </c>
      <c r="W6637" s="1" t="s">
        <v>26</v>
      </c>
    </row>
    <row r="6638" ht="15.75" customHeight="1">
      <c r="A6638" s="1" t="s">
        <v>6675</v>
      </c>
      <c r="B6638" s="1" t="s">
        <v>24</v>
      </c>
      <c r="C6638" s="1">
        <v>0.0</v>
      </c>
      <c r="D6638" s="1" t="s">
        <v>25</v>
      </c>
      <c r="E6638" s="1" t="s">
        <v>25</v>
      </c>
      <c r="F6638" s="1">
        <v>10.0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1">
        <v>70.3</v>
      </c>
      <c r="T6638" s="1">
        <v>676.15</v>
      </c>
      <c r="U6638" s="1">
        <v>0.0</v>
      </c>
      <c r="V6638" s="1">
        <v>0.0</v>
      </c>
      <c r="W6638" s="1" t="s">
        <v>26</v>
      </c>
    </row>
    <row r="6639" ht="15.75" customHeight="1">
      <c r="A6639" s="1" t="s">
        <v>6676</v>
      </c>
      <c r="B6639" s="1" t="s">
        <v>32</v>
      </c>
      <c r="C6639" s="1">
        <v>0.0</v>
      </c>
      <c r="D6639" s="1" t="s">
        <v>25</v>
      </c>
      <c r="E6639" s="1" t="s">
        <v>26</v>
      </c>
      <c r="F6639" s="1">
        <v>69.0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1">
        <v>53.65</v>
      </c>
      <c r="T6639" s="1">
        <v>3804.4</v>
      </c>
      <c r="U6639" s="1">
        <v>0.0</v>
      </c>
      <c r="V6639" s="1">
        <v>0.0</v>
      </c>
      <c r="W6639" s="1" t="s">
        <v>26</v>
      </c>
    </row>
    <row r="6640" ht="15.75" customHeight="1">
      <c r="A6640" s="1" t="s">
        <v>6677</v>
      </c>
      <c r="B6640" s="1" t="s">
        <v>32</v>
      </c>
      <c r="C6640" s="1">
        <v>0.0</v>
      </c>
      <c r="D6640" s="1" t="s">
        <v>26</v>
      </c>
      <c r="E6640" s="1" t="s">
        <v>26</v>
      </c>
      <c r="F6640" s="1">
        <v>57.0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1">
        <v>20.75</v>
      </c>
      <c r="T6640" s="1">
        <v>1118.8</v>
      </c>
      <c r="U6640" s="1">
        <v>0.0</v>
      </c>
      <c r="V6640" s="1">
        <v>0.0</v>
      </c>
      <c r="W6640" s="1" t="s">
        <v>26</v>
      </c>
    </row>
    <row r="6641" ht="15.75" customHeight="1">
      <c r="A6641" s="1" t="s">
        <v>6678</v>
      </c>
      <c r="B6641" s="1" t="s">
        <v>32</v>
      </c>
      <c r="C6641" s="1">
        <v>0.0</v>
      </c>
      <c r="D6641" s="1" t="s">
        <v>25</v>
      </c>
      <c r="E6641" s="1" t="s">
        <v>25</v>
      </c>
      <c r="F6641" s="1">
        <v>50.0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1">
        <v>103.4</v>
      </c>
      <c r="T6641" s="1">
        <v>5236.4</v>
      </c>
      <c r="U6641" s="1">
        <v>0.0</v>
      </c>
      <c r="V6641" s="1">
        <v>0.0</v>
      </c>
      <c r="W6641" s="1" t="s">
        <v>26</v>
      </c>
    </row>
    <row r="6642" ht="15.75" customHeight="1">
      <c r="A6642" s="1" t="s">
        <v>6679</v>
      </c>
      <c r="B6642" s="1" t="s">
        <v>32</v>
      </c>
      <c r="C6642" s="1">
        <v>0.0</v>
      </c>
      <c r="D6642" s="1" t="s">
        <v>25</v>
      </c>
      <c r="E6642" s="1" t="s">
        <v>25</v>
      </c>
      <c r="F6642" s="1">
        <v>28.0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1">
        <v>50.8</v>
      </c>
      <c r="T6642" s="1">
        <v>1386.8</v>
      </c>
      <c r="U6642" s="1">
        <v>0.0</v>
      </c>
      <c r="V6642" s="1">
        <v>0.0</v>
      </c>
      <c r="W6642" s="1" t="s">
        <v>26</v>
      </c>
    </row>
    <row r="6643" ht="15.75" customHeight="1">
      <c r="A6643" s="1" t="s">
        <v>6680</v>
      </c>
      <c r="B6643" s="1" t="s">
        <v>24</v>
      </c>
      <c r="C6643" s="1">
        <v>0.0</v>
      </c>
      <c r="D6643" s="1" t="s">
        <v>26</v>
      </c>
      <c r="E6643" s="1" t="s">
        <v>26</v>
      </c>
      <c r="F6643" s="1">
        <v>16.0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1">
        <v>50.15</v>
      </c>
      <c r="T6643" s="1">
        <v>762.25</v>
      </c>
      <c r="U6643" s="1">
        <v>0.0</v>
      </c>
      <c r="V6643" s="1">
        <v>0.0</v>
      </c>
      <c r="W6643" s="1" t="s">
        <v>25</v>
      </c>
    </row>
    <row r="6644" ht="15.75" customHeight="1">
      <c r="A6644" s="1" t="s">
        <v>6681</v>
      </c>
      <c r="B6644" s="1" t="s">
        <v>32</v>
      </c>
      <c r="C6644" s="1">
        <v>0.0</v>
      </c>
      <c r="D6644" s="1" t="s">
        <v>26</v>
      </c>
      <c r="E6644" s="1" t="s">
        <v>26</v>
      </c>
      <c r="F6644" s="1">
        <v>25.0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1">
        <v>79.0</v>
      </c>
      <c r="T6644" s="1">
        <v>1902.0</v>
      </c>
      <c r="U6644" s="1">
        <v>0.0</v>
      </c>
      <c r="V6644" s="1">
        <v>0.0</v>
      </c>
      <c r="W6644" s="1" t="s">
        <v>26</v>
      </c>
    </row>
    <row r="6645" ht="15.75" customHeight="1">
      <c r="A6645" s="1" t="s">
        <v>6682</v>
      </c>
      <c r="B6645" s="1" t="s">
        <v>24</v>
      </c>
      <c r="C6645" s="1">
        <v>1.0</v>
      </c>
      <c r="D6645" s="1" t="s">
        <v>25</v>
      </c>
      <c r="E6645" s="1" t="s">
        <v>26</v>
      </c>
      <c r="F6645" s="1">
        <v>3.0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1">
        <v>74.6</v>
      </c>
      <c r="T6645" s="1">
        <v>239.05</v>
      </c>
      <c r="U6645" s="1">
        <v>0.0</v>
      </c>
      <c r="V6645" s="1">
        <v>0.0</v>
      </c>
      <c r="W6645" s="1" t="s">
        <v>26</v>
      </c>
    </row>
    <row r="6646" ht="15.75" customHeight="1">
      <c r="A6646" s="1" t="s">
        <v>6683</v>
      </c>
      <c r="B6646" s="1" t="s">
        <v>32</v>
      </c>
      <c r="C6646" s="1">
        <v>0.0</v>
      </c>
      <c r="D6646" s="1" t="s">
        <v>25</v>
      </c>
      <c r="E6646" s="1" t="s">
        <v>26</v>
      </c>
      <c r="F6646" s="1">
        <v>61.0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1">
        <v>96.5</v>
      </c>
      <c r="T6646" s="1">
        <v>5673.7</v>
      </c>
      <c r="U6646" s="1">
        <v>0.0</v>
      </c>
      <c r="V6646" s="1">
        <v>4.0</v>
      </c>
      <c r="W6646" s="1" t="s">
        <v>26</v>
      </c>
    </row>
    <row r="6647" ht="15.75" customHeight="1">
      <c r="A6647" s="1" t="s">
        <v>6684</v>
      </c>
      <c r="B6647" s="1" t="s">
        <v>24</v>
      </c>
      <c r="C6647" s="1">
        <v>0.0</v>
      </c>
      <c r="D6647" s="1" t="s">
        <v>26</v>
      </c>
      <c r="E6647" s="1" t="s">
        <v>26</v>
      </c>
      <c r="F6647" s="1">
        <v>2.0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1">
        <v>20.1</v>
      </c>
      <c r="T6647" s="1">
        <v>39.8</v>
      </c>
      <c r="U6647" s="1">
        <v>0.0</v>
      </c>
      <c r="V6647" s="1">
        <v>0.0</v>
      </c>
      <c r="W6647" s="1" t="s">
        <v>26</v>
      </c>
    </row>
    <row r="6648" ht="15.75" customHeight="1">
      <c r="A6648" s="1" t="s">
        <v>6685</v>
      </c>
      <c r="B6648" s="1" t="s">
        <v>32</v>
      </c>
      <c r="C6648" s="1">
        <v>0.0</v>
      </c>
      <c r="D6648" s="1" t="s">
        <v>25</v>
      </c>
      <c r="E6648" s="1" t="s">
        <v>25</v>
      </c>
      <c r="F6648" s="1">
        <v>51.0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1">
        <v>19.4</v>
      </c>
      <c r="T6648" s="1">
        <v>997.75</v>
      </c>
      <c r="U6648" s="1">
        <v>0.0</v>
      </c>
      <c r="V6648" s="1">
        <v>0.0</v>
      </c>
      <c r="W6648" s="1" t="s">
        <v>26</v>
      </c>
    </row>
    <row r="6649" ht="15.75" customHeight="1">
      <c r="A6649" s="1" t="s">
        <v>6686</v>
      </c>
      <c r="B6649" s="1" t="s">
        <v>24</v>
      </c>
      <c r="C6649" s="1">
        <v>0.0</v>
      </c>
      <c r="D6649" s="1" t="s">
        <v>25</v>
      </c>
      <c r="E6649" s="1" t="s">
        <v>25</v>
      </c>
      <c r="F6649" s="1">
        <v>71.0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1">
        <v>77.55</v>
      </c>
      <c r="T6649" s="1">
        <v>5574.35</v>
      </c>
      <c r="U6649" s="1">
        <v>5.0</v>
      </c>
      <c r="V6649" s="1">
        <v>0.0</v>
      </c>
      <c r="W6649" s="1" t="s">
        <v>26</v>
      </c>
    </row>
    <row r="6650" ht="15.75" customHeight="1">
      <c r="A6650" s="1" t="s">
        <v>6687</v>
      </c>
      <c r="B6650" s="1" t="s">
        <v>24</v>
      </c>
      <c r="C6650" s="1">
        <v>0.0</v>
      </c>
      <c r="D6650" s="1" t="s">
        <v>25</v>
      </c>
      <c r="E6650" s="1" t="s">
        <v>25</v>
      </c>
      <c r="F6650" s="1">
        <v>20.0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1">
        <v>20.05</v>
      </c>
      <c r="T6650" s="1">
        <v>406.05</v>
      </c>
      <c r="U6650" s="1">
        <v>0.0</v>
      </c>
      <c r="V6650" s="1">
        <v>0.0</v>
      </c>
      <c r="W6650" s="1" t="s">
        <v>26</v>
      </c>
    </row>
    <row r="6651" ht="15.75" customHeight="1">
      <c r="A6651" s="1" t="s">
        <v>6688</v>
      </c>
      <c r="B6651" s="1" t="s">
        <v>32</v>
      </c>
      <c r="C6651" s="1">
        <v>0.0</v>
      </c>
      <c r="D6651" s="1" t="s">
        <v>25</v>
      </c>
      <c r="E6651" s="1" t="s">
        <v>25</v>
      </c>
      <c r="F6651" s="1">
        <v>6.0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1">
        <v>19.85</v>
      </c>
      <c r="T6651" s="1">
        <v>138.85</v>
      </c>
      <c r="U6651" s="1">
        <v>0.0</v>
      </c>
      <c r="V6651" s="1">
        <v>0.0</v>
      </c>
      <c r="W6651" s="1" t="s">
        <v>26</v>
      </c>
    </row>
    <row r="6652" ht="15.75" customHeight="1">
      <c r="A6652" s="1" t="s">
        <v>6689</v>
      </c>
      <c r="B6652" s="1" t="s">
        <v>24</v>
      </c>
      <c r="C6652" s="1">
        <v>0.0</v>
      </c>
      <c r="D6652" s="1" t="s">
        <v>26</v>
      </c>
      <c r="E6652" s="1" t="s">
        <v>26</v>
      </c>
      <c r="F6652" s="1">
        <v>6.0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1">
        <v>20.2</v>
      </c>
      <c r="T6652" s="1">
        <v>123.65</v>
      </c>
      <c r="U6652" s="1">
        <v>5.0</v>
      </c>
      <c r="V6652" s="1">
        <v>0.0</v>
      </c>
      <c r="W6652" s="1" t="s">
        <v>26</v>
      </c>
    </row>
    <row r="6653" ht="15.75" customHeight="1">
      <c r="A6653" s="1" t="s">
        <v>6690</v>
      </c>
      <c r="B6653" s="1" t="s">
        <v>24</v>
      </c>
      <c r="C6653" s="1">
        <v>0.0</v>
      </c>
      <c r="D6653" s="1" t="s">
        <v>26</v>
      </c>
      <c r="E6653" s="1" t="s">
        <v>26</v>
      </c>
      <c r="F6653" s="1">
        <v>29.0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1">
        <v>67.45</v>
      </c>
      <c r="T6653" s="1">
        <v>1801.1</v>
      </c>
      <c r="U6653" s="1">
        <v>0.0</v>
      </c>
      <c r="V6653" s="1">
        <v>0.0</v>
      </c>
      <c r="W6653" s="1" t="s">
        <v>26</v>
      </c>
    </row>
    <row r="6654" ht="15.75" customHeight="1">
      <c r="A6654" s="1" t="s">
        <v>6691</v>
      </c>
      <c r="B6654" s="1" t="s">
        <v>32</v>
      </c>
      <c r="C6654" s="1">
        <v>0.0</v>
      </c>
      <c r="D6654" s="1" t="s">
        <v>26</v>
      </c>
      <c r="E6654" s="1" t="s">
        <v>26</v>
      </c>
      <c r="F6654" s="1">
        <v>36.0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1">
        <v>18.55</v>
      </c>
      <c r="T6654" s="1">
        <v>689.0</v>
      </c>
      <c r="U6654" s="1">
        <v>0.0</v>
      </c>
      <c r="V6654" s="1">
        <v>0.0</v>
      </c>
      <c r="W6654" s="1" t="s">
        <v>26</v>
      </c>
    </row>
    <row r="6655" ht="15.75" customHeight="1">
      <c r="A6655" s="1" t="s">
        <v>6692</v>
      </c>
      <c r="B6655" s="1" t="s">
        <v>24</v>
      </c>
      <c r="C6655" s="1">
        <v>0.0</v>
      </c>
      <c r="D6655" s="1" t="s">
        <v>26</v>
      </c>
      <c r="E6655" s="1" t="s">
        <v>26</v>
      </c>
      <c r="F6655" s="1">
        <v>28.0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1">
        <v>29.75</v>
      </c>
      <c r="T6655" s="1">
        <v>790.7</v>
      </c>
      <c r="U6655" s="1">
        <v>0.0</v>
      </c>
      <c r="V6655" s="1">
        <v>0.0</v>
      </c>
      <c r="W6655" s="1" t="s">
        <v>26</v>
      </c>
    </row>
    <row r="6656" ht="15.75" customHeight="1">
      <c r="A6656" s="1" t="s">
        <v>6693</v>
      </c>
      <c r="B6656" s="1" t="s">
        <v>24</v>
      </c>
      <c r="C6656" s="1">
        <v>0.0</v>
      </c>
      <c r="D6656" s="1" t="s">
        <v>25</v>
      </c>
      <c r="E6656" s="1" t="s">
        <v>26</v>
      </c>
      <c r="F6656" s="1">
        <v>7.0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1">
        <v>86.5</v>
      </c>
      <c r="T6656" s="1">
        <v>582.5</v>
      </c>
      <c r="U6656" s="1">
        <v>0.0</v>
      </c>
      <c r="V6656" s="1">
        <v>0.0</v>
      </c>
      <c r="W6656" s="1" t="s">
        <v>25</v>
      </c>
    </row>
    <row r="6657" ht="15.75" customHeight="1">
      <c r="A6657" s="1" t="s">
        <v>6694</v>
      </c>
      <c r="B6657" s="1" t="s">
        <v>24</v>
      </c>
      <c r="C6657" s="1">
        <v>0.0</v>
      </c>
      <c r="D6657" s="1" t="s">
        <v>26</v>
      </c>
      <c r="E6657" s="1" t="s">
        <v>26</v>
      </c>
      <c r="F6657" s="1">
        <v>63.0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1">
        <v>24.2</v>
      </c>
      <c r="T6657" s="1">
        <v>1618.2</v>
      </c>
      <c r="U6657" s="1">
        <v>0.0</v>
      </c>
      <c r="V6657" s="1">
        <v>0.0</v>
      </c>
      <c r="W6657" s="1" t="s">
        <v>26</v>
      </c>
    </row>
    <row r="6658" ht="15.75" customHeight="1">
      <c r="A6658" s="1" t="s">
        <v>6695</v>
      </c>
      <c r="B6658" s="1" t="s">
        <v>32</v>
      </c>
      <c r="C6658" s="1">
        <v>0.0</v>
      </c>
      <c r="D6658" s="1" t="s">
        <v>25</v>
      </c>
      <c r="E6658" s="1" t="s">
        <v>25</v>
      </c>
      <c r="F6658" s="1">
        <v>48.0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1">
        <v>23.55</v>
      </c>
      <c r="T6658" s="1">
        <v>1173.35</v>
      </c>
      <c r="U6658" s="1">
        <v>0.0</v>
      </c>
      <c r="V6658" s="1">
        <v>0.0</v>
      </c>
      <c r="W6658" s="1" t="s">
        <v>26</v>
      </c>
    </row>
    <row r="6659" ht="15.75" customHeight="1">
      <c r="A6659" s="1" t="s">
        <v>6696</v>
      </c>
      <c r="B6659" s="1" t="s">
        <v>24</v>
      </c>
      <c r="C6659" s="1">
        <v>0.0</v>
      </c>
      <c r="D6659" s="1" t="s">
        <v>25</v>
      </c>
      <c r="E6659" s="1" t="s">
        <v>26</v>
      </c>
      <c r="F6659" s="1">
        <v>49.0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1">
        <v>20.45</v>
      </c>
      <c r="T6659" s="1">
        <v>900.9</v>
      </c>
      <c r="U6659" s="1">
        <v>0.0</v>
      </c>
      <c r="V6659" s="1">
        <v>0.0</v>
      </c>
      <c r="W6659" s="1" t="s">
        <v>26</v>
      </c>
    </row>
    <row r="6660" ht="15.75" customHeight="1">
      <c r="A6660" s="1" t="s">
        <v>6697</v>
      </c>
      <c r="B6660" s="1" t="s">
        <v>32</v>
      </c>
      <c r="C6660" s="1">
        <v>1.0</v>
      </c>
      <c r="D6660" s="1" t="s">
        <v>26</v>
      </c>
      <c r="E6660" s="1" t="s">
        <v>26</v>
      </c>
      <c r="F6660" s="1">
        <v>27.0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1">
        <v>81.45</v>
      </c>
      <c r="T6660" s="1">
        <v>2122.05</v>
      </c>
      <c r="U6660" s="1">
        <v>0.0</v>
      </c>
      <c r="V6660" s="1">
        <v>0.0</v>
      </c>
      <c r="W6660" s="1" t="s">
        <v>25</v>
      </c>
    </row>
    <row r="6661" ht="15.75" customHeight="1">
      <c r="A6661" s="1" t="s">
        <v>6698</v>
      </c>
      <c r="B6661" s="1" t="s">
        <v>32</v>
      </c>
      <c r="C6661" s="1">
        <v>0.0</v>
      </c>
      <c r="D6661" s="1" t="s">
        <v>25</v>
      </c>
      <c r="E6661" s="1" t="s">
        <v>26</v>
      </c>
      <c r="F6661" s="1">
        <v>72.0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1">
        <v>92.3</v>
      </c>
      <c r="T6661" s="1">
        <v>6719.9</v>
      </c>
      <c r="U6661" s="1">
        <v>0.0</v>
      </c>
      <c r="V6661" s="1">
        <v>0.0</v>
      </c>
      <c r="W6661" s="1" t="s">
        <v>26</v>
      </c>
    </row>
    <row r="6662" ht="15.75" customHeight="1">
      <c r="A6662" s="1" t="s">
        <v>6699</v>
      </c>
      <c r="B6662" s="1" t="s">
        <v>32</v>
      </c>
      <c r="C6662" s="1">
        <v>0.0</v>
      </c>
      <c r="D6662" s="1" t="s">
        <v>25</v>
      </c>
      <c r="E6662" s="1" t="s">
        <v>26</v>
      </c>
      <c r="F6662" s="1">
        <v>1.0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1">
        <v>69.15</v>
      </c>
      <c r="T6662" s="1">
        <v>69.15</v>
      </c>
      <c r="U6662" s="1">
        <v>0.0</v>
      </c>
      <c r="V6662" s="1">
        <v>0.0</v>
      </c>
      <c r="W6662" s="1" t="s">
        <v>25</v>
      </c>
    </row>
    <row r="6663" ht="15.75" customHeight="1">
      <c r="A6663" s="1" t="s">
        <v>6700</v>
      </c>
      <c r="B6663" s="1" t="s">
        <v>24</v>
      </c>
      <c r="C6663" s="1">
        <v>0.0</v>
      </c>
      <c r="D6663" s="1" t="s">
        <v>25</v>
      </c>
      <c r="E6663" s="1" t="s">
        <v>25</v>
      </c>
      <c r="F6663" s="1">
        <v>72.0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1">
        <v>53.65</v>
      </c>
      <c r="T6663" s="1">
        <v>3784.0</v>
      </c>
      <c r="U6663" s="1">
        <v>0.0</v>
      </c>
      <c r="V6663" s="1">
        <v>0.0</v>
      </c>
      <c r="W6663" s="1" t="s">
        <v>26</v>
      </c>
    </row>
    <row r="6664" ht="15.75" customHeight="1">
      <c r="A6664" s="1" t="s">
        <v>6701</v>
      </c>
      <c r="B6664" s="1" t="s">
        <v>24</v>
      </c>
      <c r="C6664" s="1">
        <v>0.0</v>
      </c>
      <c r="D6664" s="1" t="s">
        <v>26</v>
      </c>
      <c r="E6664" s="1" t="s">
        <v>26</v>
      </c>
      <c r="F6664" s="1">
        <v>47.0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1">
        <v>39.65</v>
      </c>
      <c r="T6664" s="1">
        <v>1798.65</v>
      </c>
      <c r="U6664" s="1">
        <v>0.0</v>
      </c>
      <c r="V6664" s="1">
        <v>0.0</v>
      </c>
      <c r="W6664" s="1" t="s">
        <v>26</v>
      </c>
    </row>
    <row r="6665" ht="15.75" customHeight="1">
      <c r="A6665" s="1" t="s">
        <v>6702</v>
      </c>
      <c r="B6665" s="1" t="s">
        <v>24</v>
      </c>
      <c r="C6665" s="1">
        <v>0.0</v>
      </c>
      <c r="D6665" s="1" t="s">
        <v>26</v>
      </c>
      <c r="E6665" s="1" t="s">
        <v>26</v>
      </c>
      <c r="F6665" s="1">
        <v>1.0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1">
        <v>54.65</v>
      </c>
      <c r="T6665" s="1">
        <v>54.65</v>
      </c>
      <c r="U6665" s="1">
        <v>0.0</v>
      </c>
      <c r="V6665" s="1">
        <v>0.0</v>
      </c>
      <c r="W6665" s="1" t="s">
        <v>26</v>
      </c>
    </row>
    <row r="6666" ht="15.75" customHeight="1">
      <c r="A6666" s="1" t="s">
        <v>6703</v>
      </c>
      <c r="B6666" s="1" t="s">
        <v>24</v>
      </c>
      <c r="C6666" s="1">
        <v>0.0</v>
      </c>
      <c r="D6666" s="1" t="s">
        <v>26</v>
      </c>
      <c r="E6666" s="1" t="s">
        <v>26</v>
      </c>
      <c r="F6666" s="1">
        <v>36.0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1">
        <v>104.8</v>
      </c>
      <c r="T6666" s="1">
        <v>3886.45</v>
      </c>
      <c r="U6666" s="1">
        <v>0.0</v>
      </c>
      <c r="V6666" s="1">
        <v>0.0</v>
      </c>
      <c r="W6666" s="1" t="s">
        <v>26</v>
      </c>
    </row>
    <row r="6667" ht="15.75" customHeight="1">
      <c r="A6667" s="1" t="s">
        <v>6704</v>
      </c>
      <c r="B6667" s="1" t="s">
        <v>32</v>
      </c>
      <c r="C6667" s="1">
        <v>0.0</v>
      </c>
      <c r="D6667" s="1" t="s">
        <v>25</v>
      </c>
      <c r="E6667" s="1" t="s">
        <v>25</v>
      </c>
      <c r="F6667" s="1">
        <v>43.0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1">
        <v>29.3</v>
      </c>
      <c r="T6667" s="1">
        <v>1224.05</v>
      </c>
      <c r="U6667" s="1">
        <v>5.0</v>
      </c>
      <c r="V6667" s="1">
        <v>0.0</v>
      </c>
      <c r="W6667" s="1" t="s">
        <v>26</v>
      </c>
    </row>
    <row r="6668" ht="15.75" customHeight="1">
      <c r="A6668" s="1" t="s">
        <v>6705</v>
      </c>
      <c r="B6668" s="1" t="s">
        <v>24</v>
      </c>
      <c r="C6668" s="1">
        <v>1.0</v>
      </c>
      <c r="D6668" s="1" t="s">
        <v>25</v>
      </c>
      <c r="E6668" s="1" t="s">
        <v>26</v>
      </c>
      <c r="F6668" s="1">
        <v>27.0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1">
        <v>83.85</v>
      </c>
      <c r="T6668" s="1">
        <v>2310.2</v>
      </c>
      <c r="U6668" s="1">
        <v>2.0</v>
      </c>
      <c r="V6668" s="1">
        <v>1.0</v>
      </c>
      <c r="W6668" s="1" t="s">
        <v>26</v>
      </c>
    </row>
    <row r="6669" ht="15.75" customHeight="1">
      <c r="A6669" s="1" t="s">
        <v>6706</v>
      </c>
      <c r="B6669" s="1" t="s">
        <v>24</v>
      </c>
      <c r="C6669" s="1">
        <v>0.0</v>
      </c>
      <c r="D6669" s="1" t="s">
        <v>26</v>
      </c>
      <c r="E6669" s="1" t="s">
        <v>26</v>
      </c>
      <c r="F6669" s="1">
        <v>9.0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1">
        <v>79.55</v>
      </c>
      <c r="T6669" s="1">
        <v>723.4</v>
      </c>
      <c r="U6669" s="1">
        <v>0.0</v>
      </c>
      <c r="V6669" s="1">
        <v>0.0</v>
      </c>
      <c r="W6669" s="1" t="s">
        <v>25</v>
      </c>
    </row>
    <row r="6670" ht="15.75" customHeight="1">
      <c r="A6670" s="1" t="s">
        <v>6707</v>
      </c>
      <c r="B6670" s="1" t="s">
        <v>24</v>
      </c>
      <c r="C6670" s="1">
        <v>0.0</v>
      </c>
      <c r="D6670" s="1" t="s">
        <v>26</v>
      </c>
      <c r="E6670" s="1" t="s">
        <v>26</v>
      </c>
      <c r="F6670" s="1">
        <v>38.0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1">
        <v>103.65</v>
      </c>
      <c r="T6670" s="1">
        <v>3988.5</v>
      </c>
      <c r="U6670" s="1">
        <v>0.0</v>
      </c>
      <c r="V6670" s="1">
        <v>1.0</v>
      </c>
      <c r="W6670" s="1" t="s">
        <v>26</v>
      </c>
    </row>
    <row r="6671" ht="15.75" customHeight="1">
      <c r="A6671" s="1" t="s">
        <v>6708</v>
      </c>
      <c r="B6671" s="1" t="s">
        <v>24</v>
      </c>
      <c r="C6671" s="1">
        <v>1.0</v>
      </c>
      <c r="D6671" s="1" t="s">
        <v>26</v>
      </c>
      <c r="E6671" s="1" t="s">
        <v>26</v>
      </c>
      <c r="F6671" s="1">
        <v>35.0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1">
        <v>99.05</v>
      </c>
      <c r="T6671" s="1">
        <v>3554.6</v>
      </c>
      <c r="U6671" s="1">
        <v>4.0</v>
      </c>
      <c r="V6671" s="1">
        <v>0.0</v>
      </c>
      <c r="W6671" s="1" t="s">
        <v>26</v>
      </c>
    </row>
    <row r="6672" ht="15.75" customHeight="1">
      <c r="A6672" s="1" t="s">
        <v>6709</v>
      </c>
      <c r="B6672" s="1" t="s">
        <v>24</v>
      </c>
      <c r="C6672" s="1">
        <v>0.0</v>
      </c>
      <c r="D6672" s="1" t="s">
        <v>25</v>
      </c>
      <c r="E6672" s="1" t="s">
        <v>25</v>
      </c>
      <c r="F6672" s="1">
        <v>0.0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1">
        <v>73.35</v>
      </c>
      <c r="T6672" s="1" t="s">
        <v>527</v>
      </c>
      <c r="U6672" s="1">
        <v>0.0</v>
      </c>
      <c r="V6672" s="1">
        <v>0.0</v>
      </c>
      <c r="W6672" s="1" t="s">
        <v>26</v>
      </c>
    </row>
    <row r="6673" ht="15.75" customHeight="1">
      <c r="A6673" s="1" t="s">
        <v>6710</v>
      </c>
      <c r="B6673" s="1" t="s">
        <v>24</v>
      </c>
      <c r="C6673" s="1">
        <v>0.0</v>
      </c>
      <c r="D6673" s="1" t="s">
        <v>25</v>
      </c>
      <c r="E6673" s="1" t="s">
        <v>26</v>
      </c>
      <c r="F6673" s="1">
        <v>59.0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1">
        <v>100.05</v>
      </c>
      <c r="T6673" s="1">
        <v>6034.85</v>
      </c>
      <c r="U6673" s="1">
        <v>0.0</v>
      </c>
      <c r="V6673" s="1">
        <v>0.0</v>
      </c>
      <c r="W6673" s="1" t="s">
        <v>26</v>
      </c>
    </row>
    <row r="6674" ht="15.75" customHeight="1">
      <c r="A6674" s="1" t="s">
        <v>6711</v>
      </c>
      <c r="B6674" s="1" t="s">
        <v>32</v>
      </c>
      <c r="C6674" s="1">
        <v>0.0</v>
      </c>
      <c r="D6674" s="1" t="s">
        <v>26</v>
      </c>
      <c r="E6674" s="1" t="s">
        <v>26</v>
      </c>
      <c r="F6674" s="1">
        <v>27.0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1">
        <v>20.35</v>
      </c>
      <c r="T6674" s="1">
        <v>531.6</v>
      </c>
      <c r="U6674" s="1">
        <v>5.0</v>
      </c>
      <c r="V6674" s="1">
        <v>1.0</v>
      </c>
      <c r="W6674" s="1" t="s">
        <v>26</v>
      </c>
    </row>
    <row r="6675" ht="15.75" customHeight="1">
      <c r="A6675" s="1" t="s">
        <v>6712</v>
      </c>
      <c r="B6675" s="1" t="s">
        <v>24</v>
      </c>
      <c r="C6675" s="1">
        <v>1.0</v>
      </c>
      <c r="D6675" s="1" t="s">
        <v>26</v>
      </c>
      <c r="E6675" s="1" t="s">
        <v>26</v>
      </c>
      <c r="F6675" s="1">
        <v>2.0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1">
        <v>43.95</v>
      </c>
      <c r="T6675" s="1">
        <v>85.1</v>
      </c>
      <c r="U6675" s="1">
        <v>0.0</v>
      </c>
      <c r="V6675" s="1">
        <v>0.0</v>
      </c>
      <c r="W6675" s="1" t="s">
        <v>26</v>
      </c>
    </row>
    <row r="6676" ht="15.75" customHeight="1">
      <c r="A6676" s="1" t="s">
        <v>6713</v>
      </c>
      <c r="B6676" s="1" t="s">
        <v>32</v>
      </c>
      <c r="C6676" s="1">
        <v>0.0</v>
      </c>
      <c r="D6676" s="1" t="s">
        <v>26</v>
      </c>
      <c r="E6676" s="1" t="s">
        <v>26</v>
      </c>
      <c r="F6676" s="1">
        <v>7.0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1">
        <v>23.5</v>
      </c>
      <c r="T6676" s="1">
        <v>173.0</v>
      </c>
      <c r="U6676" s="1">
        <v>0.0</v>
      </c>
      <c r="V6676" s="1">
        <v>0.0</v>
      </c>
      <c r="W6676" s="1" t="s">
        <v>26</v>
      </c>
    </row>
    <row r="6677" ht="15.75" customHeight="1">
      <c r="A6677" s="1" t="s">
        <v>6714</v>
      </c>
      <c r="B6677" s="1" t="s">
        <v>24</v>
      </c>
      <c r="C6677" s="1">
        <v>0.0</v>
      </c>
      <c r="D6677" s="1" t="s">
        <v>26</v>
      </c>
      <c r="E6677" s="1" t="s">
        <v>26</v>
      </c>
      <c r="F6677" s="1">
        <v>36.0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1">
        <v>70.7</v>
      </c>
      <c r="T6677" s="1">
        <v>2511.95</v>
      </c>
      <c r="U6677" s="1">
        <v>0.0</v>
      </c>
      <c r="V6677" s="1">
        <v>0.0</v>
      </c>
      <c r="W6677" s="1" t="s">
        <v>26</v>
      </c>
    </row>
    <row r="6678" ht="15.75" customHeight="1">
      <c r="A6678" s="1" t="s">
        <v>6715</v>
      </c>
      <c r="B6678" s="1" t="s">
        <v>24</v>
      </c>
      <c r="C6678" s="1">
        <v>0.0</v>
      </c>
      <c r="D6678" s="1" t="s">
        <v>25</v>
      </c>
      <c r="E6678" s="1" t="s">
        <v>25</v>
      </c>
      <c r="F6678" s="1">
        <v>41.0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1">
        <v>94.3</v>
      </c>
      <c r="T6678" s="1">
        <v>3893.6</v>
      </c>
      <c r="U6678" s="1">
        <v>0.0</v>
      </c>
      <c r="V6678" s="1">
        <v>0.0</v>
      </c>
      <c r="W6678" s="1" t="s">
        <v>26</v>
      </c>
    </row>
    <row r="6679" ht="15.75" customHeight="1">
      <c r="A6679" s="1" t="s">
        <v>6716</v>
      </c>
      <c r="B6679" s="1" t="s">
        <v>24</v>
      </c>
      <c r="C6679" s="1">
        <v>0.0</v>
      </c>
      <c r="D6679" s="1" t="s">
        <v>26</v>
      </c>
      <c r="E6679" s="1" t="s">
        <v>26</v>
      </c>
      <c r="F6679" s="1">
        <v>13.0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1">
        <v>29.15</v>
      </c>
      <c r="T6679" s="1">
        <v>357.15</v>
      </c>
      <c r="U6679" s="1">
        <v>0.0</v>
      </c>
      <c r="V6679" s="1">
        <v>0.0</v>
      </c>
      <c r="W6679" s="1" t="s">
        <v>26</v>
      </c>
    </row>
    <row r="6680" ht="15.75" customHeight="1">
      <c r="A6680" s="1" t="s">
        <v>6717</v>
      </c>
      <c r="B6680" s="1" t="s">
        <v>32</v>
      </c>
      <c r="C6680" s="1">
        <v>0.0</v>
      </c>
      <c r="D6680" s="1" t="s">
        <v>26</v>
      </c>
      <c r="E6680" s="1" t="s">
        <v>25</v>
      </c>
      <c r="F6680" s="1">
        <v>19.0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1">
        <v>20.85</v>
      </c>
      <c r="T6680" s="1">
        <v>467.5</v>
      </c>
      <c r="U6680" s="1">
        <v>0.0</v>
      </c>
      <c r="V6680" s="1">
        <v>0.0</v>
      </c>
      <c r="W6680" s="1" t="s">
        <v>26</v>
      </c>
    </row>
    <row r="6681" ht="15.75" customHeight="1">
      <c r="A6681" s="1" t="s">
        <v>6718</v>
      </c>
      <c r="B6681" s="1" t="s">
        <v>24</v>
      </c>
      <c r="C6681" s="1">
        <v>0.0</v>
      </c>
      <c r="D6681" s="1" t="s">
        <v>25</v>
      </c>
      <c r="E6681" s="1" t="s">
        <v>26</v>
      </c>
      <c r="F6681" s="1">
        <v>60.0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1">
        <v>37.7</v>
      </c>
      <c r="T6681" s="1">
        <v>2288.7</v>
      </c>
      <c r="U6681" s="1">
        <v>0.0</v>
      </c>
      <c r="V6681" s="1">
        <v>3.0</v>
      </c>
      <c r="W6681" s="1" t="s">
        <v>26</v>
      </c>
    </row>
    <row r="6682" ht="15.75" customHeight="1">
      <c r="A6682" s="1" t="s">
        <v>6719</v>
      </c>
      <c r="B6682" s="1" t="s">
        <v>24</v>
      </c>
      <c r="C6682" s="1">
        <v>0.0</v>
      </c>
      <c r="D6682" s="1" t="s">
        <v>26</v>
      </c>
      <c r="E6682" s="1" t="s">
        <v>25</v>
      </c>
      <c r="F6682" s="1">
        <v>48.0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1">
        <v>95.5</v>
      </c>
      <c r="T6682" s="1">
        <v>4627.85</v>
      </c>
      <c r="U6682" s="1">
        <v>0.0</v>
      </c>
      <c r="V6682" s="1">
        <v>5.0</v>
      </c>
      <c r="W6682" s="1" t="s">
        <v>25</v>
      </c>
    </row>
    <row r="6683" ht="15.75" customHeight="1">
      <c r="A6683" s="1" t="s">
        <v>6720</v>
      </c>
      <c r="B6683" s="1" t="s">
        <v>32</v>
      </c>
      <c r="C6683" s="1">
        <v>1.0</v>
      </c>
      <c r="D6683" s="1" t="s">
        <v>26</v>
      </c>
      <c r="E6683" s="1" t="s">
        <v>26</v>
      </c>
      <c r="F6683" s="1">
        <v>3.0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1">
        <v>91.05</v>
      </c>
      <c r="T6683" s="1">
        <v>289.1</v>
      </c>
      <c r="U6683" s="1">
        <v>0.0</v>
      </c>
      <c r="V6683" s="1">
        <v>0.0</v>
      </c>
      <c r="W6683" s="1" t="s">
        <v>25</v>
      </c>
    </row>
    <row r="6684" ht="15.75" customHeight="1">
      <c r="A6684" s="1" t="s">
        <v>6721</v>
      </c>
      <c r="B6684" s="1" t="s">
        <v>32</v>
      </c>
      <c r="C6684" s="1">
        <v>0.0</v>
      </c>
      <c r="D6684" s="1" t="s">
        <v>25</v>
      </c>
      <c r="E6684" s="1" t="s">
        <v>26</v>
      </c>
      <c r="F6684" s="1">
        <v>69.0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1">
        <v>92.45</v>
      </c>
      <c r="T6684" s="1">
        <v>6460.55</v>
      </c>
      <c r="U6684" s="1">
        <v>0.0</v>
      </c>
      <c r="V6684" s="1">
        <v>0.0</v>
      </c>
      <c r="W6684" s="1" t="s">
        <v>26</v>
      </c>
    </row>
    <row r="6685" ht="15.75" customHeight="1">
      <c r="A6685" s="1" t="s">
        <v>6722</v>
      </c>
      <c r="B6685" s="1" t="s">
        <v>32</v>
      </c>
      <c r="C6685" s="1">
        <v>0.0</v>
      </c>
      <c r="D6685" s="1" t="s">
        <v>26</v>
      </c>
      <c r="E6685" s="1" t="s">
        <v>26</v>
      </c>
      <c r="F6685" s="1">
        <v>43.0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1">
        <v>44.15</v>
      </c>
      <c r="T6685" s="1">
        <v>1931.3</v>
      </c>
      <c r="U6685" s="1">
        <v>0.0</v>
      </c>
      <c r="V6685" s="1">
        <v>0.0</v>
      </c>
      <c r="W6685" s="1" t="s">
        <v>26</v>
      </c>
    </row>
    <row r="6686" ht="15.75" customHeight="1">
      <c r="A6686" s="1" t="s">
        <v>6723</v>
      </c>
      <c r="B6686" s="1" t="s">
        <v>24</v>
      </c>
      <c r="C6686" s="1">
        <v>0.0</v>
      </c>
      <c r="D6686" s="1" t="s">
        <v>26</v>
      </c>
      <c r="E6686" s="1" t="s">
        <v>25</v>
      </c>
      <c r="F6686" s="1">
        <v>11.0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1">
        <v>36.05</v>
      </c>
      <c r="T6686" s="1">
        <v>402.6</v>
      </c>
      <c r="U6686" s="1">
        <v>5.0</v>
      </c>
      <c r="V6686" s="1">
        <v>0.0</v>
      </c>
      <c r="W6686" s="1" t="s">
        <v>26</v>
      </c>
    </row>
    <row r="6687" ht="15.75" customHeight="1">
      <c r="A6687" s="1" t="s">
        <v>6724</v>
      </c>
      <c r="B6687" s="1" t="s">
        <v>24</v>
      </c>
      <c r="C6687" s="1">
        <v>0.0</v>
      </c>
      <c r="D6687" s="1" t="s">
        <v>25</v>
      </c>
      <c r="E6687" s="1" t="s">
        <v>26</v>
      </c>
      <c r="F6687" s="1">
        <v>45.0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1">
        <v>50.25</v>
      </c>
      <c r="T6687" s="1">
        <v>2221.55</v>
      </c>
      <c r="U6687" s="1">
        <v>0.0</v>
      </c>
      <c r="V6687" s="1">
        <v>0.0</v>
      </c>
      <c r="W6687" s="1" t="s">
        <v>26</v>
      </c>
    </row>
    <row r="6688" ht="15.75" customHeight="1">
      <c r="A6688" s="1" t="s">
        <v>6725</v>
      </c>
      <c r="B6688" s="1" t="s">
        <v>32</v>
      </c>
      <c r="C6688" s="1">
        <v>0.0</v>
      </c>
      <c r="D6688" s="1" t="s">
        <v>25</v>
      </c>
      <c r="E6688" s="1" t="s">
        <v>26</v>
      </c>
      <c r="F6688" s="1">
        <v>72.0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1">
        <v>109.75</v>
      </c>
      <c r="T6688" s="1">
        <v>7758.9</v>
      </c>
      <c r="U6688" s="1">
        <v>0.0</v>
      </c>
      <c r="V6688" s="1">
        <v>0.0</v>
      </c>
      <c r="W6688" s="1" t="s">
        <v>26</v>
      </c>
    </row>
    <row r="6689" ht="15.75" customHeight="1">
      <c r="A6689" s="1" t="s">
        <v>6726</v>
      </c>
      <c r="B6689" s="1" t="s">
        <v>24</v>
      </c>
      <c r="C6689" s="1">
        <v>1.0</v>
      </c>
      <c r="D6689" s="1" t="s">
        <v>25</v>
      </c>
      <c r="E6689" s="1" t="s">
        <v>26</v>
      </c>
      <c r="F6689" s="1">
        <v>2.0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1">
        <v>79.2</v>
      </c>
      <c r="T6689" s="1">
        <v>172.85</v>
      </c>
      <c r="U6689" s="1">
        <v>0.0</v>
      </c>
      <c r="V6689" s="1">
        <v>0.0</v>
      </c>
      <c r="W6689" s="1" t="s">
        <v>25</v>
      </c>
    </row>
    <row r="6690" ht="15.75" customHeight="1">
      <c r="A6690" s="1" t="s">
        <v>6727</v>
      </c>
      <c r="B6690" s="1" t="s">
        <v>24</v>
      </c>
      <c r="C6690" s="1">
        <v>0.0</v>
      </c>
      <c r="D6690" s="1" t="s">
        <v>25</v>
      </c>
      <c r="E6690" s="1" t="s">
        <v>25</v>
      </c>
      <c r="F6690" s="1">
        <v>12.0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1">
        <v>20.3</v>
      </c>
      <c r="T6690" s="1">
        <v>224.5</v>
      </c>
      <c r="U6690" s="1">
        <v>0.0</v>
      </c>
      <c r="V6690" s="1">
        <v>0.0</v>
      </c>
      <c r="W6690" s="1" t="s">
        <v>26</v>
      </c>
    </row>
    <row r="6691" ht="15.75" customHeight="1">
      <c r="A6691" s="1" t="s">
        <v>6728</v>
      </c>
      <c r="B6691" s="1" t="s">
        <v>24</v>
      </c>
      <c r="C6691" s="1">
        <v>0.0</v>
      </c>
      <c r="D6691" s="1" t="s">
        <v>25</v>
      </c>
      <c r="E6691" s="1" t="s">
        <v>25</v>
      </c>
      <c r="F6691" s="1">
        <v>67.0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1">
        <v>112.35</v>
      </c>
      <c r="T6691" s="1">
        <v>7388.45</v>
      </c>
      <c r="U6691" s="1">
        <v>0.0</v>
      </c>
      <c r="V6691" s="1">
        <v>0.0</v>
      </c>
      <c r="W6691" s="1" t="s">
        <v>26</v>
      </c>
    </row>
    <row r="6692" ht="15.75" customHeight="1">
      <c r="A6692" s="1" t="s">
        <v>6729</v>
      </c>
      <c r="B6692" s="1" t="s">
        <v>32</v>
      </c>
      <c r="C6692" s="1">
        <v>0.0</v>
      </c>
      <c r="D6692" s="1" t="s">
        <v>25</v>
      </c>
      <c r="E6692" s="1" t="s">
        <v>26</v>
      </c>
      <c r="F6692" s="1">
        <v>37.0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1">
        <v>94.3</v>
      </c>
      <c r="T6692" s="1">
        <v>3460.95</v>
      </c>
      <c r="U6692" s="1">
        <v>0.0</v>
      </c>
      <c r="V6692" s="1">
        <v>0.0</v>
      </c>
      <c r="W6692" s="1" t="s">
        <v>26</v>
      </c>
    </row>
    <row r="6693" ht="15.75" customHeight="1">
      <c r="A6693" s="1" t="s">
        <v>6730</v>
      </c>
      <c r="B6693" s="1" t="s">
        <v>24</v>
      </c>
      <c r="C6693" s="1">
        <v>0.0</v>
      </c>
      <c r="D6693" s="1" t="s">
        <v>26</v>
      </c>
      <c r="E6693" s="1" t="s">
        <v>26</v>
      </c>
      <c r="F6693" s="1">
        <v>39.0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1">
        <v>41.15</v>
      </c>
      <c r="T6693" s="1">
        <v>1700.9</v>
      </c>
      <c r="U6693" s="1">
        <v>0.0</v>
      </c>
      <c r="V6693" s="1">
        <v>0.0</v>
      </c>
      <c r="W6693" s="1" t="s">
        <v>26</v>
      </c>
    </row>
    <row r="6694" ht="15.75" customHeight="1">
      <c r="A6694" s="1" t="s">
        <v>6731</v>
      </c>
      <c r="B6694" s="1" t="s">
        <v>24</v>
      </c>
      <c r="C6694" s="1">
        <v>0.0</v>
      </c>
      <c r="D6694" s="1" t="s">
        <v>26</v>
      </c>
      <c r="E6694" s="1" t="s">
        <v>26</v>
      </c>
      <c r="F6694" s="1">
        <v>41.0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1">
        <v>74.65</v>
      </c>
      <c r="T6694" s="1">
        <v>3090.65</v>
      </c>
      <c r="U6694" s="1">
        <v>0.0</v>
      </c>
      <c r="V6694" s="1">
        <v>0.0</v>
      </c>
      <c r="W6694" s="1" t="s">
        <v>26</v>
      </c>
    </row>
    <row r="6695" ht="15.75" customHeight="1">
      <c r="A6695" s="1" t="s">
        <v>6732</v>
      </c>
      <c r="B6695" s="1" t="s">
        <v>24</v>
      </c>
      <c r="C6695" s="1">
        <v>0.0</v>
      </c>
      <c r="D6695" s="1" t="s">
        <v>26</v>
      </c>
      <c r="E6695" s="1" t="s">
        <v>26</v>
      </c>
      <c r="F6695" s="1">
        <v>25.0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1">
        <v>48.25</v>
      </c>
      <c r="T6695" s="1">
        <v>1293.8</v>
      </c>
      <c r="U6695" s="1">
        <v>0.0</v>
      </c>
      <c r="V6695" s="1">
        <v>0.0</v>
      </c>
      <c r="W6695" s="1" t="s">
        <v>26</v>
      </c>
    </row>
    <row r="6696" ht="15.75" customHeight="1">
      <c r="A6696" s="1" t="s">
        <v>6733</v>
      </c>
      <c r="B6696" s="1" t="s">
        <v>32</v>
      </c>
      <c r="C6696" s="1">
        <v>0.0</v>
      </c>
      <c r="D6696" s="1" t="s">
        <v>25</v>
      </c>
      <c r="E6696" s="1" t="s">
        <v>25</v>
      </c>
      <c r="F6696" s="1">
        <v>8.0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1">
        <v>76.15</v>
      </c>
      <c r="T6696" s="1">
        <v>645.8</v>
      </c>
      <c r="U6696" s="1">
        <v>0.0</v>
      </c>
      <c r="V6696" s="1">
        <v>0.0</v>
      </c>
      <c r="W6696" s="1" t="s">
        <v>26</v>
      </c>
    </row>
    <row r="6697" ht="15.75" customHeight="1">
      <c r="A6697" s="1" t="s">
        <v>6734</v>
      </c>
      <c r="B6697" s="1" t="s">
        <v>24</v>
      </c>
      <c r="C6697" s="1">
        <v>0.0</v>
      </c>
      <c r="D6697" s="1" t="s">
        <v>25</v>
      </c>
      <c r="E6697" s="1" t="s">
        <v>25</v>
      </c>
      <c r="F6697" s="1">
        <v>71.0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1">
        <v>71.1</v>
      </c>
      <c r="T6697" s="1">
        <v>5224.95</v>
      </c>
      <c r="U6697" s="1">
        <v>0.0</v>
      </c>
      <c r="V6697" s="1">
        <v>0.0</v>
      </c>
      <c r="W6697" s="1" t="s">
        <v>26</v>
      </c>
    </row>
    <row r="6698" ht="15.75" customHeight="1">
      <c r="A6698" s="1" t="s">
        <v>6735</v>
      </c>
      <c r="B6698" s="1" t="s">
        <v>32</v>
      </c>
      <c r="C6698" s="1">
        <v>0.0</v>
      </c>
      <c r="D6698" s="1" t="s">
        <v>26</v>
      </c>
      <c r="E6698" s="1" t="s">
        <v>26</v>
      </c>
      <c r="F6698" s="1">
        <v>5.0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1">
        <v>96.55</v>
      </c>
      <c r="T6698" s="1">
        <v>500.1</v>
      </c>
      <c r="U6698" s="1">
        <v>0.0</v>
      </c>
      <c r="V6698" s="1">
        <v>0.0</v>
      </c>
      <c r="W6698" s="1" t="s">
        <v>26</v>
      </c>
    </row>
    <row r="6699" ht="15.75" customHeight="1">
      <c r="A6699" s="1" t="s">
        <v>6736</v>
      </c>
      <c r="B6699" s="1" t="s">
        <v>24</v>
      </c>
      <c r="C6699" s="1">
        <v>0.0</v>
      </c>
      <c r="D6699" s="1" t="s">
        <v>26</v>
      </c>
      <c r="E6699" s="1" t="s">
        <v>26</v>
      </c>
      <c r="F6699" s="1">
        <v>30.0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1">
        <v>79.3</v>
      </c>
      <c r="T6699" s="1">
        <v>2427.1</v>
      </c>
      <c r="U6699" s="1">
        <v>0.0</v>
      </c>
      <c r="V6699" s="1">
        <v>1.0</v>
      </c>
      <c r="W6699" s="1" t="s">
        <v>26</v>
      </c>
    </row>
    <row r="6700" ht="15.75" customHeight="1">
      <c r="A6700" s="1" t="s">
        <v>6737</v>
      </c>
      <c r="B6700" s="1" t="s">
        <v>32</v>
      </c>
      <c r="C6700" s="1">
        <v>0.0</v>
      </c>
      <c r="D6700" s="1" t="s">
        <v>26</v>
      </c>
      <c r="E6700" s="1" t="s">
        <v>26</v>
      </c>
      <c r="F6700" s="1">
        <v>40.0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1">
        <v>89.6</v>
      </c>
      <c r="T6700" s="1">
        <v>3488.15</v>
      </c>
      <c r="U6700" s="1">
        <v>0.0</v>
      </c>
      <c r="V6700" s="1">
        <v>0.0</v>
      </c>
      <c r="W6700" s="1" t="s">
        <v>26</v>
      </c>
    </row>
    <row r="6701" ht="15.75" customHeight="1">
      <c r="A6701" s="1" t="s">
        <v>6738</v>
      </c>
      <c r="B6701" s="1" t="s">
        <v>24</v>
      </c>
      <c r="C6701" s="1">
        <v>0.0</v>
      </c>
      <c r="D6701" s="1" t="s">
        <v>26</v>
      </c>
      <c r="E6701" s="1" t="s">
        <v>26</v>
      </c>
      <c r="F6701" s="1">
        <v>54.0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1">
        <v>20.5</v>
      </c>
      <c r="T6701" s="1">
        <v>1035.7</v>
      </c>
      <c r="U6701" s="1">
        <v>0.0</v>
      </c>
      <c r="V6701" s="1">
        <v>0.0</v>
      </c>
      <c r="W6701" s="1" t="s">
        <v>26</v>
      </c>
    </row>
    <row r="6702" ht="15.75" customHeight="1">
      <c r="A6702" s="1" t="s">
        <v>6739</v>
      </c>
      <c r="B6702" s="1" t="s">
        <v>32</v>
      </c>
      <c r="C6702" s="1">
        <v>0.0</v>
      </c>
      <c r="D6702" s="1" t="s">
        <v>25</v>
      </c>
      <c r="E6702" s="1" t="s">
        <v>26</v>
      </c>
      <c r="F6702" s="1">
        <v>72.0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1">
        <v>106.3</v>
      </c>
      <c r="T6702" s="1">
        <v>7565.35</v>
      </c>
      <c r="U6702" s="1">
        <v>0.0</v>
      </c>
      <c r="V6702" s="1">
        <v>0.0</v>
      </c>
      <c r="W6702" s="1" t="s">
        <v>26</v>
      </c>
    </row>
    <row r="6703" ht="15.75" customHeight="1">
      <c r="A6703" s="1" t="s">
        <v>6740</v>
      </c>
      <c r="B6703" s="1" t="s">
        <v>32</v>
      </c>
      <c r="C6703" s="1">
        <v>0.0</v>
      </c>
      <c r="D6703" s="1" t="s">
        <v>25</v>
      </c>
      <c r="E6703" s="1" t="s">
        <v>25</v>
      </c>
      <c r="F6703" s="1">
        <v>28.0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1">
        <v>100.35</v>
      </c>
      <c r="T6703" s="1">
        <v>2799.0</v>
      </c>
      <c r="U6703" s="1">
        <v>0.0</v>
      </c>
      <c r="V6703" s="1">
        <v>0.0</v>
      </c>
      <c r="W6703" s="1" t="s">
        <v>26</v>
      </c>
    </row>
    <row r="6704" ht="15.75" customHeight="1">
      <c r="A6704" s="1" t="s">
        <v>6741</v>
      </c>
      <c r="B6704" s="1" t="s">
        <v>32</v>
      </c>
      <c r="C6704" s="1">
        <v>0.0</v>
      </c>
      <c r="D6704" s="1" t="s">
        <v>25</v>
      </c>
      <c r="E6704" s="1" t="s">
        <v>25</v>
      </c>
      <c r="F6704" s="1">
        <v>18.0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1">
        <v>85.6</v>
      </c>
      <c r="T6704" s="1">
        <v>1601.5</v>
      </c>
      <c r="U6704" s="1">
        <v>2.0</v>
      </c>
      <c r="V6704" s="1">
        <v>0.0</v>
      </c>
      <c r="W6704" s="1" t="s">
        <v>26</v>
      </c>
    </row>
    <row r="6705" ht="15.75" customHeight="1">
      <c r="A6705" s="1" t="s">
        <v>6742</v>
      </c>
      <c r="B6705" s="1" t="s">
        <v>24</v>
      </c>
      <c r="C6705" s="1">
        <v>0.0</v>
      </c>
      <c r="D6705" s="1" t="s">
        <v>26</v>
      </c>
      <c r="E6705" s="1" t="s">
        <v>26</v>
      </c>
      <c r="F6705" s="1">
        <v>2.0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1">
        <v>45.25</v>
      </c>
      <c r="T6705" s="1">
        <v>85.5</v>
      </c>
      <c r="U6705" s="1">
        <v>0.0</v>
      </c>
      <c r="V6705" s="1">
        <v>0.0</v>
      </c>
      <c r="W6705" s="1" t="s">
        <v>25</v>
      </c>
    </row>
    <row r="6706" ht="15.75" customHeight="1">
      <c r="A6706" s="1" t="s">
        <v>6743</v>
      </c>
      <c r="B6706" s="1" t="s">
        <v>24</v>
      </c>
      <c r="C6706" s="1">
        <v>0.0</v>
      </c>
      <c r="D6706" s="1" t="s">
        <v>25</v>
      </c>
      <c r="E6706" s="1" t="s">
        <v>25</v>
      </c>
      <c r="F6706" s="1">
        <v>59.0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1">
        <v>106.15</v>
      </c>
      <c r="T6706" s="1">
        <v>6256.2</v>
      </c>
      <c r="U6706" s="1">
        <v>0.0</v>
      </c>
      <c r="V6706" s="1">
        <v>0.0</v>
      </c>
      <c r="W6706" s="1" t="s">
        <v>26</v>
      </c>
    </row>
    <row r="6707" ht="15.75" customHeight="1">
      <c r="A6707" s="1" t="s">
        <v>6744</v>
      </c>
      <c r="B6707" s="1" t="s">
        <v>32</v>
      </c>
      <c r="C6707" s="1">
        <v>0.0</v>
      </c>
      <c r="D6707" s="1" t="s">
        <v>25</v>
      </c>
      <c r="E6707" s="1" t="s">
        <v>25</v>
      </c>
      <c r="F6707" s="1">
        <v>22.0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1">
        <v>51.1</v>
      </c>
      <c r="T6707" s="1">
        <v>1232.9</v>
      </c>
      <c r="U6707" s="1">
        <v>0.0</v>
      </c>
      <c r="V6707" s="1">
        <v>0.0</v>
      </c>
      <c r="W6707" s="1" t="s">
        <v>26</v>
      </c>
    </row>
    <row r="6708" ht="15.75" customHeight="1">
      <c r="A6708" s="1" t="s">
        <v>6745</v>
      </c>
      <c r="B6708" s="1" t="s">
        <v>24</v>
      </c>
      <c r="C6708" s="1">
        <v>0.0</v>
      </c>
      <c r="D6708" s="1" t="s">
        <v>26</v>
      </c>
      <c r="E6708" s="1" t="s">
        <v>26</v>
      </c>
      <c r="F6708" s="1">
        <v>1.0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1">
        <v>19.9</v>
      </c>
      <c r="T6708" s="1">
        <v>19.9</v>
      </c>
      <c r="U6708" s="1">
        <v>0.0</v>
      </c>
      <c r="V6708" s="1">
        <v>0.0</v>
      </c>
      <c r="W6708" s="1" t="s">
        <v>26</v>
      </c>
    </row>
    <row r="6709" ht="15.75" customHeight="1">
      <c r="A6709" s="1" t="s">
        <v>6746</v>
      </c>
      <c r="B6709" s="1" t="s">
        <v>24</v>
      </c>
      <c r="C6709" s="1">
        <v>1.0</v>
      </c>
      <c r="D6709" s="1" t="s">
        <v>25</v>
      </c>
      <c r="E6709" s="1" t="s">
        <v>26</v>
      </c>
      <c r="F6709" s="1">
        <v>72.0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1">
        <v>25.7</v>
      </c>
      <c r="T6709" s="1">
        <v>1937.4</v>
      </c>
      <c r="U6709" s="1">
        <v>0.0</v>
      </c>
      <c r="V6709" s="1">
        <v>0.0</v>
      </c>
      <c r="W6709" s="1" t="s">
        <v>26</v>
      </c>
    </row>
    <row r="6710" ht="15.75" customHeight="1">
      <c r="A6710" s="1" t="s">
        <v>6747</v>
      </c>
      <c r="B6710" s="1" t="s">
        <v>24</v>
      </c>
      <c r="C6710" s="1">
        <v>1.0</v>
      </c>
      <c r="D6710" s="1" t="s">
        <v>26</v>
      </c>
      <c r="E6710" s="1" t="s">
        <v>26</v>
      </c>
      <c r="F6710" s="1">
        <v>14.0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1">
        <v>74.3</v>
      </c>
      <c r="T6710" s="1">
        <v>1096.25</v>
      </c>
      <c r="U6710" s="1">
        <v>0.0</v>
      </c>
      <c r="V6710" s="1">
        <v>0.0</v>
      </c>
      <c r="W6710" s="1" t="s">
        <v>25</v>
      </c>
    </row>
    <row r="6711" ht="15.75" customHeight="1">
      <c r="A6711" s="1" t="s">
        <v>6748</v>
      </c>
      <c r="B6711" s="1" t="s">
        <v>32</v>
      </c>
      <c r="C6711" s="1">
        <v>0.0</v>
      </c>
      <c r="D6711" s="1" t="s">
        <v>25</v>
      </c>
      <c r="E6711" s="1" t="s">
        <v>26</v>
      </c>
      <c r="F6711" s="1">
        <v>50.0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1">
        <v>99.4</v>
      </c>
      <c r="T6711" s="1">
        <v>5059.75</v>
      </c>
      <c r="U6711" s="1">
        <v>0.0</v>
      </c>
      <c r="V6711" s="1">
        <v>0.0</v>
      </c>
      <c r="W6711" s="1" t="s">
        <v>26</v>
      </c>
    </row>
    <row r="6712" ht="15.75" customHeight="1">
      <c r="A6712" s="1" t="s">
        <v>6749</v>
      </c>
      <c r="B6712" s="1" t="s">
        <v>24</v>
      </c>
      <c r="C6712" s="1">
        <v>0.0</v>
      </c>
      <c r="D6712" s="1" t="s">
        <v>25</v>
      </c>
      <c r="E6712" s="1" t="s">
        <v>25</v>
      </c>
      <c r="F6712" s="1">
        <v>48.0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1">
        <v>69.7</v>
      </c>
      <c r="T6712" s="1">
        <v>3023.65</v>
      </c>
      <c r="U6712" s="1">
        <v>0.0</v>
      </c>
      <c r="V6712" s="1">
        <v>0.0</v>
      </c>
      <c r="W6712" s="1" t="s">
        <v>26</v>
      </c>
    </row>
    <row r="6713" ht="15.75" customHeight="1">
      <c r="A6713" s="1" t="s">
        <v>6750</v>
      </c>
      <c r="B6713" s="1" t="s">
        <v>24</v>
      </c>
      <c r="C6713" s="1">
        <v>0.0</v>
      </c>
      <c r="D6713" s="1" t="s">
        <v>25</v>
      </c>
      <c r="E6713" s="1" t="s">
        <v>25</v>
      </c>
      <c r="F6713" s="1">
        <v>49.0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1">
        <v>98.35</v>
      </c>
      <c r="T6713" s="1">
        <v>4889.2</v>
      </c>
      <c r="U6713" s="1">
        <v>0.0</v>
      </c>
      <c r="V6713" s="1">
        <v>0.0</v>
      </c>
      <c r="W6713" s="1" t="s">
        <v>26</v>
      </c>
    </row>
    <row r="6714" ht="15.75" customHeight="1">
      <c r="A6714" s="1" t="s">
        <v>6751</v>
      </c>
      <c r="B6714" s="1" t="s">
        <v>32</v>
      </c>
      <c r="C6714" s="1">
        <v>0.0</v>
      </c>
      <c r="D6714" s="1" t="s">
        <v>25</v>
      </c>
      <c r="E6714" s="1" t="s">
        <v>25</v>
      </c>
      <c r="F6714" s="1">
        <v>28.0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1">
        <v>85.45</v>
      </c>
      <c r="T6714" s="1">
        <v>2289.9</v>
      </c>
      <c r="U6714" s="1">
        <v>0.0</v>
      </c>
      <c r="V6714" s="1">
        <v>1.0</v>
      </c>
      <c r="W6714" s="1" t="s">
        <v>26</v>
      </c>
    </row>
    <row r="6715" ht="15.75" customHeight="1">
      <c r="A6715" s="1" t="s">
        <v>6752</v>
      </c>
      <c r="B6715" s="1" t="s">
        <v>32</v>
      </c>
      <c r="C6715" s="1">
        <v>1.0</v>
      </c>
      <c r="D6715" s="1" t="s">
        <v>26</v>
      </c>
      <c r="E6715" s="1" t="s">
        <v>26</v>
      </c>
      <c r="F6715" s="1">
        <v>68.0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1">
        <v>95.9</v>
      </c>
      <c r="T6715" s="1">
        <v>6503.2</v>
      </c>
      <c r="U6715" s="1">
        <v>0.0</v>
      </c>
      <c r="V6715" s="1">
        <v>0.0</v>
      </c>
      <c r="W6715" s="1" t="s">
        <v>26</v>
      </c>
    </row>
    <row r="6716" ht="15.75" customHeight="1">
      <c r="A6716" s="1" t="s">
        <v>6753</v>
      </c>
      <c r="B6716" s="1" t="s">
        <v>32</v>
      </c>
      <c r="C6716" s="1">
        <v>0.0</v>
      </c>
      <c r="D6716" s="1" t="s">
        <v>26</v>
      </c>
      <c r="E6716" s="1" t="s">
        <v>26</v>
      </c>
      <c r="F6716" s="1">
        <v>13.0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1">
        <v>100.75</v>
      </c>
      <c r="T6716" s="1">
        <v>1313.25</v>
      </c>
      <c r="U6716" s="1">
        <v>2.0</v>
      </c>
      <c r="V6716" s="1">
        <v>0.0</v>
      </c>
      <c r="W6716" s="1" t="s">
        <v>26</v>
      </c>
    </row>
    <row r="6717" ht="15.75" customHeight="1">
      <c r="A6717" s="1" t="s">
        <v>6754</v>
      </c>
      <c r="B6717" s="1" t="s">
        <v>24</v>
      </c>
      <c r="C6717" s="1">
        <v>0.0</v>
      </c>
      <c r="D6717" s="1" t="s">
        <v>26</v>
      </c>
      <c r="E6717" s="1" t="s">
        <v>26</v>
      </c>
      <c r="F6717" s="1">
        <v>11.0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1">
        <v>89.2</v>
      </c>
      <c r="T6717" s="1">
        <v>990.3</v>
      </c>
      <c r="U6717" s="1">
        <v>5.0</v>
      </c>
      <c r="V6717" s="1">
        <v>0.0</v>
      </c>
      <c r="W6717" s="1" t="s">
        <v>26</v>
      </c>
    </row>
    <row r="6718" ht="15.75" customHeight="1">
      <c r="A6718" s="1" t="s">
        <v>6755</v>
      </c>
      <c r="B6718" s="1" t="s">
        <v>24</v>
      </c>
      <c r="C6718" s="1">
        <v>0.0</v>
      </c>
      <c r="D6718" s="1" t="s">
        <v>25</v>
      </c>
      <c r="E6718" s="1" t="s">
        <v>26</v>
      </c>
      <c r="F6718" s="1">
        <v>3.0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1">
        <v>74.1</v>
      </c>
      <c r="T6718" s="1">
        <v>228.0</v>
      </c>
      <c r="U6718" s="1">
        <v>0.0</v>
      </c>
      <c r="V6718" s="1">
        <v>0.0</v>
      </c>
      <c r="W6718" s="1" t="s">
        <v>25</v>
      </c>
    </row>
    <row r="6719" ht="15.75" customHeight="1">
      <c r="A6719" s="1" t="s">
        <v>6756</v>
      </c>
      <c r="B6719" s="1" t="s">
        <v>32</v>
      </c>
      <c r="C6719" s="1">
        <v>1.0</v>
      </c>
      <c r="D6719" s="1" t="s">
        <v>25</v>
      </c>
      <c r="E6719" s="1" t="s">
        <v>26</v>
      </c>
      <c r="F6719" s="1">
        <v>57.0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1">
        <v>100.6</v>
      </c>
      <c r="T6719" s="1">
        <v>5746.15</v>
      </c>
      <c r="U6719" s="1">
        <v>0.0</v>
      </c>
      <c r="V6719" s="1">
        <v>4.0</v>
      </c>
      <c r="W6719" s="1" t="s">
        <v>25</v>
      </c>
    </row>
    <row r="6720" ht="15.75" customHeight="1">
      <c r="A6720" s="1" t="s">
        <v>6757</v>
      </c>
      <c r="B6720" s="1" t="s">
        <v>32</v>
      </c>
      <c r="C6720" s="1">
        <v>0.0</v>
      </c>
      <c r="D6720" s="1" t="s">
        <v>26</v>
      </c>
      <c r="E6720" s="1" t="s">
        <v>26</v>
      </c>
      <c r="F6720" s="1">
        <v>3.0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1">
        <v>75.0</v>
      </c>
      <c r="T6720" s="1">
        <v>209.1</v>
      </c>
      <c r="U6720" s="1">
        <v>4.0</v>
      </c>
      <c r="V6720" s="1">
        <v>0.0</v>
      </c>
      <c r="W6720" s="1" t="s">
        <v>25</v>
      </c>
    </row>
    <row r="6721" ht="15.75" customHeight="1">
      <c r="A6721" s="1" t="s">
        <v>6758</v>
      </c>
      <c r="B6721" s="1" t="s">
        <v>32</v>
      </c>
      <c r="C6721" s="1">
        <v>0.0</v>
      </c>
      <c r="D6721" s="1" t="s">
        <v>25</v>
      </c>
      <c r="E6721" s="1" t="s">
        <v>26</v>
      </c>
      <c r="F6721" s="1">
        <v>72.0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1">
        <v>25.75</v>
      </c>
      <c r="T6721" s="1">
        <v>1864.2</v>
      </c>
      <c r="U6721" s="1">
        <v>0.0</v>
      </c>
      <c r="V6721" s="1">
        <v>0.0</v>
      </c>
      <c r="W6721" s="1" t="s">
        <v>26</v>
      </c>
    </row>
    <row r="6722" ht="15.75" customHeight="1">
      <c r="A6722" s="1" t="s">
        <v>6759</v>
      </c>
      <c r="B6722" s="1" t="s">
        <v>32</v>
      </c>
      <c r="C6722" s="1">
        <v>0.0</v>
      </c>
      <c r="D6722" s="1" t="s">
        <v>25</v>
      </c>
      <c r="E6722" s="1" t="s">
        <v>25</v>
      </c>
      <c r="F6722" s="1">
        <v>70.0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1">
        <v>84.1</v>
      </c>
      <c r="T6722" s="1">
        <v>5979.7</v>
      </c>
      <c r="U6722" s="1">
        <v>0.0</v>
      </c>
      <c r="V6722" s="1">
        <v>0.0</v>
      </c>
      <c r="W6722" s="1" t="s">
        <v>26</v>
      </c>
    </row>
    <row r="6723" ht="15.75" customHeight="1">
      <c r="A6723" s="1" t="s">
        <v>6760</v>
      </c>
      <c r="B6723" s="1" t="s">
        <v>24</v>
      </c>
      <c r="C6723" s="1">
        <v>0.0</v>
      </c>
      <c r="D6723" s="1" t="s">
        <v>25</v>
      </c>
      <c r="E6723" s="1" t="s">
        <v>25</v>
      </c>
      <c r="F6723" s="1">
        <v>49.0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1">
        <v>79.3</v>
      </c>
      <c r="T6723" s="1">
        <v>3902.45</v>
      </c>
      <c r="U6723" s="1">
        <v>4.0</v>
      </c>
      <c r="V6723" s="1">
        <v>0.0</v>
      </c>
      <c r="W6723" s="1" t="s">
        <v>26</v>
      </c>
    </row>
    <row r="6724" ht="15.75" customHeight="1">
      <c r="A6724" s="1" t="s">
        <v>6761</v>
      </c>
      <c r="B6724" s="1" t="s">
        <v>24</v>
      </c>
      <c r="C6724" s="1">
        <v>1.0</v>
      </c>
      <c r="D6724" s="1" t="s">
        <v>25</v>
      </c>
      <c r="E6724" s="1" t="s">
        <v>26</v>
      </c>
      <c r="F6724" s="1">
        <v>67.0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1">
        <v>107.05</v>
      </c>
      <c r="T6724" s="1">
        <v>7142.5</v>
      </c>
      <c r="U6724" s="1">
        <v>0.0</v>
      </c>
      <c r="V6724" s="1">
        <v>0.0</v>
      </c>
      <c r="W6724" s="1" t="s">
        <v>26</v>
      </c>
    </row>
    <row r="6725" ht="15.75" customHeight="1">
      <c r="A6725" s="1" t="s">
        <v>6762</v>
      </c>
      <c r="B6725" s="1" t="s">
        <v>32</v>
      </c>
      <c r="C6725" s="1">
        <v>0.0</v>
      </c>
      <c r="D6725" s="1" t="s">
        <v>26</v>
      </c>
      <c r="E6725" s="1" t="s">
        <v>26</v>
      </c>
      <c r="F6725" s="1">
        <v>46.0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1">
        <v>20.05</v>
      </c>
      <c r="T6725" s="1">
        <v>902.0</v>
      </c>
      <c r="U6725" s="1">
        <v>2.0</v>
      </c>
      <c r="V6725" s="1">
        <v>0.0</v>
      </c>
      <c r="W6725" s="1" t="s">
        <v>26</v>
      </c>
    </row>
    <row r="6726" ht="15.75" customHeight="1">
      <c r="A6726" s="1" t="s">
        <v>6763</v>
      </c>
      <c r="B6726" s="1" t="s">
        <v>24</v>
      </c>
      <c r="C6726" s="1">
        <v>1.0</v>
      </c>
      <c r="D6726" s="1" t="s">
        <v>26</v>
      </c>
      <c r="E6726" s="1" t="s">
        <v>26</v>
      </c>
      <c r="F6726" s="1">
        <v>64.0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1">
        <v>70.2</v>
      </c>
      <c r="T6726" s="1">
        <v>4481.0</v>
      </c>
      <c r="U6726" s="1">
        <v>5.0</v>
      </c>
      <c r="V6726" s="1">
        <v>5.0</v>
      </c>
      <c r="W6726" s="1" t="s">
        <v>25</v>
      </c>
    </row>
    <row r="6727" ht="15.75" customHeight="1">
      <c r="A6727" s="1" t="s">
        <v>6764</v>
      </c>
      <c r="B6727" s="1" t="s">
        <v>24</v>
      </c>
      <c r="C6727" s="1">
        <v>0.0</v>
      </c>
      <c r="D6727" s="1" t="s">
        <v>25</v>
      </c>
      <c r="E6727" s="1" t="s">
        <v>26</v>
      </c>
      <c r="F6727" s="1">
        <v>37.0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1">
        <v>19.5</v>
      </c>
      <c r="T6727" s="1">
        <v>805.2</v>
      </c>
      <c r="U6727" s="1">
        <v>0.0</v>
      </c>
      <c r="V6727" s="1">
        <v>0.0</v>
      </c>
      <c r="W6727" s="1" t="s">
        <v>26</v>
      </c>
    </row>
    <row r="6728" ht="15.75" customHeight="1">
      <c r="A6728" s="1" t="s">
        <v>6765</v>
      </c>
      <c r="B6728" s="1" t="s">
        <v>24</v>
      </c>
      <c r="C6728" s="1">
        <v>1.0</v>
      </c>
      <c r="D6728" s="1" t="s">
        <v>26</v>
      </c>
      <c r="E6728" s="1" t="s">
        <v>26</v>
      </c>
      <c r="F6728" s="1">
        <v>2.0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1">
        <v>70.75</v>
      </c>
      <c r="T6728" s="1">
        <v>154.85</v>
      </c>
      <c r="U6728" s="1">
        <v>0.0</v>
      </c>
      <c r="V6728" s="1">
        <v>0.0</v>
      </c>
      <c r="W6728" s="1" t="s">
        <v>25</v>
      </c>
    </row>
    <row r="6729" ht="15.75" customHeight="1">
      <c r="A6729" s="1" t="s">
        <v>6766</v>
      </c>
      <c r="B6729" s="1" t="s">
        <v>24</v>
      </c>
      <c r="C6729" s="1">
        <v>1.0</v>
      </c>
      <c r="D6729" s="1" t="s">
        <v>25</v>
      </c>
      <c r="E6729" s="1" t="s">
        <v>26</v>
      </c>
      <c r="F6729" s="1">
        <v>13.0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1">
        <v>45.3</v>
      </c>
      <c r="T6729" s="1">
        <v>528.45</v>
      </c>
      <c r="U6729" s="1">
        <v>0.0</v>
      </c>
      <c r="V6729" s="1">
        <v>0.0</v>
      </c>
      <c r="W6729" s="1" t="s">
        <v>26</v>
      </c>
    </row>
    <row r="6730" ht="15.75" customHeight="1">
      <c r="A6730" s="1" t="s">
        <v>6767</v>
      </c>
      <c r="B6730" s="1" t="s">
        <v>24</v>
      </c>
      <c r="C6730" s="1">
        <v>0.0</v>
      </c>
      <c r="D6730" s="1" t="s">
        <v>25</v>
      </c>
      <c r="E6730" s="1" t="s">
        <v>26</v>
      </c>
      <c r="F6730" s="1">
        <v>72.0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1">
        <v>115.15</v>
      </c>
      <c r="T6730" s="1">
        <v>8349.7</v>
      </c>
      <c r="U6730" s="1">
        <v>0.0</v>
      </c>
      <c r="V6730" s="1">
        <v>0.0</v>
      </c>
      <c r="W6730" s="1" t="s">
        <v>26</v>
      </c>
    </row>
    <row r="6731" ht="15.75" customHeight="1">
      <c r="A6731" s="1" t="s">
        <v>6768</v>
      </c>
      <c r="B6731" s="1" t="s">
        <v>32</v>
      </c>
      <c r="C6731" s="1">
        <v>0.0</v>
      </c>
      <c r="D6731" s="1" t="s">
        <v>25</v>
      </c>
      <c r="E6731" s="1" t="s">
        <v>25</v>
      </c>
      <c r="F6731" s="1">
        <v>68.0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1">
        <v>72.95</v>
      </c>
      <c r="T6731" s="1">
        <v>4953.25</v>
      </c>
      <c r="U6731" s="1">
        <v>3.0</v>
      </c>
      <c r="V6731" s="1">
        <v>0.0</v>
      </c>
      <c r="W6731" s="1" t="s">
        <v>26</v>
      </c>
    </row>
    <row r="6732" ht="15.75" customHeight="1">
      <c r="A6732" s="1" t="s">
        <v>6769</v>
      </c>
      <c r="B6732" s="1" t="s">
        <v>32</v>
      </c>
      <c r="C6732" s="1">
        <v>0.0</v>
      </c>
      <c r="D6732" s="1" t="s">
        <v>25</v>
      </c>
      <c r="E6732" s="1" t="s">
        <v>25</v>
      </c>
      <c r="F6732" s="1">
        <v>15.0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1">
        <v>19.65</v>
      </c>
      <c r="T6732" s="1">
        <v>332.65</v>
      </c>
      <c r="U6732" s="1">
        <v>3.0</v>
      </c>
      <c r="V6732" s="1">
        <v>0.0</v>
      </c>
      <c r="W6732" s="1" t="s">
        <v>26</v>
      </c>
    </row>
    <row r="6733" ht="15.75" customHeight="1">
      <c r="A6733" s="1" t="s">
        <v>6770</v>
      </c>
      <c r="B6733" s="1" t="s">
        <v>24</v>
      </c>
      <c r="C6733" s="1">
        <v>0.0</v>
      </c>
      <c r="D6733" s="1" t="s">
        <v>26</v>
      </c>
      <c r="E6733" s="1" t="s">
        <v>26</v>
      </c>
      <c r="F6733" s="1">
        <v>24.0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1">
        <v>19.55</v>
      </c>
      <c r="T6733" s="1">
        <v>470.2</v>
      </c>
      <c r="U6733" s="1">
        <v>0.0</v>
      </c>
      <c r="V6733" s="1">
        <v>0.0</v>
      </c>
      <c r="W6733" s="1" t="s">
        <v>26</v>
      </c>
    </row>
    <row r="6734" ht="15.75" customHeight="1">
      <c r="A6734" s="1" t="s">
        <v>6771</v>
      </c>
      <c r="B6734" s="1" t="s">
        <v>24</v>
      </c>
      <c r="C6734" s="1">
        <v>0.0</v>
      </c>
      <c r="D6734" s="1" t="s">
        <v>26</v>
      </c>
      <c r="E6734" s="1" t="s">
        <v>26</v>
      </c>
      <c r="F6734" s="1">
        <v>24.0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1">
        <v>89.55</v>
      </c>
      <c r="T6734" s="1">
        <v>2259.35</v>
      </c>
      <c r="U6734" s="1">
        <v>2.0</v>
      </c>
      <c r="V6734" s="1">
        <v>0.0</v>
      </c>
      <c r="W6734" s="1" t="s">
        <v>26</v>
      </c>
    </row>
    <row r="6735" ht="15.75" customHeight="1">
      <c r="A6735" s="1" t="s">
        <v>6772</v>
      </c>
      <c r="B6735" s="1" t="s">
        <v>32</v>
      </c>
      <c r="C6735" s="1">
        <v>0.0</v>
      </c>
      <c r="D6735" s="1" t="s">
        <v>26</v>
      </c>
      <c r="E6735" s="1" t="s">
        <v>26</v>
      </c>
      <c r="F6735" s="1">
        <v>27.0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1">
        <v>50.35</v>
      </c>
      <c r="T6735" s="1">
        <v>1411.35</v>
      </c>
      <c r="U6735" s="1">
        <v>3.0</v>
      </c>
      <c r="V6735" s="1">
        <v>0.0</v>
      </c>
      <c r="W6735" s="1" t="s">
        <v>26</v>
      </c>
    </row>
    <row r="6736" ht="15.75" customHeight="1">
      <c r="A6736" s="1" t="s">
        <v>6773</v>
      </c>
      <c r="B6736" s="1" t="s">
        <v>32</v>
      </c>
      <c r="C6736" s="1">
        <v>0.0</v>
      </c>
      <c r="D6736" s="1" t="s">
        <v>26</v>
      </c>
      <c r="E6736" s="1" t="s">
        <v>26</v>
      </c>
      <c r="F6736" s="1">
        <v>12.0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1">
        <v>50.25</v>
      </c>
      <c r="T6736" s="1">
        <v>593.75</v>
      </c>
      <c r="U6736" s="1">
        <v>2.0</v>
      </c>
      <c r="V6736" s="1">
        <v>0.0</v>
      </c>
      <c r="W6736" s="1" t="s">
        <v>25</v>
      </c>
    </row>
    <row r="6737" ht="15.75" customHeight="1">
      <c r="A6737" s="1" t="s">
        <v>6774</v>
      </c>
      <c r="B6737" s="1" t="s">
        <v>24</v>
      </c>
      <c r="C6737" s="1">
        <v>0.0</v>
      </c>
      <c r="D6737" s="1" t="s">
        <v>25</v>
      </c>
      <c r="E6737" s="1" t="s">
        <v>25</v>
      </c>
      <c r="F6737" s="1">
        <v>71.0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1">
        <v>87.25</v>
      </c>
      <c r="T6737" s="1">
        <v>6328.7</v>
      </c>
      <c r="U6737" s="1">
        <v>0.0</v>
      </c>
      <c r="V6737" s="1">
        <v>0.0</v>
      </c>
      <c r="W6737" s="1" t="s">
        <v>26</v>
      </c>
    </row>
    <row r="6738" ht="15.75" customHeight="1">
      <c r="A6738" s="1" t="s">
        <v>6775</v>
      </c>
      <c r="B6738" s="1" t="s">
        <v>32</v>
      </c>
      <c r="C6738" s="1">
        <v>0.0</v>
      </c>
      <c r="D6738" s="1" t="s">
        <v>25</v>
      </c>
      <c r="E6738" s="1" t="s">
        <v>25</v>
      </c>
      <c r="F6738" s="1">
        <v>67.0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1">
        <v>20.8</v>
      </c>
      <c r="T6738" s="1">
        <v>1411.9</v>
      </c>
      <c r="U6738" s="1">
        <v>0.0</v>
      </c>
      <c r="V6738" s="1">
        <v>3.0</v>
      </c>
      <c r="W6738" s="1" t="s">
        <v>26</v>
      </c>
    </row>
    <row r="6739" ht="15.75" customHeight="1">
      <c r="A6739" s="1" t="s">
        <v>6776</v>
      </c>
      <c r="B6739" s="1" t="s">
        <v>24</v>
      </c>
      <c r="C6739" s="1">
        <v>0.0</v>
      </c>
      <c r="D6739" s="1" t="s">
        <v>25</v>
      </c>
      <c r="E6739" s="1" t="s">
        <v>26</v>
      </c>
      <c r="F6739" s="1">
        <v>63.0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1">
        <v>109.25</v>
      </c>
      <c r="T6739" s="1">
        <v>6841.4</v>
      </c>
      <c r="U6739" s="1">
        <v>5.0</v>
      </c>
      <c r="V6739" s="1">
        <v>0.0</v>
      </c>
      <c r="W6739" s="1" t="s">
        <v>26</v>
      </c>
    </row>
    <row r="6740" ht="15.75" customHeight="1">
      <c r="A6740" s="1" t="s">
        <v>6777</v>
      </c>
      <c r="B6740" s="1" t="s">
        <v>32</v>
      </c>
      <c r="C6740" s="1">
        <v>0.0</v>
      </c>
      <c r="D6740" s="1" t="s">
        <v>26</v>
      </c>
      <c r="E6740" s="1" t="s">
        <v>26</v>
      </c>
      <c r="F6740" s="1">
        <v>1.0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1">
        <v>20.35</v>
      </c>
      <c r="T6740" s="1">
        <v>20.35</v>
      </c>
      <c r="U6740" s="1">
        <v>0.0</v>
      </c>
      <c r="V6740" s="1">
        <v>0.0</v>
      </c>
      <c r="W6740" s="1" t="s">
        <v>26</v>
      </c>
    </row>
    <row r="6741" ht="15.75" customHeight="1">
      <c r="A6741" s="1" t="s">
        <v>6778</v>
      </c>
      <c r="B6741" s="1" t="s">
        <v>32</v>
      </c>
      <c r="C6741" s="1">
        <v>0.0</v>
      </c>
      <c r="D6741" s="1" t="s">
        <v>26</v>
      </c>
      <c r="E6741" s="1" t="s">
        <v>26</v>
      </c>
      <c r="F6741" s="1">
        <v>4.0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1">
        <v>55.9</v>
      </c>
      <c r="T6741" s="1">
        <v>238.5</v>
      </c>
      <c r="U6741" s="1">
        <v>0.0</v>
      </c>
      <c r="V6741" s="1">
        <v>0.0</v>
      </c>
      <c r="W6741" s="1" t="s">
        <v>26</v>
      </c>
    </row>
    <row r="6742" ht="15.75" customHeight="1">
      <c r="A6742" s="1" t="s">
        <v>6779</v>
      </c>
      <c r="B6742" s="1" t="s">
        <v>24</v>
      </c>
      <c r="C6742" s="1">
        <v>1.0</v>
      </c>
      <c r="D6742" s="1" t="s">
        <v>26</v>
      </c>
      <c r="E6742" s="1" t="s">
        <v>26</v>
      </c>
      <c r="F6742" s="1">
        <v>40.0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1">
        <v>79.2</v>
      </c>
      <c r="T6742" s="1">
        <v>3233.85</v>
      </c>
      <c r="U6742" s="1">
        <v>0.0</v>
      </c>
      <c r="V6742" s="1">
        <v>5.0</v>
      </c>
      <c r="W6742" s="1" t="s">
        <v>25</v>
      </c>
    </row>
    <row r="6743" ht="15.75" customHeight="1">
      <c r="A6743" s="1" t="s">
        <v>6780</v>
      </c>
      <c r="B6743" s="1" t="s">
        <v>24</v>
      </c>
      <c r="C6743" s="1">
        <v>0.0</v>
      </c>
      <c r="D6743" s="1" t="s">
        <v>26</v>
      </c>
      <c r="E6743" s="1" t="s">
        <v>26</v>
      </c>
      <c r="F6743" s="1">
        <v>12.0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1">
        <v>96.0</v>
      </c>
      <c r="T6743" s="1">
        <v>1062.1</v>
      </c>
      <c r="U6743" s="1">
        <v>2.0</v>
      </c>
      <c r="V6743" s="1">
        <v>1.0</v>
      </c>
      <c r="W6743" s="1" t="s">
        <v>25</v>
      </c>
    </row>
    <row r="6744" ht="15.75" customHeight="1">
      <c r="A6744" s="1" t="s">
        <v>6781</v>
      </c>
      <c r="B6744" s="1" t="s">
        <v>32</v>
      </c>
      <c r="C6744" s="1">
        <v>0.0</v>
      </c>
      <c r="D6744" s="1" t="s">
        <v>25</v>
      </c>
      <c r="E6744" s="1" t="s">
        <v>25</v>
      </c>
      <c r="F6744" s="1">
        <v>52.0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1">
        <v>79.2</v>
      </c>
      <c r="T6744" s="1">
        <v>4016.3</v>
      </c>
      <c r="U6744" s="1">
        <v>2.0</v>
      </c>
      <c r="V6744" s="1">
        <v>0.0</v>
      </c>
      <c r="W6744" s="1" t="s">
        <v>26</v>
      </c>
    </row>
    <row r="6745" ht="15.75" customHeight="1">
      <c r="A6745" s="1" t="s">
        <v>6782</v>
      </c>
      <c r="B6745" s="1" t="s">
        <v>32</v>
      </c>
      <c r="C6745" s="1">
        <v>0.0</v>
      </c>
      <c r="D6745" s="1" t="s">
        <v>26</v>
      </c>
      <c r="E6745" s="1" t="s">
        <v>26</v>
      </c>
      <c r="F6745" s="1">
        <v>10.0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1">
        <v>24.0</v>
      </c>
      <c r="T6745" s="1">
        <v>226.55</v>
      </c>
      <c r="U6745" s="1">
        <v>0.0</v>
      </c>
      <c r="V6745" s="1">
        <v>0.0</v>
      </c>
      <c r="W6745" s="1" t="s">
        <v>26</v>
      </c>
    </row>
    <row r="6746" ht="15.75" customHeight="1">
      <c r="A6746" s="1" t="s">
        <v>6783</v>
      </c>
      <c r="B6746" s="1" t="s">
        <v>32</v>
      </c>
      <c r="C6746" s="1">
        <v>0.0</v>
      </c>
      <c r="D6746" s="1" t="s">
        <v>26</v>
      </c>
      <c r="E6746" s="1" t="s">
        <v>26</v>
      </c>
      <c r="F6746" s="1">
        <v>68.0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1">
        <v>101.35</v>
      </c>
      <c r="T6746" s="1">
        <v>7110.75</v>
      </c>
      <c r="U6746" s="1">
        <v>0.0</v>
      </c>
      <c r="V6746" s="1">
        <v>0.0</v>
      </c>
      <c r="W6746" s="1" t="s">
        <v>26</v>
      </c>
    </row>
    <row r="6747" ht="15.75" customHeight="1">
      <c r="A6747" s="1" t="s">
        <v>6784</v>
      </c>
      <c r="B6747" s="1" t="s">
        <v>24</v>
      </c>
      <c r="C6747" s="1">
        <v>0.0</v>
      </c>
      <c r="D6747" s="1" t="s">
        <v>26</v>
      </c>
      <c r="E6747" s="1" t="s">
        <v>26</v>
      </c>
      <c r="F6747" s="1">
        <v>54.0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1">
        <v>100.1</v>
      </c>
      <c r="T6747" s="1">
        <v>5440.9</v>
      </c>
      <c r="U6747" s="1">
        <v>0.0</v>
      </c>
      <c r="V6747" s="1">
        <v>5.0</v>
      </c>
      <c r="W6747" s="1" t="s">
        <v>25</v>
      </c>
    </row>
    <row r="6748" ht="15.75" customHeight="1">
      <c r="A6748" s="1" t="s">
        <v>6785</v>
      </c>
      <c r="B6748" s="1" t="s">
        <v>24</v>
      </c>
      <c r="C6748" s="1">
        <v>0.0</v>
      </c>
      <c r="D6748" s="1" t="s">
        <v>25</v>
      </c>
      <c r="E6748" s="1" t="s">
        <v>25</v>
      </c>
      <c r="F6748" s="1">
        <v>4.0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1">
        <v>56.5</v>
      </c>
      <c r="T6748" s="1">
        <v>235.1</v>
      </c>
      <c r="U6748" s="1">
        <v>0.0</v>
      </c>
      <c r="V6748" s="1">
        <v>0.0</v>
      </c>
      <c r="W6748" s="1" t="s">
        <v>25</v>
      </c>
    </row>
    <row r="6749" ht="15.75" customHeight="1">
      <c r="A6749" s="1" t="s">
        <v>6786</v>
      </c>
      <c r="B6749" s="1" t="s">
        <v>24</v>
      </c>
      <c r="C6749" s="1">
        <v>0.0</v>
      </c>
      <c r="D6749" s="1" t="s">
        <v>25</v>
      </c>
      <c r="E6749" s="1" t="s">
        <v>26</v>
      </c>
      <c r="F6749" s="1">
        <v>52.0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1">
        <v>35.45</v>
      </c>
      <c r="T6749" s="1">
        <v>1958.95</v>
      </c>
      <c r="U6749" s="1">
        <v>0.0</v>
      </c>
      <c r="V6749" s="1">
        <v>0.0</v>
      </c>
      <c r="W6749" s="1" t="s">
        <v>26</v>
      </c>
    </row>
    <row r="6750" ht="15.75" customHeight="1">
      <c r="A6750" s="1" t="s">
        <v>6787</v>
      </c>
      <c r="B6750" s="1" t="s">
        <v>24</v>
      </c>
      <c r="C6750" s="1">
        <v>1.0</v>
      </c>
      <c r="D6750" s="1" t="s">
        <v>26</v>
      </c>
      <c r="E6750" s="1" t="s">
        <v>26</v>
      </c>
      <c r="F6750" s="1">
        <v>1.0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1">
        <v>85.0</v>
      </c>
      <c r="T6750" s="1">
        <v>85.0</v>
      </c>
      <c r="U6750" s="1">
        <v>0.0</v>
      </c>
      <c r="V6750" s="1">
        <v>0.0</v>
      </c>
      <c r="W6750" s="1" t="s">
        <v>25</v>
      </c>
    </row>
    <row r="6751" ht="15.75" customHeight="1">
      <c r="A6751" s="1" t="s">
        <v>6788</v>
      </c>
      <c r="B6751" s="1" t="s">
        <v>32</v>
      </c>
      <c r="C6751" s="1">
        <v>0.0</v>
      </c>
      <c r="D6751" s="1" t="s">
        <v>25</v>
      </c>
      <c r="E6751" s="1" t="s">
        <v>26</v>
      </c>
      <c r="F6751" s="1">
        <v>70.0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1">
        <v>79.4</v>
      </c>
      <c r="T6751" s="1">
        <v>5528.9</v>
      </c>
      <c r="U6751" s="1">
        <v>0.0</v>
      </c>
      <c r="V6751" s="1">
        <v>0.0</v>
      </c>
      <c r="W6751" s="1" t="s">
        <v>26</v>
      </c>
    </row>
    <row r="6752" ht="15.75" customHeight="1">
      <c r="A6752" s="1" t="s">
        <v>6789</v>
      </c>
      <c r="B6752" s="1" t="s">
        <v>32</v>
      </c>
      <c r="C6752" s="1">
        <v>0.0</v>
      </c>
      <c r="D6752" s="1" t="s">
        <v>26</v>
      </c>
      <c r="E6752" s="1" t="s">
        <v>26</v>
      </c>
      <c r="F6752" s="1">
        <v>43.0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1">
        <v>35.2</v>
      </c>
      <c r="T6752" s="1">
        <v>1463.7</v>
      </c>
      <c r="U6752" s="1">
        <v>0.0</v>
      </c>
      <c r="V6752" s="1">
        <v>0.0</v>
      </c>
      <c r="W6752" s="1" t="s">
        <v>26</v>
      </c>
    </row>
    <row r="6753" ht="15.75" customHeight="1">
      <c r="A6753" s="1" t="s">
        <v>6790</v>
      </c>
      <c r="B6753" s="1" t="s">
        <v>32</v>
      </c>
      <c r="C6753" s="1">
        <v>0.0</v>
      </c>
      <c r="D6753" s="1" t="s">
        <v>26</v>
      </c>
      <c r="E6753" s="1" t="s">
        <v>26</v>
      </c>
      <c r="F6753" s="1">
        <v>52.0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1">
        <v>19.65</v>
      </c>
      <c r="T6753" s="1">
        <v>1025.05</v>
      </c>
      <c r="U6753" s="1">
        <v>0.0</v>
      </c>
      <c r="V6753" s="1">
        <v>0.0</v>
      </c>
      <c r="W6753" s="1" t="s">
        <v>26</v>
      </c>
    </row>
    <row r="6754" ht="15.75" customHeight="1">
      <c r="A6754" s="1" t="s">
        <v>6791</v>
      </c>
      <c r="B6754" s="1" t="s">
        <v>24</v>
      </c>
      <c r="C6754" s="1">
        <v>0.0</v>
      </c>
      <c r="D6754" s="1" t="s">
        <v>26</v>
      </c>
      <c r="E6754" s="1" t="s">
        <v>26</v>
      </c>
      <c r="F6754" s="1">
        <v>12.0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1">
        <v>49.85</v>
      </c>
      <c r="T6754" s="1">
        <v>552.1</v>
      </c>
      <c r="U6754" s="1">
        <v>4.0</v>
      </c>
      <c r="V6754" s="1">
        <v>0.0</v>
      </c>
      <c r="W6754" s="1" t="s">
        <v>26</v>
      </c>
    </row>
    <row r="6755" ht="15.75" customHeight="1">
      <c r="A6755" s="1" t="s">
        <v>6792</v>
      </c>
      <c r="B6755" s="1" t="s">
        <v>24</v>
      </c>
      <c r="C6755" s="1">
        <v>0.0</v>
      </c>
      <c r="D6755" s="1" t="s">
        <v>25</v>
      </c>
      <c r="E6755" s="1" t="s">
        <v>25</v>
      </c>
      <c r="F6755" s="1">
        <v>56.0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1">
        <v>68.75</v>
      </c>
      <c r="T6755" s="1">
        <v>3815.4</v>
      </c>
      <c r="U6755" s="1">
        <v>5.0</v>
      </c>
      <c r="V6755" s="1">
        <v>1.0</v>
      </c>
      <c r="W6755" s="1" t="s">
        <v>26</v>
      </c>
    </row>
    <row r="6756" ht="15.75" customHeight="1">
      <c r="A6756" s="1" t="s">
        <v>6793</v>
      </c>
      <c r="B6756" s="1" t="s">
        <v>32</v>
      </c>
      <c r="C6756" s="1">
        <v>0.0</v>
      </c>
      <c r="D6756" s="1" t="s">
        <v>26</v>
      </c>
      <c r="E6756" s="1" t="s">
        <v>25</v>
      </c>
      <c r="F6756" s="1">
        <v>0.0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1">
        <v>61.9</v>
      </c>
      <c r="T6756" s="1" t="s">
        <v>527</v>
      </c>
      <c r="U6756" s="1">
        <v>0.0</v>
      </c>
      <c r="V6756" s="1">
        <v>0.0</v>
      </c>
      <c r="W6756" s="1" t="s">
        <v>26</v>
      </c>
    </row>
    <row r="6757" ht="15.75" customHeight="1">
      <c r="A6757" s="1" t="s">
        <v>6794</v>
      </c>
      <c r="B6757" s="1" t="s">
        <v>32</v>
      </c>
      <c r="C6757" s="1">
        <v>0.0</v>
      </c>
      <c r="D6757" s="1" t="s">
        <v>26</v>
      </c>
      <c r="E6757" s="1" t="s">
        <v>26</v>
      </c>
      <c r="F6757" s="1">
        <v>42.0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1">
        <v>79.9</v>
      </c>
      <c r="T6757" s="1">
        <v>3313.4</v>
      </c>
      <c r="U6757" s="1">
        <v>0.0</v>
      </c>
      <c r="V6757" s="1">
        <v>0.0</v>
      </c>
      <c r="W6757" s="1" t="s">
        <v>26</v>
      </c>
    </row>
    <row r="6758" ht="15.75" customHeight="1">
      <c r="A6758" s="1" t="s">
        <v>6795</v>
      </c>
      <c r="B6758" s="1" t="s">
        <v>32</v>
      </c>
      <c r="C6758" s="1">
        <v>1.0</v>
      </c>
      <c r="D6758" s="1" t="s">
        <v>25</v>
      </c>
      <c r="E6758" s="1" t="s">
        <v>26</v>
      </c>
      <c r="F6758" s="1">
        <v>22.0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1">
        <v>89.75</v>
      </c>
      <c r="T6758" s="1">
        <v>1938.9</v>
      </c>
      <c r="U6758" s="1">
        <v>0.0</v>
      </c>
      <c r="V6758" s="1">
        <v>0.0</v>
      </c>
      <c r="W6758" s="1" t="s">
        <v>26</v>
      </c>
    </row>
    <row r="6759" ht="15.75" customHeight="1">
      <c r="A6759" s="1" t="s">
        <v>6796</v>
      </c>
      <c r="B6759" s="1" t="s">
        <v>32</v>
      </c>
      <c r="C6759" s="1">
        <v>0.0</v>
      </c>
      <c r="D6759" s="1" t="s">
        <v>25</v>
      </c>
      <c r="E6759" s="1" t="s">
        <v>25</v>
      </c>
      <c r="F6759" s="1">
        <v>51.0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1">
        <v>59.3</v>
      </c>
      <c r="T6759" s="1">
        <v>3014.65</v>
      </c>
      <c r="U6759" s="1">
        <v>3.0</v>
      </c>
      <c r="V6759" s="1">
        <v>5.0</v>
      </c>
      <c r="W6759" s="1" t="s">
        <v>25</v>
      </c>
    </row>
    <row r="6760" ht="15.75" customHeight="1">
      <c r="A6760" s="1" t="s">
        <v>6797</v>
      </c>
      <c r="B6760" s="1" t="s">
        <v>32</v>
      </c>
      <c r="C6760" s="1">
        <v>0.0</v>
      </c>
      <c r="D6760" s="1" t="s">
        <v>26</v>
      </c>
      <c r="E6760" s="1" t="s">
        <v>26</v>
      </c>
      <c r="F6760" s="1">
        <v>27.0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1">
        <v>19.4</v>
      </c>
      <c r="T6760" s="1">
        <v>460.25</v>
      </c>
      <c r="U6760" s="1">
        <v>0.0</v>
      </c>
      <c r="V6760" s="1">
        <v>0.0</v>
      </c>
      <c r="W6760" s="1" t="s">
        <v>26</v>
      </c>
    </row>
    <row r="6761" ht="15.75" customHeight="1">
      <c r="A6761" s="1" t="s">
        <v>6798</v>
      </c>
      <c r="B6761" s="1" t="s">
        <v>32</v>
      </c>
      <c r="C6761" s="1">
        <v>1.0</v>
      </c>
      <c r="D6761" s="1" t="s">
        <v>25</v>
      </c>
      <c r="E6761" s="1" t="s">
        <v>26</v>
      </c>
      <c r="F6761" s="1">
        <v>51.0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1">
        <v>93.65</v>
      </c>
      <c r="T6761" s="1">
        <v>4839.15</v>
      </c>
      <c r="U6761" s="1">
        <v>0.0</v>
      </c>
      <c r="V6761" s="1">
        <v>0.0</v>
      </c>
      <c r="W6761" s="1" t="s">
        <v>26</v>
      </c>
    </row>
    <row r="6762" ht="15.75" customHeight="1">
      <c r="A6762" s="1" t="s">
        <v>6799</v>
      </c>
      <c r="B6762" s="1" t="s">
        <v>32</v>
      </c>
      <c r="C6762" s="1">
        <v>0.0</v>
      </c>
      <c r="D6762" s="1" t="s">
        <v>26</v>
      </c>
      <c r="E6762" s="1" t="s">
        <v>25</v>
      </c>
      <c r="F6762" s="1">
        <v>4.0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1">
        <v>49.4</v>
      </c>
      <c r="T6762" s="1">
        <v>184.4</v>
      </c>
      <c r="U6762" s="1">
        <v>0.0</v>
      </c>
      <c r="V6762" s="1">
        <v>0.0</v>
      </c>
      <c r="W6762" s="1" t="s">
        <v>25</v>
      </c>
    </row>
    <row r="6763" ht="15.75" customHeight="1">
      <c r="A6763" s="1" t="s">
        <v>6800</v>
      </c>
      <c r="B6763" s="1" t="s">
        <v>32</v>
      </c>
      <c r="C6763" s="1">
        <v>0.0</v>
      </c>
      <c r="D6763" s="1" t="s">
        <v>26</v>
      </c>
      <c r="E6763" s="1" t="s">
        <v>26</v>
      </c>
      <c r="F6763" s="1">
        <v>1.0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1">
        <v>19.9</v>
      </c>
      <c r="T6763" s="1">
        <v>19.9</v>
      </c>
      <c r="U6763" s="1">
        <v>0.0</v>
      </c>
      <c r="V6763" s="1">
        <v>0.0</v>
      </c>
      <c r="W6763" s="1" t="s">
        <v>26</v>
      </c>
    </row>
    <row r="6764" ht="15.75" customHeight="1">
      <c r="A6764" s="1" t="s">
        <v>6801</v>
      </c>
      <c r="B6764" s="1" t="s">
        <v>32</v>
      </c>
      <c r="C6764" s="1">
        <v>0.0</v>
      </c>
      <c r="D6764" s="1" t="s">
        <v>26</v>
      </c>
      <c r="E6764" s="1" t="s">
        <v>26</v>
      </c>
      <c r="F6764" s="1">
        <v>35.0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1">
        <v>55.0</v>
      </c>
      <c r="T6764" s="1">
        <v>2010.55</v>
      </c>
      <c r="U6764" s="1">
        <v>0.0</v>
      </c>
      <c r="V6764" s="1">
        <v>0.0</v>
      </c>
      <c r="W6764" s="1" t="s">
        <v>25</v>
      </c>
    </row>
    <row r="6765" ht="15.75" customHeight="1">
      <c r="A6765" s="1" t="s">
        <v>6802</v>
      </c>
      <c r="B6765" s="1" t="s">
        <v>32</v>
      </c>
      <c r="C6765" s="1">
        <v>1.0</v>
      </c>
      <c r="D6765" s="1" t="s">
        <v>25</v>
      </c>
      <c r="E6765" s="1" t="s">
        <v>25</v>
      </c>
      <c r="F6765" s="1">
        <v>71.0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1">
        <v>72.9</v>
      </c>
      <c r="T6765" s="1">
        <v>5139.65</v>
      </c>
      <c r="U6765" s="1">
        <v>0.0</v>
      </c>
      <c r="V6765" s="1">
        <v>0.0</v>
      </c>
      <c r="W6765" s="1" t="s">
        <v>26</v>
      </c>
    </row>
    <row r="6766" ht="15.75" customHeight="1">
      <c r="A6766" s="1" t="s">
        <v>6803</v>
      </c>
      <c r="B6766" s="1" t="s">
        <v>24</v>
      </c>
      <c r="C6766" s="1">
        <v>0.0</v>
      </c>
      <c r="D6766" s="1" t="s">
        <v>26</v>
      </c>
      <c r="E6766" s="1" t="s">
        <v>26</v>
      </c>
      <c r="F6766" s="1">
        <v>1.0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1">
        <v>69.2</v>
      </c>
      <c r="T6766" s="1">
        <v>69.2</v>
      </c>
      <c r="U6766" s="1">
        <v>5.0</v>
      </c>
      <c r="V6766" s="1">
        <v>0.0</v>
      </c>
      <c r="W6766" s="1" t="s">
        <v>25</v>
      </c>
    </row>
    <row r="6767" ht="15.75" customHeight="1">
      <c r="A6767" s="1" t="s">
        <v>6804</v>
      </c>
      <c r="B6767" s="1" t="s">
        <v>24</v>
      </c>
      <c r="C6767" s="1">
        <v>0.0</v>
      </c>
      <c r="D6767" s="1" t="s">
        <v>25</v>
      </c>
      <c r="E6767" s="1" t="s">
        <v>25</v>
      </c>
      <c r="F6767" s="1">
        <v>69.0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1">
        <v>25.6</v>
      </c>
      <c r="T6767" s="1">
        <v>1673.4</v>
      </c>
      <c r="U6767" s="1">
        <v>0.0</v>
      </c>
      <c r="V6767" s="1">
        <v>0.0</v>
      </c>
      <c r="W6767" s="1" t="s">
        <v>26</v>
      </c>
    </row>
    <row r="6768" ht="15.75" customHeight="1">
      <c r="A6768" s="1" t="s">
        <v>6805</v>
      </c>
      <c r="B6768" s="1" t="s">
        <v>32</v>
      </c>
      <c r="C6768" s="1">
        <v>0.0</v>
      </c>
      <c r="D6768" s="1" t="s">
        <v>25</v>
      </c>
      <c r="E6768" s="1" t="s">
        <v>25</v>
      </c>
      <c r="F6768" s="1">
        <v>14.0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1">
        <v>19.75</v>
      </c>
      <c r="T6768" s="1">
        <v>309.35</v>
      </c>
      <c r="U6768" s="1">
        <v>3.0</v>
      </c>
      <c r="V6768" s="1">
        <v>0.0</v>
      </c>
      <c r="W6768" s="1" t="s">
        <v>26</v>
      </c>
    </row>
    <row r="6769" ht="15.75" customHeight="1">
      <c r="A6769" s="1" t="s">
        <v>6806</v>
      </c>
      <c r="B6769" s="1" t="s">
        <v>32</v>
      </c>
      <c r="C6769" s="1">
        <v>0.0</v>
      </c>
      <c r="D6769" s="1" t="s">
        <v>25</v>
      </c>
      <c r="E6769" s="1" t="s">
        <v>26</v>
      </c>
      <c r="F6769" s="1">
        <v>57.0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1">
        <v>55.7</v>
      </c>
      <c r="T6769" s="1">
        <v>3171.6</v>
      </c>
      <c r="U6769" s="1">
        <v>0.0</v>
      </c>
      <c r="V6769" s="1">
        <v>0.0</v>
      </c>
      <c r="W6769" s="1" t="s">
        <v>26</v>
      </c>
    </row>
    <row r="6770" ht="15.75" customHeight="1">
      <c r="A6770" s="1" t="s">
        <v>6807</v>
      </c>
      <c r="B6770" s="1" t="s">
        <v>24</v>
      </c>
      <c r="C6770" s="1">
        <v>0.0</v>
      </c>
      <c r="D6770" s="1" t="s">
        <v>25</v>
      </c>
      <c r="E6770" s="1" t="s">
        <v>25</v>
      </c>
      <c r="F6770" s="1">
        <v>72.0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1">
        <v>117.5</v>
      </c>
      <c r="T6770" s="1">
        <v>8670.1</v>
      </c>
      <c r="U6770" s="1">
        <v>0.0</v>
      </c>
      <c r="V6770" s="1">
        <v>0.0</v>
      </c>
      <c r="W6770" s="1" t="s">
        <v>26</v>
      </c>
    </row>
    <row r="6771" ht="15.75" customHeight="1">
      <c r="A6771" s="1" t="s">
        <v>6808</v>
      </c>
      <c r="B6771" s="1" t="s">
        <v>32</v>
      </c>
      <c r="C6771" s="1">
        <v>0.0</v>
      </c>
      <c r="D6771" s="1" t="s">
        <v>26</v>
      </c>
      <c r="E6771" s="1" t="s">
        <v>26</v>
      </c>
      <c r="F6771" s="1">
        <v>48.0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1">
        <v>19.85</v>
      </c>
      <c r="T6771" s="1">
        <v>916.0</v>
      </c>
      <c r="U6771" s="1">
        <v>0.0</v>
      </c>
      <c r="V6771" s="1">
        <v>0.0</v>
      </c>
      <c r="W6771" s="1" t="s">
        <v>26</v>
      </c>
    </row>
    <row r="6772" ht="15.75" customHeight="1">
      <c r="A6772" s="1" t="s">
        <v>6809</v>
      </c>
      <c r="B6772" s="1" t="s">
        <v>24</v>
      </c>
      <c r="C6772" s="1">
        <v>0.0</v>
      </c>
      <c r="D6772" s="1" t="s">
        <v>25</v>
      </c>
      <c r="E6772" s="1" t="s">
        <v>25</v>
      </c>
      <c r="F6772" s="1">
        <v>4.0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1">
        <v>78.9</v>
      </c>
      <c r="T6772" s="1">
        <v>299.75</v>
      </c>
      <c r="U6772" s="1">
        <v>4.0</v>
      </c>
      <c r="V6772" s="1">
        <v>0.0</v>
      </c>
      <c r="W6772" s="1" t="s">
        <v>26</v>
      </c>
    </row>
    <row r="6773" ht="15.75" customHeight="1">
      <c r="A6773" s="1" t="s">
        <v>6810</v>
      </c>
      <c r="B6773" s="1" t="s">
        <v>32</v>
      </c>
      <c r="C6773" s="1">
        <v>0.0</v>
      </c>
      <c r="D6773" s="1" t="s">
        <v>25</v>
      </c>
      <c r="E6773" s="1" t="s">
        <v>25</v>
      </c>
      <c r="F6773" s="1">
        <v>31.0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1">
        <v>20.65</v>
      </c>
      <c r="T6773" s="1">
        <v>702.05</v>
      </c>
      <c r="U6773" s="1">
        <v>4.0</v>
      </c>
      <c r="V6773" s="1">
        <v>0.0</v>
      </c>
      <c r="W6773" s="1" t="s">
        <v>26</v>
      </c>
    </row>
    <row r="6774" ht="15.75" customHeight="1">
      <c r="A6774" s="1" t="s">
        <v>6811</v>
      </c>
      <c r="B6774" s="1" t="s">
        <v>32</v>
      </c>
      <c r="C6774" s="1">
        <v>0.0</v>
      </c>
      <c r="D6774" s="1" t="s">
        <v>26</v>
      </c>
      <c r="E6774" s="1" t="s">
        <v>26</v>
      </c>
      <c r="F6774" s="1">
        <v>38.0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1">
        <v>62.3</v>
      </c>
      <c r="T6774" s="1">
        <v>2354.8</v>
      </c>
      <c r="U6774" s="1">
        <v>0.0</v>
      </c>
      <c r="V6774" s="1">
        <v>4.0</v>
      </c>
      <c r="W6774" s="1" t="s">
        <v>25</v>
      </c>
    </row>
    <row r="6775" ht="15.75" customHeight="1">
      <c r="A6775" s="1" t="s">
        <v>6812</v>
      </c>
      <c r="B6775" s="1" t="s">
        <v>32</v>
      </c>
      <c r="C6775" s="1">
        <v>1.0</v>
      </c>
      <c r="D6775" s="1" t="s">
        <v>25</v>
      </c>
      <c r="E6775" s="1" t="s">
        <v>26</v>
      </c>
      <c r="F6775" s="1">
        <v>37.0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1">
        <v>92.5</v>
      </c>
      <c r="T6775" s="1">
        <v>3473.4</v>
      </c>
      <c r="U6775" s="1">
        <v>0.0</v>
      </c>
      <c r="V6775" s="1">
        <v>5.0</v>
      </c>
      <c r="W6775" s="1" t="s">
        <v>25</v>
      </c>
    </row>
    <row r="6776" ht="15.75" customHeight="1">
      <c r="A6776" s="1" t="s">
        <v>6813</v>
      </c>
      <c r="B6776" s="1" t="s">
        <v>24</v>
      </c>
      <c r="C6776" s="1">
        <v>0.0</v>
      </c>
      <c r="D6776" s="1" t="s">
        <v>26</v>
      </c>
      <c r="E6776" s="1" t="s">
        <v>26</v>
      </c>
      <c r="F6776" s="1">
        <v>1.0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1">
        <v>19.65</v>
      </c>
      <c r="T6776" s="1">
        <v>19.65</v>
      </c>
      <c r="U6776" s="1">
        <v>3.0</v>
      </c>
      <c r="V6776" s="1">
        <v>0.0</v>
      </c>
      <c r="W6776" s="1" t="s">
        <v>26</v>
      </c>
    </row>
    <row r="6777" ht="15.75" customHeight="1">
      <c r="A6777" s="1" t="s">
        <v>6814</v>
      </c>
      <c r="B6777" s="1" t="s">
        <v>32</v>
      </c>
      <c r="C6777" s="1">
        <v>1.0</v>
      </c>
      <c r="D6777" s="1" t="s">
        <v>26</v>
      </c>
      <c r="E6777" s="1" t="s">
        <v>26</v>
      </c>
      <c r="F6777" s="1">
        <v>57.0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1">
        <v>79.75</v>
      </c>
      <c r="T6777" s="1">
        <v>4438.2</v>
      </c>
      <c r="U6777" s="1">
        <v>0.0</v>
      </c>
      <c r="V6777" s="1">
        <v>0.0</v>
      </c>
      <c r="W6777" s="1" t="s">
        <v>26</v>
      </c>
    </row>
    <row r="6778" ht="15.75" customHeight="1">
      <c r="A6778" s="1" t="s">
        <v>6815</v>
      </c>
      <c r="B6778" s="1" t="s">
        <v>24</v>
      </c>
      <c r="C6778" s="1">
        <v>1.0</v>
      </c>
      <c r="D6778" s="1" t="s">
        <v>25</v>
      </c>
      <c r="E6778" s="1" t="s">
        <v>26</v>
      </c>
      <c r="F6778" s="1">
        <v>62.0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1">
        <v>79.95</v>
      </c>
      <c r="T6778" s="1">
        <v>4819.75</v>
      </c>
      <c r="U6778" s="1">
        <v>1.0</v>
      </c>
      <c r="V6778" s="1">
        <v>0.0</v>
      </c>
      <c r="W6778" s="1" t="s">
        <v>26</v>
      </c>
    </row>
    <row r="6779" ht="15.75" customHeight="1">
      <c r="A6779" s="1" t="s">
        <v>6816</v>
      </c>
      <c r="B6779" s="1" t="s">
        <v>32</v>
      </c>
      <c r="C6779" s="1">
        <v>0.0</v>
      </c>
      <c r="D6779" s="1" t="s">
        <v>25</v>
      </c>
      <c r="E6779" s="1" t="s">
        <v>26</v>
      </c>
      <c r="F6779" s="1">
        <v>3.0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1">
        <v>29.9</v>
      </c>
      <c r="T6779" s="1">
        <v>92.25</v>
      </c>
      <c r="U6779" s="1">
        <v>0.0</v>
      </c>
      <c r="V6779" s="1">
        <v>0.0</v>
      </c>
      <c r="W6779" s="1" t="s">
        <v>26</v>
      </c>
    </row>
    <row r="6780" ht="15.75" customHeight="1">
      <c r="A6780" s="1" t="s">
        <v>6817</v>
      </c>
      <c r="B6780" s="1" t="s">
        <v>24</v>
      </c>
      <c r="C6780" s="1">
        <v>0.0</v>
      </c>
      <c r="D6780" s="1" t="s">
        <v>26</v>
      </c>
      <c r="E6780" s="1" t="s">
        <v>25</v>
      </c>
      <c r="F6780" s="1">
        <v>72.0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1">
        <v>19.75</v>
      </c>
      <c r="T6780" s="1">
        <v>1567.0</v>
      </c>
      <c r="U6780" s="1">
        <v>0.0</v>
      </c>
      <c r="V6780" s="1">
        <v>0.0</v>
      </c>
      <c r="W6780" s="1" t="s">
        <v>26</v>
      </c>
    </row>
    <row r="6781" ht="15.75" customHeight="1">
      <c r="A6781" s="1" t="s">
        <v>6818</v>
      </c>
      <c r="B6781" s="1" t="s">
        <v>32</v>
      </c>
      <c r="C6781" s="1">
        <v>0.0</v>
      </c>
      <c r="D6781" s="1" t="s">
        <v>26</v>
      </c>
      <c r="E6781" s="1" t="s">
        <v>25</v>
      </c>
      <c r="F6781" s="1">
        <v>29.0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1">
        <v>45.0</v>
      </c>
      <c r="T6781" s="1">
        <v>1242.45</v>
      </c>
      <c r="U6781" s="1">
        <v>0.0</v>
      </c>
      <c r="V6781" s="1">
        <v>0.0</v>
      </c>
      <c r="W6781" s="1" t="s">
        <v>26</v>
      </c>
    </row>
    <row r="6782" ht="15.75" customHeight="1">
      <c r="A6782" s="1" t="s">
        <v>6819</v>
      </c>
      <c r="B6782" s="1" t="s">
        <v>32</v>
      </c>
      <c r="C6782" s="1">
        <v>0.0</v>
      </c>
      <c r="D6782" s="1" t="s">
        <v>25</v>
      </c>
      <c r="E6782" s="1" t="s">
        <v>25</v>
      </c>
      <c r="F6782" s="1">
        <v>13.0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1">
        <v>44.8</v>
      </c>
      <c r="T6782" s="1">
        <v>559.2</v>
      </c>
      <c r="U6782" s="1">
        <v>0.0</v>
      </c>
      <c r="V6782" s="1">
        <v>0.0</v>
      </c>
      <c r="W6782" s="1" t="s">
        <v>26</v>
      </c>
    </row>
    <row r="6783" ht="15.75" customHeight="1">
      <c r="A6783" s="1" t="s">
        <v>6820</v>
      </c>
      <c r="B6783" s="1" t="s">
        <v>32</v>
      </c>
      <c r="C6783" s="1">
        <v>0.0</v>
      </c>
      <c r="D6783" s="1" t="s">
        <v>26</v>
      </c>
      <c r="E6783" s="1" t="s">
        <v>25</v>
      </c>
      <c r="F6783" s="1">
        <v>3.0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1">
        <v>69.65</v>
      </c>
      <c r="T6783" s="1">
        <v>220.1</v>
      </c>
      <c r="U6783" s="1">
        <v>1.0</v>
      </c>
      <c r="V6783" s="1">
        <v>0.0</v>
      </c>
      <c r="W6783" s="1" t="s">
        <v>25</v>
      </c>
    </row>
    <row r="6784" ht="15.75" customHeight="1">
      <c r="A6784" s="1" t="s">
        <v>6821</v>
      </c>
      <c r="B6784" s="1" t="s">
        <v>24</v>
      </c>
      <c r="C6784" s="1">
        <v>0.0</v>
      </c>
      <c r="D6784" s="1" t="s">
        <v>26</v>
      </c>
      <c r="E6784" s="1" t="s">
        <v>26</v>
      </c>
      <c r="F6784" s="1">
        <v>11.0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1">
        <v>51.1</v>
      </c>
      <c r="T6784" s="1">
        <v>531.15</v>
      </c>
      <c r="U6784" s="1">
        <v>0.0</v>
      </c>
      <c r="V6784" s="1">
        <v>0.0</v>
      </c>
      <c r="W6784" s="1" t="s">
        <v>26</v>
      </c>
    </row>
    <row r="6785" ht="15.75" customHeight="1">
      <c r="A6785" s="1" t="s">
        <v>6822</v>
      </c>
      <c r="B6785" s="1" t="s">
        <v>24</v>
      </c>
      <c r="C6785" s="1">
        <v>0.0</v>
      </c>
      <c r="D6785" s="1" t="s">
        <v>26</v>
      </c>
      <c r="E6785" s="1" t="s">
        <v>25</v>
      </c>
      <c r="F6785" s="1">
        <v>21.0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1">
        <v>53.15</v>
      </c>
      <c r="T6785" s="1">
        <v>1183.2</v>
      </c>
      <c r="U6785" s="1">
        <v>1.0</v>
      </c>
      <c r="V6785" s="1">
        <v>0.0</v>
      </c>
      <c r="W6785" s="1" t="s">
        <v>26</v>
      </c>
    </row>
    <row r="6786" ht="15.75" customHeight="1">
      <c r="A6786" s="1" t="s">
        <v>6823</v>
      </c>
      <c r="B6786" s="1" t="s">
        <v>24</v>
      </c>
      <c r="C6786" s="1">
        <v>0.0</v>
      </c>
      <c r="D6786" s="1" t="s">
        <v>26</v>
      </c>
      <c r="E6786" s="1" t="s">
        <v>26</v>
      </c>
      <c r="F6786" s="1">
        <v>19.0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1">
        <v>24.7</v>
      </c>
      <c r="T6786" s="1">
        <v>465.85</v>
      </c>
      <c r="U6786" s="1">
        <v>0.0</v>
      </c>
      <c r="V6786" s="1">
        <v>0.0</v>
      </c>
      <c r="W6786" s="1" t="s">
        <v>26</v>
      </c>
    </row>
    <row r="6787" ht="15.75" customHeight="1">
      <c r="A6787" s="1" t="s">
        <v>6824</v>
      </c>
      <c r="B6787" s="1" t="s">
        <v>32</v>
      </c>
      <c r="C6787" s="1">
        <v>0.0</v>
      </c>
      <c r="D6787" s="1" t="s">
        <v>26</v>
      </c>
      <c r="E6787" s="1" t="s">
        <v>26</v>
      </c>
      <c r="F6787" s="1">
        <v>61.0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1">
        <v>111.6</v>
      </c>
      <c r="T6787" s="1">
        <v>6876.05</v>
      </c>
      <c r="U6787" s="1">
        <v>0.0</v>
      </c>
      <c r="V6787" s="1">
        <v>5.0</v>
      </c>
      <c r="W6787" s="1" t="s">
        <v>25</v>
      </c>
    </row>
    <row r="6788" ht="15.75" customHeight="1">
      <c r="A6788" s="1" t="s">
        <v>6825</v>
      </c>
      <c r="B6788" s="1" t="s">
        <v>24</v>
      </c>
      <c r="C6788" s="1">
        <v>0.0</v>
      </c>
      <c r="D6788" s="1" t="s">
        <v>26</v>
      </c>
      <c r="E6788" s="1" t="s">
        <v>26</v>
      </c>
      <c r="F6788" s="1">
        <v>11.0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1">
        <v>48.55</v>
      </c>
      <c r="T6788" s="1">
        <v>501.0</v>
      </c>
      <c r="U6788" s="1">
        <v>0.0</v>
      </c>
      <c r="V6788" s="1">
        <v>0.0</v>
      </c>
      <c r="W6788" s="1" t="s">
        <v>25</v>
      </c>
    </row>
    <row r="6789" ht="15.75" customHeight="1">
      <c r="A6789" s="1" t="s">
        <v>6826</v>
      </c>
      <c r="B6789" s="1" t="s">
        <v>32</v>
      </c>
      <c r="C6789" s="1">
        <v>0.0</v>
      </c>
      <c r="D6789" s="1" t="s">
        <v>25</v>
      </c>
      <c r="E6789" s="1" t="s">
        <v>25</v>
      </c>
      <c r="F6789" s="1">
        <v>35.0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1">
        <v>109.95</v>
      </c>
      <c r="T6789" s="1">
        <v>3782.4</v>
      </c>
      <c r="U6789" s="1">
        <v>0.0</v>
      </c>
      <c r="V6789" s="1">
        <v>0.0</v>
      </c>
      <c r="W6789" s="1" t="s">
        <v>26</v>
      </c>
    </row>
    <row r="6790" ht="15.75" customHeight="1">
      <c r="A6790" s="1" t="s">
        <v>6827</v>
      </c>
      <c r="B6790" s="1" t="s">
        <v>32</v>
      </c>
      <c r="C6790" s="1">
        <v>0.0</v>
      </c>
      <c r="D6790" s="1" t="s">
        <v>26</v>
      </c>
      <c r="E6790" s="1" t="s">
        <v>25</v>
      </c>
      <c r="F6790" s="1">
        <v>25.0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1">
        <v>20.8</v>
      </c>
      <c r="T6790" s="1">
        <v>460.2</v>
      </c>
      <c r="U6790" s="1">
        <v>0.0</v>
      </c>
      <c r="V6790" s="1">
        <v>0.0</v>
      </c>
      <c r="W6790" s="1" t="s">
        <v>26</v>
      </c>
    </row>
    <row r="6791" ht="15.75" customHeight="1">
      <c r="A6791" s="1" t="s">
        <v>6828</v>
      </c>
      <c r="B6791" s="1" t="s">
        <v>24</v>
      </c>
      <c r="C6791" s="1">
        <v>0.0</v>
      </c>
      <c r="D6791" s="1" t="s">
        <v>26</v>
      </c>
      <c r="E6791" s="1" t="s">
        <v>26</v>
      </c>
      <c r="F6791" s="1">
        <v>1.0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1">
        <v>20.2</v>
      </c>
      <c r="T6791" s="1">
        <v>20.2</v>
      </c>
      <c r="U6791" s="1">
        <v>0.0</v>
      </c>
      <c r="V6791" s="1">
        <v>0.0</v>
      </c>
      <c r="W6791" s="1" t="s">
        <v>25</v>
      </c>
    </row>
    <row r="6792" ht="15.75" customHeight="1">
      <c r="A6792" s="1" t="s">
        <v>6829</v>
      </c>
      <c r="B6792" s="1" t="s">
        <v>24</v>
      </c>
      <c r="C6792" s="1">
        <v>0.0</v>
      </c>
      <c r="D6792" s="1" t="s">
        <v>26</v>
      </c>
      <c r="E6792" s="1" t="s">
        <v>26</v>
      </c>
      <c r="F6792" s="1">
        <v>67.0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1">
        <v>25.6</v>
      </c>
      <c r="T6792" s="1">
        <v>1790.35</v>
      </c>
      <c r="U6792" s="1">
        <v>1.0</v>
      </c>
      <c r="V6792" s="1">
        <v>0.0</v>
      </c>
      <c r="W6792" s="1" t="s">
        <v>26</v>
      </c>
    </row>
    <row r="6793" ht="15.75" customHeight="1">
      <c r="A6793" s="1" t="s">
        <v>6830</v>
      </c>
      <c r="B6793" s="1" t="s">
        <v>32</v>
      </c>
      <c r="C6793" s="1">
        <v>0.0</v>
      </c>
      <c r="D6793" s="1" t="s">
        <v>26</v>
      </c>
      <c r="E6793" s="1" t="s">
        <v>26</v>
      </c>
      <c r="F6793" s="1">
        <v>19.0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1">
        <v>39.65</v>
      </c>
      <c r="T6793" s="1">
        <v>733.35</v>
      </c>
      <c r="U6793" s="1">
        <v>0.0</v>
      </c>
      <c r="V6793" s="1">
        <v>2.0</v>
      </c>
      <c r="W6793" s="1" t="s">
        <v>25</v>
      </c>
    </row>
    <row r="6794" ht="15.75" customHeight="1">
      <c r="A6794" s="1" t="s">
        <v>6831</v>
      </c>
      <c r="B6794" s="1" t="s">
        <v>32</v>
      </c>
      <c r="C6794" s="1">
        <v>0.0</v>
      </c>
      <c r="D6794" s="1" t="s">
        <v>26</v>
      </c>
      <c r="E6794" s="1" t="s">
        <v>26</v>
      </c>
      <c r="F6794" s="1">
        <v>56.0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1">
        <v>24.9</v>
      </c>
      <c r="T6794" s="1">
        <v>1334.0</v>
      </c>
      <c r="U6794" s="1">
        <v>5.0</v>
      </c>
      <c r="V6794" s="1">
        <v>0.0</v>
      </c>
      <c r="W6794" s="1" t="s">
        <v>25</v>
      </c>
    </row>
    <row r="6795" ht="15.75" customHeight="1">
      <c r="A6795" s="1" t="s">
        <v>6832</v>
      </c>
      <c r="B6795" s="1" t="s">
        <v>32</v>
      </c>
      <c r="C6795" s="1">
        <v>0.0</v>
      </c>
      <c r="D6795" s="1" t="s">
        <v>25</v>
      </c>
      <c r="E6795" s="1" t="s">
        <v>25</v>
      </c>
      <c r="F6795" s="1">
        <v>72.0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1">
        <v>108.4</v>
      </c>
      <c r="T6795" s="1">
        <v>7767.25</v>
      </c>
      <c r="U6795" s="1">
        <v>0.0</v>
      </c>
      <c r="V6795" s="1">
        <v>5.0</v>
      </c>
      <c r="W6795" s="1" t="s">
        <v>26</v>
      </c>
    </row>
    <row r="6796" ht="15.75" customHeight="1">
      <c r="A6796" s="1" t="s">
        <v>6833</v>
      </c>
      <c r="B6796" s="1" t="s">
        <v>32</v>
      </c>
      <c r="C6796" s="1">
        <v>0.0</v>
      </c>
      <c r="D6796" s="1" t="s">
        <v>26</v>
      </c>
      <c r="E6796" s="1" t="s">
        <v>26</v>
      </c>
      <c r="F6796" s="1">
        <v>43.0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1">
        <v>19.55</v>
      </c>
      <c r="T6796" s="1">
        <v>876.15</v>
      </c>
      <c r="U6796" s="1">
        <v>0.0</v>
      </c>
      <c r="V6796" s="1">
        <v>0.0</v>
      </c>
      <c r="W6796" s="1" t="s">
        <v>26</v>
      </c>
    </row>
    <row r="6797" ht="15.75" customHeight="1">
      <c r="A6797" s="1" t="s">
        <v>6834</v>
      </c>
      <c r="B6797" s="1" t="s">
        <v>24</v>
      </c>
      <c r="C6797" s="1">
        <v>0.0</v>
      </c>
      <c r="D6797" s="1" t="s">
        <v>25</v>
      </c>
      <c r="E6797" s="1" t="s">
        <v>25</v>
      </c>
      <c r="F6797" s="1">
        <v>55.0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1">
        <v>85.1</v>
      </c>
      <c r="T6797" s="1">
        <v>4600.95</v>
      </c>
      <c r="U6797" s="1">
        <v>5.0</v>
      </c>
      <c r="V6797" s="1">
        <v>0.0</v>
      </c>
      <c r="W6797" s="1" t="s">
        <v>26</v>
      </c>
    </row>
    <row r="6798" ht="15.75" customHeight="1">
      <c r="A6798" s="1" t="s">
        <v>6835</v>
      </c>
      <c r="B6798" s="1" t="s">
        <v>32</v>
      </c>
      <c r="C6798" s="1">
        <v>0.0</v>
      </c>
      <c r="D6798" s="1" t="s">
        <v>25</v>
      </c>
      <c r="E6798" s="1" t="s">
        <v>25</v>
      </c>
      <c r="F6798" s="1">
        <v>2.0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1">
        <v>56.7</v>
      </c>
      <c r="T6798" s="1">
        <v>113.55</v>
      </c>
      <c r="U6798" s="1">
        <v>0.0</v>
      </c>
      <c r="V6798" s="1">
        <v>0.0</v>
      </c>
      <c r="W6798" s="1" t="s">
        <v>25</v>
      </c>
    </row>
    <row r="6799" ht="15.75" customHeight="1">
      <c r="A6799" s="1" t="s">
        <v>6836</v>
      </c>
      <c r="B6799" s="1" t="s">
        <v>32</v>
      </c>
      <c r="C6799" s="1">
        <v>0.0</v>
      </c>
      <c r="D6799" s="1" t="s">
        <v>26</v>
      </c>
      <c r="E6799" s="1" t="s">
        <v>26</v>
      </c>
      <c r="F6799" s="1">
        <v>27.0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1">
        <v>69.05</v>
      </c>
      <c r="T6799" s="1">
        <v>1793.25</v>
      </c>
      <c r="U6799" s="1">
        <v>0.0</v>
      </c>
      <c r="V6799" s="1">
        <v>0.0</v>
      </c>
      <c r="W6799" s="1" t="s">
        <v>26</v>
      </c>
    </row>
    <row r="6800" ht="15.75" customHeight="1">
      <c r="A6800" s="1" t="s">
        <v>6837</v>
      </c>
      <c r="B6800" s="1" t="s">
        <v>24</v>
      </c>
      <c r="C6800" s="1">
        <v>0.0</v>
      </c>
      <c r="D6800" s="1" t="s">
        <v>26</v>
      </c>
      <c r="E6800" s="1" t="s">
        <v>26</v>
      </c>
      <c r="F6800" s="1">
        <v>13.0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1">
        <v>70.15</v>
      </c>
      <c r="T6800" s="1">
        <v>886.7</v>
      </c>
      <c r="U6800" s="1">
        <v>0.0</v>
      </c>
      <c r="V6800" s="1">
        <v>0.0</v>
      </c>
      <c r="W6800" s="1" t="s">
        <v>26</v>
      </c>
    </row>
    <row r="6801" ht="15.75" customHeight="1">
      <c r="A6801" s="1" t="s">
        <v>6838</v>
      </c>
      <c r="B6801" s="1" t="s">
        <v>24</v>
      </c>
      <c r="C6801" s="1">
        <v>0.0</v>
      </c>
      <c r="D6801" s="1" t="s">
        <v>26</v>
      </c>
      <c r="E6801" s="1" t="s">
        <v>26</v>
      </c>
      <c r="F6801" s="1">
        <v>70.0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1">
        <v>111.15</v>
      </c>
      <c r="T6801" s="1">
        <v>7737.55</v>
      </c>
      <c r="U6801" s="1">
        <v>3.0</v>
      </c>
      <c r="V6801" s="1">
        <v>1.0</v>
      </c>
      <c r="W6801" s="1" t="s">
        <v>26</v>
      </c>
    </row>
    <row r="6802" ht="15.75" customHeight="1">
      <c r="A6802" s="1" t="s">
        <v>6839</v>
      </c>
      <c r="B6802" s="1" t="s">
        <v>24</v>
      </c>
      <c r="C6802" s="1">
        <v>0.0</v>
      </c>
      <c r="D6802" s="1" t="s">
        <v>25</v>
      </c>
      <c r="E6802" s="1" t="s">
        <v>26</v>
      </c>
      <c r="F6802" s="1">
        <v>14.0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1">
        <v>105.95</v>
      </c>
      <c r="T6802" s="1">
        <v>1348.9</v>
      </c>
      <c r="U6802" s="1">
        <v>0.0</v>
      </c>
      <c r="V6802" s="1">
        <v>1.0</v>
      </c>
      <c r="W6802" s="1" t="s">
        <v>25</v>
      </c>
    </row>
    <row r="6803" ht="15.75" customHeight="1">
      <c r="A6803" s="1" t="s">
        <v>6840</v>
      </c>
      <c r="B6803" s="1" t="s">
        <v>24</v>
      </c>
      <c r="C6803" s="1">
        <v>0.0</v>
      </c>
      <c r="D6803" s="1" t="s">
        <v>25</v>
      </c>
      <c r="E6803" s="1" t="s">
        <v>25</v>
      </c>
      <c r="F6803" s="1">
        <v>19.0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1">
        <v>89.35</v>
      </c>
      <c r="T6803" s="1">
        <v>1686.85</v>
      </c>
      <c r="U6803" s="1">
        <v>0.0</v>
      </c>
      <c r="V6803" s="1">
        <v>0.0</v>
      </c>
      <c r="W6803" s="1" t="s">
        <v>26</v>
      </c>
    </row>
    <row r="6804" ht="15.75" customHeight="1">
      <c r="A6804" s="1" t="s">
        <v>6841</v>
      </c>
      <c r="B6804" s="1" t="s">
        <v>24</v>
      </c>
      <c r="C6804" s="1">
        <v>0.0</v>
      </c>
      <c r="D6804" s="1" t="s">
        <v>26</v>
      </c>
      <c r="E6804" s="1" t="s">
        <v>26</v>
      </c>
      <c r="F6804" s="1">
        <v>20.0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1">
        <v>89.1</v>
      </c>
      <c r="T6804" s="1">
        <v>1879.25</v>
      </c>
      <c r="U6804" s="1">
        <v>0.0</v>
      </c>
      <c r="V6804" s="1">
        <v>0.0</v>
      </c>
      <c r="W6804" s="1" t="s">
        <v>26</v>
      </c>
    </row>
    <row r="6805" ht="15.75" customHeight="1">
      <c r="A6805" s="1" t="s">
        <v>6842</v>
      </c>
      <c r="B6805" s="1" t="s">
        <v>32</v>
      </c>
      <c r="C6805" s="1">
        <v>0.0</v>
      </c>
      <c r="D6805" s="1" t="s">
        <v>25</v>
      </c>
      <c r="E6805" s="1" t="s">
        <v>25</v>
      </c>
      <c r="F6805" s="1">
        <v>43.0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1">
        <v>91.25</v>
      </c>
      <c r="T6805" s="1">
        <v>4013.8</v>
      </c>
      <c r="U6805" s="1">
        <v>0.0</v>
      </c>
      <c r="V6805" s="1">
        <v>0.0</v>
      </c>
      <c r="W6805" s="1" t="s">
        <v>26</v>
      </c>
    </row>
    <row r="6806" ht="15.75" customHeight="1">
      <c r="A6806" s="1" t="s">
        <v>6843</v>
      </c>
      <c r="B6806" s="1" t="s">
        <v>32</v>
      </c>
      <c r="C6806" s="1">
        <v>0.0</v>
      </c>
      <c r="D6806" s="1" t="s">
        <v>25</v>
      </c>
      <c r="E6806" s="1" t="s">
        <v>25</v>
      </c>
      <c r="F6806" s="1">
        <v>5.0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1">
        <v>90.35</v>
      </c>
      <c r="T6806" s="1">
        <v>434.5</v>
      </c>
      <c r="U6806" s="1">
        <v>0.0</v>
      </c>
      <c r="V6806" s="1">
        <v>0.0</v>
      </c>
      <c r="W6806" s="1" t="s">
        <v>26</v>
      </c>
    </row>
    <row r="6807" ht="15.75" customHeight="1">
      <c r="A6807" s="1" t="s">
        <v>6844</v>
      </c>
      <c r="B6807" s="1" t="s">
        <v>24</v>
      </c>
      <c r="C6807" s="1">
        <v>1.0</v>
      </c>
      <c r="D6807" s="1" t="s">
        <v>25</v>
      </c>
      <c r="E6807" s="1" t="s">
        <v>26</v>
      </c>
      <c r="F6807" s="1">
        <v>70.0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1">
        <v>105.55</v>
      </c>
      <c r="T6807" s="1">
        <v>7195.35</v>
      </c>
      <c r="U6807" s="1">
        <v>0.0</v>
      </c>
      <c r="V6807" s="1">
        <v>0.0</v>
      </c>
      <c r="W6807" s="1" t="s">
        <v>26</v>
      </c>
    </row>
    <row r="6808" ht="15.75" customHeight="1">
      <c r="A6808" s="1" t="s">
        <v>6845</v>
      </c>
      <c r="B6808" s="1" t="s">
        <v>24</v>
      </c>
      <c r="C6808" s="1">
        <v>0.0</v>
      </c>
      <c r="D6808" s="1" t="s">
        <v>25</v>
      </c>
      <c r="E6808" s="1" t="s">
        <v>26</v>
      </c>
      <c r="F6808" s="1">
        <v>40.0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1">
        <v>19.1</v>
      </c>
      <c r="T6808" s="1">
        <v>780.1</v>
      </c>
      <c r="U6808" s="1">
        <v>0.0</v>
      </c>
      <c r="V6808" s="1">
        <v>0.0</v>
      </c>
      <c r="W6808" s="1" t="s">
        <v>26</v>
      </c>
    </row>
    <row r="6809" ht="15.75" customHeight="1">
      <c r="A6809" s="1" t="s">
        <v>6846</v>
      </c>
      <c r="B6809" s="1" t="s">
        <v>32</v>
      </c>
      <c r="C6809" s="1">
        <v>0.0</v>
      </c>
      <c r="D6809" s="1" t="s">
        <v>25</v>
      </c>
      <c r="E6809" s="1" t="s">
        <v>25</v>
      </c>
      <c r="F6809" s="1">
        <v>6.0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1">
        <v>20.4</v>
      </c>
      <c r="T6809" s="1">
        <v>107.6</v>
      </c>
      <c r="U6809" s="1">
        <v>0.0</v>
      </c>
      <c r="V6809" s="1">
        <v>0.0</v>
      </c>
      <c r="W6809" s="1" t="s">
        <v>26</v>
      </c>
    </row>
    <row r="6810" ht="15.75" customHeight="1">
      <c r="A6810" s="1" t="s">
        <v>6847</v>
      </c>
      <c r="B6810" s="1" t="s">
        <v>32</v>
      </c>
      <c r="C6810" s="1">
        <v>0.0</v>
      </c>
      <c r="D6810" s="1" t="s">
        <v>26</v>
      </c>
      <c r="E6810" s="1" t="s">
        <v>26</v>
      </c>
      <c r="F6810" s="1">
        <v>39.0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1">
        <v>100.45</v>
      </c>
      <c r="T6810" s="1">
        <v>3801.7</v>
      </c>
      <c r="U6810" s="1">
        <v>0.0</v>
      </c>
      <c r="V6810" s="1">
        <v>0.0</v>
      </c>
      <c r="W6810" s="1" t="s">
        <v>26</v>
      </c>
    </row>
    <row r="6811" ht="15.75" customHeight="1">
      <c r="A6811" s="1" t="s">
        <v>6848</v>
      </c>
      <c r="B6811" s="1" t="s">
        <v>32</v>
      </c>
      <c r="C6811" s="1">
        <v>1.0</v>
      </c>
      <c r="D6811" s="1" t="s">
        <v>25</v>
      </c>
      <c r="E6811" s="1" t="s">
        <v>26</v>
      </c>
      <c r="F6811" s="1">
        <v>4.0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1">
        <v>74.95</v>
      </c>
      <c r="T6811" s="1">
        <v>308.7</v>
      </c>
      <c r="U6811" s="1">
        <v>0.0</v>
      </c>
      <c r="V6811" s="1">
        <v>0.0</v>
      </c>
      <c r="W6811" s="1" t="s">
        <v>25</v>
      </c>
    </row>
    <row r="6812" ht="15.75" customHeight="1">
      <c r="A6812" s="1" t="s">
        <v>6849</v>
      </c>
      <c r="B6812" s="1" t="s">
        <v>32</v>
      </c>
      <c r="C6812" s="1">
        <v>0.0</v>
      </c>
      <c r="D6812" s="1" t="s">
        <v>26</v>
      </c>
      <c r="E6812" s="1" t="s">
        <v>26</v>
      </c>
      <c r="F6812" s="1">
        <v>15.0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1">
        <v>29.7</v>
      </c>
      <c r="T6812" s="1">
        <v>438.25</v>
      </c>
      <c r="U6812" s="1">
        <v>1.0</v>
      </c>
      <c r="V6812" s="1">
        <v>0.0</v>
      </c>
      <c r="W6812" s="1" t="s">
        <v>25</v>
      </c>
    </row>
    <row r="6813" ht="15.75" customHeight="1">
      <c r="A6813" s="1" t="s">
        <v>6850</v>
      </c>
      <c r="B6813" s="1" t="s">
        <v>32</v>
      </c>
      <c r="C6813" s="1">
        <v>0.0</v>
      </c>
      <c r="D6813" s="1" t="s">
        <v>25</v>
      </c>
      <c r="E6813" s="1" t="s">
        <v>26</v>
      </c>
      <c r="F6813" s="1">
        <v>1.0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1">
        <v>50.35</v>
      </c>
      <c r="T6813" s="1">
        <v>50.35</v>
      </c>
      <c r="U6813" s="1">
        <v>0.0</v>
      </c>
      <c r="V6813" s="1">
        <v>1.0</v>
      </c>
      <c r="W6813" s="1" t="s">
        <v>25</v>
      </c>
    </row>
    <row r="6814" ht="15.75" customHeight="1">
      <c r="A6814" s="1" t="s">
        <v>6851</v>
      </c>
      <c r="B6814" s="1" t="s">
        <v>24</v>
      </c>
      <c r="C6814" s="1">
        <v>1.0</v>
      </c>
      <c r="D6814" s="1" t="s">
        <v>26</v>
      </c>
      <c r="E6814" s="1" t="s">
        <v>26</v>
      </c>
      <c r="F6814" s="1">
        <v>45.0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1">
        <v>85.7</v>
      </c>
      <c r="T6814" s="1">
        <v>3778.1</v>
      </c>
      <c r="U6814" s="1">
        <v>0.0</v>
      </c>
      <c r="V6814" s="1">
        <v>0.0</v>
      </c>
      <c r="W6814" s="1" t="s">
        <v>26</v>
      </c>
    </row>
    <row r="6815" ht="15.75" customHeight="1">
      <c r="A6815" s="1" t="s">
        <v>6852</v>
      </c>
      <c r="B6815" s="1" t="s">
        <v>24</v>
      </c>
      <c r="C6815" s="1">
        <v>0.0</v>
      </c>
      <c r="D6815" s="1" t="s">
        <v>25</v>
      </c>
      <c r="E6815" s="1" t="s">
        <v>26</v>
      </c>
      <c r="F6815" s="1">
        <v>64.0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1">
        <v>47.85</v>
      </c>
      <c r="T6815" s="1">
        <v>3147.5</v>
      </c>
      <c r="U6815" s="1">
        <v>0.0</v>
      </c>
      <c r="V6815" s="1">
        <v>5.0</v>
      </c>
      <c r="W6815" s="1" t="s">
        <v>25</v>
      </c>
    </row>
    <row r="6816" ht="15.75" customHeight="1">
      <c r="A6816" s="1" t="s">
        <v>6853</v>
      </c>
      <c r="B6816" s="1" t="s">
        <v>24</v>
      </c>
      <c r="C6816" s="1">
        <v>1.0</v>
      </c>
      <c r="D6816" s="1" t="s">
        <v>25</v>
      </c>
      <c r="E6816" s="1" t="s">
        <v>26</v>
      </c>
      <c r="F6816" s="1">
        <v>57.0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1">
        <v>94.0</v>
      </c>
      <c r="T6816" s="1">
        <v>5438.95</v>
      </c>
      <c r="U6816" s="1">
        <v>0.0</v>
      </c>
      <c r="V6816" s="1">
        <v>0.0</v>
      </c>
      <c r="W6816" s="1" t="s">
        <v>26</v>
      </c>
    </row>
    <row r="6817" ht="15.75" customHeight="1">
      <c r="A6817" s="1" t="s">
        <v>6854</v>
      </c>
      <c r="B6817" s="1" t="s">
        <v>32</v>
      </c>
      <c r="C6817" s="1">
        <v>0.0</v>
      </c>
      <c r="D6817" s="1" t="s">
        <v>25</v>
      </c>
      <c r="E6817" s="1" t="s">
        <v>25</v>
      </c>
      <c r="F6817" s="1">
        <v>72.0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1">
        <v>69.85</v>
      </c>
      <c r="T6817" s="1">
        <v>5102.35</v>
      </c>
      <c r="U6817" s="1">
        <v>0.0</v>
      </c>
      <c r="V6817" s="1">
        <v>0.0</v>
      </c>
      <c r="W6817" s="1" t="s">
        <v>26</v>
      </c>
    </row>
    <row r="6818" ht="15.75" customHeight="1">
      <c r="A6818" s="1" t="s">
        <v>6855</v>
      </c>
      <c r="B6818" s="1" t="s">
        <v>32</v>
      </c>
      <c r="C6818" s="1">
        <v>0.0</v>
      </c>
      <c r="D6818" s="1" t="s">
        <v>26</v>
      </c>
      <c r="E6818" s="1" t="s">
        <v>26</v>
      </c>
      <c r="F6818" s="1">
        <v>1.0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1">
        <v>70.3</v>
      </c>
      <c r="T6818" s="1">
        <v>70.3</v>
      </c>
      <c r="U6818" s="1">
        <v>0.0</v>
      </c>
      <c r="V6818" s="1">
        <v>0.0</v>
      </c>
      <c r="W6818" s="1" t="s">
        <v>25</v>
      </c>
    </row>
    <row r="6819" ht="15.75" customHeight="1">
      <c r="A6819" s="1" t="s">
        <v>6856</v>
      </c>
      <c r="B6819" s="1" t="s">
        <v>32</v>
      </c>
      <c r="C6819" s="1">
        <v>0.0</v>
      </c>
      <c r="D6819" s="1" t="s">
        <v>25</v>
      </c>
      <c r="E6819" s="1" t="s">
        <v>26</v>
      </c>
      <c r="F6819" s="1">
        <v>72.0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1">
        <v>25.85</v>
      </c>
      <c r="T6819" s="1">
        <v>1872.2</v>
      </c>
      <c r="U6819" s="1">
        <v>0.0</v>
      </c>
      <c r="V6819" s="1">
        <v>0.0</v>
      </c>
      <c r="W6819" s="1" t="s">
        <v>26</v>
      </c>
    </row>
    <row r="6820" ht="15.75" customHeight="1">
      <c r="A6820" s="1" t="s">
        <v>6857</v>
      </c>
      <c r="B6820" s="1" t="s">
        <v>24</v>
      </c>
      <c r="C6820" s="1">
        <v>0.0</v>
      </c>
      <c r="D6820" s="1" t="s">
        <v>26</v>
      </c>
      <c r="E6820" s="1" t="s">
        <v>26</v>
      </c>
      <c r="F6820" s="1">
        <v>3.0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1">
        <v>71.1</v>
      </c>
      <c r="T6820" s="1">
        <v>213.35</v>
      </c>
      <c r="U6820" s="1">
        <v>4.0</v>
      </c>
      <c r="V6820" s="1">
        <v>0.0</v>
      </c>
      <c r="W6820" s="1" t="s">
        <v>26</v>
      </c>
    </row>
    <row r="6821" ht="15.75" customHeight="1">
      <c r="A6821" s="1" t="s">
        <v>6858</v>
      </c>
      <c r="B6821" s="1" t="s">
        <v>32</v>
      </c>
      <c r="C6821" s="1">
        <v>1.0</v>
      </c>
      <c r="D6821" s="1" t="s">
        <v>26</v>
      </c>
      <c r="E6821" s="1" t="s">
        <v>26</v>
      </c>
      <c r="F6821" s="1">
        <v>55.0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1">
        <v>98.8</v>
      </c>
      <c r="T6821" s="1">
        <v>5617.75</v>
      </c>
      <c r="U6821" s="1">
        <v>0.0</v>
      </c>
      <c r="V6821" s="1">
        <v>4.0</v>
      </c>
      <c r="W6821" s="1" t="s">
        <v>25</v>
      </c>
    </row>
    <row r="6822" ht="15.75" customHeight="1">
      <c r="A6822" s="1" t="s">
        <v>6859</v>
      </c>
      <c r="B6822" s="1" t="s">
        <v>24</v>
      </c>
      <c r="C6822" s="1">
        <v>0.0</v>
      </c>
      <c r="D6822" s="1" t="s">
        <v>25</v>
      </c>
      <c r="E6822" s="1" t="s">
        <v>26</v>
      </c>
      <c r="F6822" s="1">
        <v>59.0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1">
        <v>93.35</v>
      </c>
      <c r="T6822" s="1">
        <v>5386.5</v>
      </c>
      <c r="U6822" s="1">
        <v>0.0</v>
      </c>
      <c r="V6822" s="1">
        <v>0.0</v>
      </c>
      <c r="W6822" s="1" t="s">
        <v>26</v>
      </c>
    </row>
    <row r="6823" ht="15.75" customHeight="1">
      <c r="A6823" s="1" t="s">
        <v>6860</v>
      </c>
      <c r="B6823" s="1" t="s">
        <v>24</v>
      </c>
      <c r="C6823" s="1">
        <v>0.0</v>
      </c>
      <c r="D6823" s="1" t="s">
        <v>26</v>
      </c>
      <c r="E6823" s="1" t="s">
        <v>26</v>
      </c>
      <c r="F6823" s="1">
        <v>18.0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1">
        <v>99.85</v>
      </c>
      <c r="T6823" s="1">
        <v>1776.95</v>
      </c>
      <c r="U6823" s="1">
        <v>1.0</v>
      </c>
      <c r="V6823" s="1">
        <v>0.0</v>
      </c>
      <c r="W6823" s="1" t="s">
        <v>25</v>
      </c>
    </row>
    <row r="6824" ht="15.75" customHeight="1">
      <c r="A6824" s="1" t="s">
        <v>6861</v>
      </c>
      <c r="B6824" s="1" t="s">
        <v>32</v>
      </c>
      <c r="C6824" s="1">
        <v>1.0</v>
      </c>
      <c r="D6824" s="1" t="s">
        <v>25</v>
      </c>
      <c r="E6824" s="1" t="s">
        <v>26</v>
      </c>
      <c r="F6824" s="1">
        <v>32.0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1">
        <v>80.3</v>
      </c>
      <c r="T6824" s="1">
        <v>2483.05</v>
      </c>
      <c r="U6824" s="1">
        <v>0.0</v>
      </c>
      <c r="V6824" s="1">
        <v>0.0</v>
      </c>
      <c r="W6824" s="1" t="s">
        <v>25</v>
      </c>
    </row>
    <row r="6825" ht="15.75" customHeight="1">
      <c r="A6825" s="1" t="s">
        <v>6862</v>
      </c>
      <c r="B6825" s="1" t="s">
        <v>24</v>
      </c>
      <c r="C6825" s="1">
        <v>0.0</v>
      </c>
      <c r="D6825" s="1" t="s">
        <v>26</v>
      </c>
      <c r="E6825" s="1" t="s">
        <v>26</v>
      </c>
      <c r="F6825" s="1">
        <v>4.0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1">
        <v>50.55</v>
      </c>
      <c r="T6825" s="1">
        <v>235.65</v>
      </c>
      <c r="U6825" s="1">
        <v>0.0</v>
      </c>
      <c r="V6825" s="1">
        <v>0.0</v>
      </c>
      <c r="W6825" s="1" t="s">
        <v>26</v>
      </c>
    </row>
    <row r="6826" ht="15.75" customHeight="1">
      <c r="A6826" s="1" t="s">
        <v>6863</v>
      </c>
      <c r="B6826" s="1" t="s">
        <v>24</v>
      </c>
      <c r="C6826" s="1">
        <v>1.0</v>
      </c>
      <c r="D6826" s="1" t="s">
        <v>26</v>
      </c>
      <c r="E6826" s="1" t="s">
        <v>26</v>
      </c>
      <c r="F6826" s="1">
        <v>66.0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1">
        <v>80.45</v>
      </c>
      <c r="T6826" s="1">
        <v>5224.35</v>
      </c>
      <c r="U6826" s="1">
        <v>0.0</v>
      </c>
      <c r="V6826" s="1">
        <v>0.0</v>
      </c>
      <c r="W6826" s="1" t="s">
        <v>25</v>
      </c>
    </row>
    <row r="6827" ht="15.75" customHeight="1">
      <c r="A6827" s="1" t="s">
        <v>6864</v>
      </c>
      <c r="B6827" s="1" t="s">
        <v>32</v>
      </c>
      <c r="C6827" s="1">
        <v>0.0</v>
      </c>
      <c r="D6827" s="1" t="s">
        <v>26</v>
      </c>
      <c r="E6827" s="1" t="s">
        <v>26</v>
      </c>
      <c r="F6827" s="1">
        <v>27.0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1">
        <v>81.3</v>
      </c>
      <c r="T6827" s="1">
        <v>2272.8</v>
      </c>
      <c r="U6827" s="1">
        <v>0.0</v>
      </c>
      <c r="V6827" s="1">
        <v>0.0</v>
      </c>
      <c r="W6827" s="1" t="s">
        <v>26</v>
      </c>
    </row>
    <row r="6828" ht="15.75" customHeight="1">
      <c r="A6828" s="1" t="s">
        <v>6865</v>
      </c>
      <c r="B6828" s="1" t="s">
        <v>32</v>
      </c>
      <c r="C6828" s="1">
        <v>0.0</v>
      </c>
      <c r="D6828" s="1" t="s">
        <v>26</v>
      </c>
      <c r="E6828" s="1" t="s">
        <v>26</v>
      </c>
      <c r="F6828" s="1">
        <v>4.0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1">
        <v>20.7</v>
      </c>
      <c r="T6828" s="1">
        <v>83.75</v>
      </c>
      <c r="U6828" s="1">
        <v>0.0</v>
      </c>
      <c r="V6828" s="1">
        <v>0.0</v>
      </c>
      <c r="W6828" s="1" t="s">
        <v>26</v>
      </c>
    </row>
    <row r="6829" ht="15.75" customHeight="1">
      <c r="A6829" s="1" t="s">
        <v>6866</v>
      </c>
      <c r="B6829" s="1" t="s">
        <v>32</v>
      </c>
      <c r="C6829" s="1">
        <v>0.0</v>
      </c>
      <c r="D6829" s="1" t="s">
        <v>25</v>
      </c>
      <c r="E6829" s="1" t="s">
        <v>25</v>
      </c>
      <c r="F6829" s="1">
        <v>60.0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1">
        <v>79.05</v>
      </c>
      <c r="T6829" s="1">
        <v>4663.4</v>
      </c>
      <c r="U6829" s="1">
        <v>0.0</v>
      </c>
      <c r="V6829" s="1">
        <v>0.0</v>
      </c>
      <c r="W6829" s="1" t="s">
        <v>26</v>
      </c>
    </row>
    <row r="6830" ht="15.75" customHeight="1">
      <c r="A6830" s="1" t="s">
        <v>6867</v>
      </c>
      <c r="B6830" s="1" t="s">
        <v>24</v>
      </c>
      <c r="C6830" s="1">
        <v>0.0</v>
      </c>
      <c r="D6830" s="1" t="s">
        <v>25</v>
      </c>
      <c r="E6830" s="1" t="s">
        <v>25</v>
      </c>
      <c r="F6830" s="1">
        <v>8.0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1">
        <v>19.05</v>
      </c>
      <c r="T6830" s="1">
        <v>201.7</v>
      </c>
      <c r="U6830" s="1">
        <v>0.0</v>
      </c>
      <c r="V6830" s="1">
        <v>0.0</v>
      </c>
      <c r="W6830" s="1" t="s">
        <v>26</v>
      </c>
    </row>
    <row r="6831" ht="15.75" customHeight="1">
      <c r="A6831" s="1" t="s">
        <v>6868</v>
      </c>
      <c r="B6831" s="1" t="s">
        <v>32</v>
      </c>
      <c r="C6831" s="1">
        <v>0.0</v>
      </c>
      <c r="D6831" s="1" t="s">
        <v>25</v>
      </c>
      <c r="E6831" s="1" t="s">
        <v>25</v>
      </c>
      <c r="F6831" s="1">
        <v>8.0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1">
        <v>19.6</v>
      </c>
      <c r="T6831" s="1">
        <v>125.0</v>
      </c>
      <c r="U6831" s="1">
        <v>0.0</v>
      </c>
      <c r="V6831" s="1">
        <v>0.0</v>
      </c>
      <c r="W6831" s="1" t="s">
        <v>26</v>
      </c>
    </row>
    <row r="6832" ht="15.75" customHeight="1">
      <c r="A6832" s="1" t="s">
        <v>6869</v>
      </c>
      <c r="B6832" s="1" t="s">
        <v>32</v>
      </c>
      <c r="C6832" s="1">
        <v>0.0</v>
      </c>
      <c r="D6832" s="1" t="s">
        <v>26</v>
      </c>
      <c r="E6832" s="1" t="s">
        <v>26</v>
      </c>
      <c r="F6832" s="1">
        <v>35.0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1">
        <v>20.2</v>
      </c>
      <c r="T6832" s="1">
        <v>684.4</v>
      </c>
      <c r="U6832" s="1">
        <v>0.0</v>
      </c>
      <c r="V6832" s="1">
        <v>0.0</v>
      </c>
      <c r="W6832" s="1" t="s">
        <v>26</v>
      </c>
    </row>
    <row r="6833" ht="15.75" customHeight="1">
      <c r="A6833" s="1" t="s">
        <v>6870</v>
      </c>
      <c r="B6833" s="1" t="s">
        <v>32</v>
      </c>
      <c r="C6833" s="1">
        <v>0.0</v>
      </c>
      <c r="D6833" s="1" t="s">
        <v>26</v>
      </c>
      <c r="E6833" s="1" t="s">
        <v>26</v>
      </c>
      <c r="F6833" s="1">
        <v>7.0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1">
        <v>86.8</v>
      </c>
      <c r="T6833" s="1">
        <v>620.35</v>
      </c>
      <c r="U6833" s="1">
        <v>2.0</v>
      </c>
      <c r="V6833" s="1">
        <v>0.0</v>
      </c>
      <c r="W6833" s="1" t="s">
        <v>25</v>
      </c>
    </row>
    <row r="6834" ht="15.75" customHeight="1">
      <c r="A6834" s="1" t="s">
        <v>6871</v>
      </c>
      <c r="B6834" s="1" t="s">
        <v>24</v>
      </c>
      <c r="C6834" s="1">
        <v>0.0</v>
      </c>
      <c r="D6834" s="1" t="s">
        <v>25</v>
      </c>
      <c r="E6834" s="1" t="s">
        <v>25</v>
      </c>
      <c r="F6834" s="1">
        <v>53.0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1">
        <v>20.9</v>
      </c>
      <c r="T6834" s="1">
        <v>1146.05</v>
      </c>
      <c r="U6834" s="1">
        <v>0.0</v>
      </c>
      <c r="V6834" s="1">
        <v>0.0</v>
      </c>
      <c r="W6834" s="1" t="s">
        <v>26</v>
      </c>
    </row>
    <row r="6835" ht="15.75" customHeight="1">
      <c r="A6835" s="1" t="s">
        <v>6872</v>
      </c>
      <c r="B6835" s="1" t="s">
        <v>24</v>
      </c>
      <c r="C6835" s="1">
        <v>1.0</v>
      </c>
      <c r="D6835" s="1" t="s">
        <v>26</v>
      </c>
      <c r="E6835" s="1" t="s">
        <v>26</v>
      </c>
      <c r="F6835" s="1">
        <v>18.0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1">
        <v>103.6</v>
      </c>
      <c r="T6835" s="1">
        <v>1806.35</v>
      </c>
      <c r="U6835" s="1">
        <v>0.0</v>
      </c>
      <c r="V6835" s="1">
        <v>0.0</v>
      </c>
      <c r="W6835" s="1" t="s">
        <v>26</v>
      </c>
    </row>
    <row r="6836" ht="15.75" customHeight="1">
      <c r="A6836" s="1" t="s">
        <v>6873</v>
      </c>
      <c r="B6836" s="1" t="s">
        <v>24</v>
      </c>
      <c r="C6836" s="1">
        <v>0.0</v>
      </c>
      <c r="D6836" s="1" t="s">
        <v>26</v>
      </c>
      <c r="E6836" s="1" t="s">
        <v>26</v>
      </c>
      <c r="F6836" s="1">
        <v>15.0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1">
        <v>38.8</v>
      </c>
      <c r="T6836" s="1">
        <v>603.0</v>
      </c>
      <c r="U6836" s="1">
        <v>0.0</v>
      </c>
      <c r="V6836" s="1">
        <v>0.0</v>
      </c>
      <c r="W6836" s="1" t="s">
        <v>26</v>
      </c>
    </row>
    <row r="6837" ht="15.75" customHeight="1">
      <c r="A6837" s="1" t="s">
        <v>6874</v>
      </c>
      <c r="B6837" s="1" t="s">
        <v>32</v>
      </c>
      <c r="C6837" s="1">
        <v>0.0</v>
      </c>
      <c r="D6837" s="1" t="s">
        <v>25</v>
      </c>
      <c r="E6837" s="1" t="s">
        <v>26</v>
      </c>
      <c r="F6837" s="1">
        <v>67.0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1">
        <v>88.4</v>
      </c>
      <c r="T6837" s="1">
        <v>5798.3</v>
      </c>
      <c r="U6837" s="1">
        <v>0.0</v>
      </c>
      <c r="V6837" s="1">
        <v>0.0</v>
      </c>
      <c r="W6837" s="1" t="s">
        <v>26</v>
      </c>
    </row>
    <row r="6838" ht="15.75" customHeight="1">
      <c r="A6838" s="1" t="s">
        <v>6875</v>
      </c>
      <c r="B6838" s="1" t="s">
        <v>32</v>
      </c>
      <c r="C6838" s="1">
        <v>1.0</v>
      </c>
      <c r="D6838" s="1" t="s">
        <v>25</v>
      </c>
      <c r="E6838" s="1" t="s">
        <v>26</v>
      </c>
      <c r="F6838" s="1">
        <v>6.0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1">
        <v>84.2</v>
      </c>
      <c r="T6838" s="1">
        <v>519.15</v>
      </c>
      <c r="U6838" s="1">
        <v>0.0</v>
      </c>
      <c r="V6838" s="1">
        <v>0.0</v>
      </c>
      <c r="W6838" s="1" t="s">
        <v>25</v>
      </c>
    </row>
    <row r="6839" ht="15.75" customHeight="1">
      <c r="A6839" s="1" t="s">
        <v>6876</v>
      </c>
      <c r="B6839" s="1" t="s">
        <v>32</v>
      </c>
      <c r="C6839" s="1">
        <v>1.0</v>
      </c>
      <c r="D6839" s="1" t="s">
        <v>26</v>
      </c>
      <c r="E6839" s="1" t="s">
        <v>26</v>
      </c>
      <c r="F6839" s="1">
        <v>6.0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1">
        <v>79.7</v>
      </c>
      <c r="T6839" s="1">
        <v>497.6</v>
      </c>
      <c r="U6839" s="1">
        <v>0.0</v>
      </c>
      <c r="V6839" s="1">
        <v>0.0</v>
      </c>
      <c r="W6839" s="1" t="s">
        <v>26</v>
      </c>
    </row>
    <row r="6840" ht="15.75" customHeight="1">
      <c r="A6840" s="1" t="s">
        <v>6877</v>
      </c>
      <c r="B6840" s="1" t="s">
        <v>32</v>
      </c>
      <c r="C6840" s="1">
        <v>0.0</v>
      </c>
      <c r="D6840" s="1" t="s">
        <v>26</v>
      </c>
      <c r="E6840" s="1" t="s">
        <v>26</v>
      </c>
      <c r="F6840" s="1">
        <v>13.0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1">
        <v>99.0</v>
      </c>
      <c r="T6840" s="1">
        <v>1301.7</v>
      </c>
      <c r="U6840" s="1">
        <v>0.0</v>
      </c>
      <c r="V6840" s="1">
        <v>0.0</v>
      </c>
      <c r="W6840" s="1" t="s">
        <v>25</v>
      </c>
    </row>
    <row r="6841" ht="15.75" customHeight="1">
      <c r="A6841" s="1" t="s">
        <v>6878</v>
      </c>
      <c r="B6841" s="1" t="s">
        <v>24</v>
      </c>
      <c r="C6841" s="1">
        <v>0.0</v>
      </c>
      <c r="D6841" s="1" t="s">
        <v>26</v>
      </c>
      <c r="E6841" s="1" t="s">
        <v>26</v>
      </c>
      <c r="F6841" s="1">
        <v>11.0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1">
        <v>100.75</v>
      </c>
      <c r="T6841" s="1">
        <v>1129.75</v>
      </c>
      <c r="U6841" s="1">
        <v>0.0</v>
      </c>
      <c r="V6841" s="1">
        <v>1.0</v>
      </c>
      <c r="W6841" s="1" t="s">
        <v>25</v>
      </c>
    </row>
    <row r="6842" ht="15.75" customHeight="1">
      <c r="A6842" s="1" t="s">
        <v>6879</v>
      </c>
      <c r="B6842" s="1" t="s">
        <v>32</v>
      </c>
      <c r="C6842" s="1">
        <v>0.0</v>
      </c>
      <c r="D6842" s="1" t="s">
        <v>26</v>
      </c>
      <c r="E6842" s="1" t="s">
        <v>25</v>
      </c>
      <c r="F6842" s="1">
        <v>1.0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1">
        <v>19.3</v>
      </c>
      <c r="T6842" s="1">
        <v>19.3</v>
      </c>
      <c r="U6842" s="1">
        <v>0.0</v>
      </c>
      <c r="V6842" s="1">
        <v>0.0</v>
      </c>
      <c r="W6842" s="1" t="s">
        <v>26</v>
      </c>
    </row>
    <row r="6843" ht="15.75" customHeight="1">
      <c r="A6843" s="1" t="s">
        <v>6880</v>
      </c>
      <c r="B6843" s="1" t="s">
        <v>32</v>
      </c>
      <c r="C6843" s="1">
        <v>0.0</v>
      </c>
      <c r="D6843" s="1" t="s">
        <v>26</v>
      </c>
      <c r="E6843" s="1" t="s">
        <v>26</v>
      </c>
      <c r="F6843" s="1">
        <v>5.0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1">
        <v>55.75</v>
      </c>
      <c r="T6843" s="1">
        <v>266.95</v>
      </c>
      <c r="U6843" s="1">
        <v>0.0</v>
      </c>
      <c r="V6843" s="1">
        <v>0.0</v>
      </c>
      <c r="W6843" s="1" t="s">
        <v>26</v>
      </c>
    </row>
    <row r="6844" ht="15.75" customHeight="1">
      <c r="A6844" s="1" t="s">
        <v>6881</v>
      </c>
      <c r="B6844" s="1" t="s">
        <v>32</v>
      </c>
      <c r="C6844" s="1">
        <v>0.0</v>
      </c>
      <c r="D6844" s="1" t="s">
        <v>26</v>
      </c>
      <c r="E6844" s="1" t="s">
        <v>26</v>
      </c>
      <c r="F6844" s="1">
        <v>13.0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1">
        <v>19.95</v>
      </c>
      <c r="T6844" s="1">
        <v>257.0</v>
      </c>
      <c r="U6844" s="1">
        <v>0.0</v>
      </c>
      <c r="V6844" s="1">
        <v>0.0</v>
      </c>
      <c r="W6844" s="1" t="s">
        <v>26</v>
      </c>
    </row>
    <row r="6845" ht="15.75" customHeight="1">
      <c r="A6845" s="1" t="s">
        <v>6882</v>
      </c>
      <c r="B6845" s="1" t="s">
        <v>24</v>
      </c>
      <c r="C6845" s="1">
        <v>0.0</v>
      </c>
      <c r="D6845" s="1" t="s">
        <v>25</v>
      </c>
      <c r="E6845" s="1" t="s">
        <v>26</v>
      </c>
      <c r="F6845" s="1">
        <v>9.0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1">
        <v>91.75</v>
      </c>
      <c r="T6845" s="1">
        <v>865.8</v>
      </c>
      <c r="U6845" s="1">
        <v>0.0</v>
      </c>
      <c r="V6845" s="1">
        <v>0.0</v>
      </c>
      <c r="W6845" s="1" t="s">
        <v>25</v>
      </c>
    </row>
    <row r="6846" ht="15.75" customHeight="1">
      <c r="A6846" s="1" t="s">
        <v>6883</v>
      </c>
      <c r="B6846" s="1" t="s">
        <v>32</v>
      </c>
      <c r="C6846" s="1">
        <v>0.0</v>
      </c>
      <c r="D6846" s="1" t="s">
        <v>26</v>
      </c>
      <c r="E6846" s="1" t="s">
        <v>26</v>
      </c>
      <c r="F6846" s="1">
        <v>29.0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1">
        <v>89.65</v>
      </c>
      <c r="T6846" s="1">
        <v>2623.65</v>
      </c>
      <c r="U6846" s="1">
        <v>0.0</v>
      </c>
      <c r="V6846" s="1">
        <v>0.0</v>
      </c>
      <c r="W6846" s="1" t="s">
        <v>26</v>
      </c>
    </row>
    <row r="6847" ht="15.75" customHeight="1">
      <c r="A6847" s="1" t="s">
        <v>6884</v>
      </c>
      <c r="B6847" s="1" t="s">
        <v>32</v>
      </c>
      <c r="C6847" s="1">
        <v>1.0</v>
      </c>
      <c r="D6847" s="1" t="s">
        <v>26</v>
      </c>
      <c r="E6847" s="1" t="s">
        <v>26</v>
      </c>
      <c r="F6847" s="1">
        <v>1.0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1">
        <v>45.85</v>
      </c>
      <c r="T6847" s="1">
        <v>45.85</v>
      </c>
      <c r="U6847" s="1">
        <v>5.0</v>
      </c>
      <c r="V6847" s="1">
        <v>0.0</v>
      </c>
      <c r="W6847" s="1" t="s">
        <v>26</v>
      </c>
    </row>
    <row r="6848" ht="15.75" customHeight="1">
      <c r="A6848" s="1" t="s">
        <v>6885</v>
      </c>
      <c r="B6848" s="1" t="s">
        <v>24</v>
      </c>
      <c r="C6848" s="1">
        <v>0.0</v>
      </c>
      <c r="D6848" s="1" t="s">
        <v>26</v>
      </c>
      <c r="E6848" s="1" t="s">
        <v>26</v>
      </c>
      <c r="F6848" s="1">
        <v>1.0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1">
        <v>79.55</v>
      </c>
      <c r="T6848" s="1">
        <v>79.55</v>
      </c>
      <c r="U6848" s="1">
        <v>0.0</v>
      </c>
      <c r="V6848" s="1">
        <v>0.0</v>
      </c>
      <c r="W6848" s="1" t="s">
        <v>25</v>
      </c>
    </row>
    <row r="6849" ht="15.75" customHeight="1">
      <c r="A6849" s="1" t="s">
        <v>6886</v>
      </c>
      <c r="B6849" s="1" t="s">
        <v>24</v>
      </c>
      <c r="C6849" s="1">
        <v>0.0</v>
      </c>
      <c r="D6849" s="1" t="s">
        <v>25</v>
      </c>
      <c r="E6849" s="1" t="s">
        <v>25</v>
      </c>
      <c r="F6849" s="1">
        <v>18.0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1">
        <v>55.95</v>
      </c>
      <c r="T6849" s="1">
        <v>1082.8</v>
      </c>
      <c r="U6849" s="1">
        <v>0.0</v>
      </c>
      <c r="V6849" s="1">
        <v>0.0</v>
      </c>
      <c r="W6849" s="1" t="s">
        <v>26</v>
      </c>
    </row>
    <row r="6850" ht="15.75" customHeight="1">
      <c r="A6850" s="1" t="s">
        <v>6887</v>
      </c>
      <c r="B6850" s="1" t="s">
        <v>24</v>
      </c>
      <c r="C6850" s="1">
        <v>0.0</v>
      </c>
      <c r="D6850" s="1" t="s">
        <v>25</v>
      </c>
      <c r="E6850" s="1" t="s">
        <v>26</v>
      </c>
      <c r="F6850" s="1">
        <v>2.0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1">
        <v>69.0</v>
      </c>
      <c r="T6850" s="1">
        <v>147.8</v>
      </c>
      <c r="U6850" s="1">
        <v>0.0</v>
      </c>
      <c r="V6850" s="1">
        <v>0.0</v>
      </c>
      <c r="W6850" s="1" t="s">
        <v>26</v>
      </c>
    </row>
    <row r="6851" ht="15.75" customHeight="1">
      <c r="A6851" s="1" t="s">
        <v>6888</v>
      </c>
      <c r="B6851" s="1" t="s">
        <v>32</v>
      </c>
      <c r="C6851" s="1">
        <v>0.0</v>
      </c>
      <c r="D6851" s="1" t="s">
        <v>25</v>
      </c>
      <c r="E6851" s="1" t="s">
        <v>25</v>
      </c>
      <c r="F6851" s="1">
        <v>30.0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1">
        <v>83.55</v>
      </c>
      <c r="T6851" s="1">
        <v>2570.2</v>
      </c>
      <c r="U6851" s="1">
        <v>0.0</v>
      </c>
      <c r="V6851" s="1">
        <v>0.0</v>
      </c>
      <c r="W6851" s="1" t="s">
        <v>26</v>
      </c>
    </row>
    <row r="6852" ht="15.75" customHeight="1">
      <c r="A6852" s="1" t="s">
        <v>6889</v>
      </c>
      <c r="B6852" s="1" t="s">
        <v>32</v>
      </c>
      <c r="C6852" s="1">
        <v>0.0</v>
      </c>
      <c r="D6852" s="1" t="s">
        <v>26</v>
      </c>
      <c r="E6852" s="1" t="s">
        <v>25</v>
      </c>
      <c r="F6852" s="1">
        <v>66.0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1">
        <v>65.7</v>
      </c>
      <c r="T6852" s="1">
        <v>4378.9</v>
      </c>
      <c r="U6852" s="1">
        <v>0.0</v>
      </c>
      <c r="V6852" s="1">
        <v>0.0</v>
      </c>
      <c r="W6852" s="1" t="s">
        <v>26</v>
      </c>
    </row>
    <row r="6853" ht="15.75" customHeight="1">
      <c r="A6853" s="1" t="s">
        <v>6890</v>
      </c>
      <c r="B6853" s="1" t="s">
        <v>32</v>
      </c>
      <c r="C6853" s="1">
        <v>0.0</v>
      </c>
      <c r="D6853" s="1" t="s">
        <v>25</v>
      </c>
      <c r="E6853" s="1" t="s">
        <v>25</v>
      </c>
      <c r="F6853" s="1">
        <v>38.0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1">
        <v>94.9</v>
      </c>
      <c r="T6853" s="1">
        <v>3616.25</v>
      </c>
      <c r="U6853" s="1">
        <v>0.0</v>
      </c>
      <c r="V6853" s="1">
        <v>0.0</v>
      </c>
      <c r="W6853" s="1" t="s">
        <v>26</v>
      </c>
    </row>
    <row r="6854" ht="15.75" customHeight="1">
      <c r="A6854" s="1" t="s">
        <v>6891</v>
      </c>
      <c r="B6854" s="1" t="s">
        <v>32</v>
      </c>
      <c r="C6854" s="1">
        <v>0.0</v>
      </c>
      <c r="D6854" s="1" t="s">
        <v>25</v>
      </c>
      <c r="E6854" s="1" t="s">
        <v>25</v>
      </c>
      <c r="F6854" s="1">
        <v>44.0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1">
        <v>61.9</v>
      </c>
      <c r="T6854" s="1">
        <v>2924.05</v>
      </c>
      <c r="U6854" s="1">
        <v>0.0</v>
      </c>
      <c r="V6854" s="1">
        <v>0.0</v>
      </c>
      <c r="W6854" s="1" t="s">
        <v>26</v>
      </c>
    </row>
    <row r="6855" ht="15.75" customHeight="1">
      <c r="A6855" s="1" t="s">
        <v>6892</v>
      </c>
      <c r="B6855" s="1" t="s">
        <v>24</v>
      </c>
      <c r="C6855" s="1">
        <v>0.0</v>
      </c>
      <c r="D6855" s="1" t="s">
        <v>26</v>
      </c>
      <c r="E6855" s="1" t="s">
        <v>26</v>
      </c>
      <c r="F6855" s="1">
        <v>54.0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1">
        <v>111.1</v>
      </c>
      <c r="T6855" s="1">
        <v>6014.85</v>
      </c>
      <c r="U6855" s="1">
        <v>0.0</v>
      </c>
      <c r="V6855" s="1">
        <v>5.0</v>
      </c>
      <c r="W6855" s="1" t="s">
        <v>25</v>
      </c>
    </row>
    <row r="6856" ht="15.75" customHeight="1">
      <c r="A6856" s="1" t="s">
        <v>6893</v>
      </c>
      <c r="B6856" s="1" t="s">
        <v>32</v>
      </c>
      <c r="C6856" s="1">
        <v>0.0</v>
      </c>
      <c r="D6856" s="1" t="s">
        <v>26</v>
      </c>
      <c r="E6856" s="1" t="s">
        <v>26</v>
      </c>
      <c r="F6856" s="1">
        <v>2.0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1">
        <v>20.0</v>
      </c>
      <c r="T6856" s="1">
        <v>32.7</v>
      </c>
      <c r="U6856" s="1">
        <v>0.0</v>
      </c>
      <c r="V6856" s="1">
        <v>0.0</v>
      </c>
      <c r="W6856" s="1" t="s">
        <v>26</v>
      </c>
    </row>
    <row r="6857" ht="15.75" customHeight="1">
      <c r="A6857" s="1" t="s">
        <v>6894</v>
      </c>
      <c r="B6857" s="1" t="s">
        <v>24</v>
      </c>
      <c r="C6857" s="1">
        <v>0.0</v>
      </c>
      <c r="D6857" s="1" t="s">
        <v>26</v>
      </c>
      <c r="E6857" s="1" t="s">
        <v>26</v>
      </c>
      <c r="F6857" s="1">
        <v>42.0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1">
        <v>67.7</v>
      </c>
      <c r="T6857" s="1">
        <v>2882.25</v>
      </c>
      <c r="U6857" s="1">
        <v>0.0</v>
      </c>
      <c r="V6857" s="1">
        <v>0.0</v>
      </c>
      <c r="W6857" s="1" t="s">
        <v>26</v>
      </c>
    </row>
    <row r="6858" ht="15.75" customHeight="1">
      <c r="A6858" s="1" t="s">
        <v>6895</v>
      </c>
      <c r="B6858" s="1" t="s">
        <v>24</v>
      </c>
      <c r="C6858" s="1">
        <v>0.0</v>
      </c>
      <c r="D6858" s="1" t="s">
        <v>25</v>
      </c>
      <c r="E6858" s="1" t="s">
        <v>25</v>
      </c>
      <c r="F6858" s="1">
        <v>58.0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1">
        <v>25.15</v>
      </c>
      <c r="T6858" s="1">
        <v>1509.9</v>
      </c>
      <c r="U6858" s="1">
        <v>4.0</v>
      </c>
      <c r="V6858" s="1">
        <v>0.0</v>
      </c>
      <c r="W6858" s="1" t="s">
        <v>26</v>
      </c>
    </row>
    <row r="6859" ht="15.75" customHeight="1">
      <c r="A6859" s="1" t="s">
        <v>6896</v>
      </c>
      <c r="B6859" s="1" t="s">
        <v>32</v>
      </c>
      <c r="C6859" s="1">
        <v>0.0</v>
      </c>
      <c r="D6859" s="1" t="s">
        <v>25</v>
      </c>
      <c r="E6859" s="1" t="s">
        <v>25</v>
      </c>
      <c r="F6859" s="1">
        <v>58.0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1">
        <v>92.85</v>
      </c>
      <c r="T6859" s="1">
        <v>5305.05</v>
      </c>
      <c r="U6859" s="1">
        <v>0.0</v>
      </c>
      <c r="V6859" s="1">
        <v>0.0</v>
      </c>
      <c r="W6859" s="1" t="s">
        <v>26</v>
      </c>
    </row>
    <row r="6860" ht="15.75" customHeight="1">
      <c r="A6860" s="1" t="s">
        <v>6897</v>
      </c>
      <c r="B6860" s="1" t="s">
        <v>24</v>
      </c>
      <c r="C6860" s="1">
        <v>0.0</v>
      </c>
      <c r="D6860" s="1" t="s">
        <v>25</v>
      </c>
      <c r="E6860" s="1" t="s">
        <v>25</v>
      </c>
      <c r="F6860" s="1">
        <v>25.0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1">
        <v>89.1</v>
      </c>
      <c r="T6860" s="1">
        <v>2368.4</v>
      </c>
      <c r="U6860" s="1">
        <v>0.0</v>
      </c>
      <c r="V6860" s="1">
        <v>2.0</v>
      </c>
      <c r="W6860" s="1" t="s">
        <v>25</v>
      </c>
    </row>
    <row r="6861" ht="15.75" customHeight="1">
      <c r="A6861" s="1" t="s">
        <v>6898</v>
      </c>
      <c r="B6861" s="1" t="s">
        <v>24</v>
      </c>
      <c r="C6861" s="1">
        <v>0.0</v>
      </c>
      <c r="D6861" s="1" t="s">
        <v>26</v>
      </c>
      <c r="E6861" s="1" t="s">
        <v>26</v>
      </c>
      <c r="F6861" s="1">
        <v>71.0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1">
        <v>111.3</v>
      </c>
      <c r="T6861" s="1">
        <v>7985.9</v>
      </c>
      <c r="U6861" s="1">
        <v>0.0</v>
      </c>
      <c r="V6861" s="1">
        <v>0.0</v>
      </c>
      <c r="W6861" s="1" t="s">
        <v>26</v>
      </c>
    </row>
    <row r="6862" ht="15.75" customHeight="1">
      <c r="A6862" s="1" t="s">
        <v>6899</v>
      </c>
      <c r="B6862" s="1" t="s">
        <v>24</v>
      </c>
      <c r="C6862" s="1">
        <v>0.0</v>
      </c>
      <c r="D6862" s="1" t="s">
        <v>26</v>
      </c>
      <c r="E6862" s="1" t="s">
        <v>26</v>
      </c>
      <c r="F6862" s="1">
        <v>37.0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1">
        <v>101.9</v>
      </c>
      <c r="T6862" s="1">
        <v>3545.35</v>
      </c>
      <c r="U6862" s="1">
        <v>0.0</v>
      </c>
      <c r="V6862" s="1">
        <v>2.0</v>
      </c>
      <c r="W6862" s="1" t="s">
        <v>25</v>
      </c>
    </row>
    <row r="6863" ht="15.75" customHeight="1">
      <c r="A6863" s="1" t="s">
        <v>6900</v>
      </c>
      <c r="B6863" s="1" t="s">
        <v>24</v>
      </c>
      <c r="C6863" s="1">
        <v>0.0</v>
      </c>
      <c r="D6863" s="1" t="s">
        <v>25</v>
      </c>
      <c r="E6863" s="1" t="s">
        <v>25</v>
      </c>
      <c r="F6863" s="1">
        <v>14.0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1">
        <v>91.65</v>
      </c>
      <c r="T6863" s="1">
        <v>1301.0</v>
      </c>
      <c r="U6863" s="1">
        <v>4.0</v>
      </c>
      <c r="V6863" s="1">
        <v>0.0</v>
      </c>
      <c r="W6863" s="1" t="s">
        <v>25</v>
      </c>
    </row>
    <row r="6864" ht="15.75" customHeight="1">
      <c r="A6864" s="1" t="s">
        <v>6901</v>
      </c>
      <c r="B6864" s="1" t="s">
        <v>24</v>
      </c>
      <c r="C6864" s="1">
        <v>1.0</v>
      </c>
      <c r="D6864" s="1" t="s">
        <v>26</v>
      </c>
      <c r="E6864" s="1" t="s">
        <v>26</v>
      </c>
      <c r="F6864" s="1">
        <v>4.0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1">
        <v>88.85</v>
      </c>
      <c r="T6864" s="1">
        <v>372.45</v>
      </c>
      <c r="U6864" s="1">
        <v>0.0</v>
      </c>
      <c r="V6864" s="1">
        <v>0.0</v>
      </c>
      <c r="W6864" s="1" t="s">
        <v>25</v>
      </c>
    </row>
    <row r="6865" ht="15.75" customHeight="1">
      <c r="A6865" s="1" t="s">
        <v>6902</v>
      </c>
      <c r="B6865" s="1" t="s">
        <v>24</v>
      </c>
      <c r="C6865" s="1">
        <v>0.0</v>
      </c>
      <c r="D6865" s="1" t="s">
        <v>25</v>
      </c>
      <c r="E6865" s="1" t="s">
        <v>26</v>
      </c>
      <c r="F6865" s="1">
        <v>48.0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1">
        <v>60.6</v>
      </c>
      <c r="T6865" s="1">
        <v>2985.25</v>
      </c>
      <c r="U6865" s="1">
        <v>0.0</v>
      </c>
      <c r="V6865" s="1">
        <v>0.0</v>
      </c>
      <c r="W6865" s="1" t="s">
        <v>26</v>
      </c>
    </row>
    <row r="6866" ht="15.75" customHeight="1">
      <c r="A6866" s="1" t="s">
        <v>6903</v>
      </c>
      <c r="B6866" s="1" t="s">
        <v>24</v>
      </c>
      <c r="C6866" s="1">
        <v>1.0</v>
      </c>
      <c r="D6866" s="1" t="s">
        <v>26</v>
      </c>
      <c r="E6866" s="1" t="s">
        <v>26</v>
      </c>
      <c r="F6866" s="1">
        <v>3.0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1">
        <v>25.3</v>
      </c>
      <c r="T6866" s="1">
        <v>77.75</v>
      </c>
      <c r="U6866" s="1">
        <v>4.0</v>
      </c>
      <c r="V6866" s="1">
        <v>0.0</v>
      </c>
      <c r="W6866" s="1" t="s">
        <v>25</v>
      </c>
    </row>
    <row r="6867" ht="15.75" customHeight="1">
      <c r="A6867" s="1" t="s">
        <v>6904</v>
      </c>
      <c r="B6867" s="1" t="s">
        <v>24</v>
      </c>
      <c r="C6867" s="1">
        <v>0.0</v>
      </c>
      <c r="D6867" s="1" t="s">
        <v>25</v>
      </c>
      <c r="E6867" s="1" t="s">
        <v>26</v>
      </c>
      <c r="F6867" s="1">
        <v>8.0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1">
        <v>65.5</v>
      </c>
      <c r="T6867" s="1">
        <v>564.35</v>
      </c>
      <c r="U6867" s="1">
        <v>0.0</v>
      </c>
      <c r="V6867" s="1">
        <v>0.0</v>
      </c>
      <c r="W6867" s="1" t="s">
        <v>26</v>
      </c>
    </row>
    <row r="6868" ht="15.75" customHeight="1">
      <c r="A6868" s="1" t="s">
        <v>6905</v>
      </c>
      <c r="B6868" s="1" t="s">
        <v>32</v>
      </c>
      <c r="C6868" s="1">
        <v>0.0</v>
      </c>
      <c r="D6868" s="1" t="s">
        <v>26</v>
      </c>
      <c r="E6868" s="1" t="s">
        <v>26</v>
      </c>
      <c r="F6868" s="1">
        <v>1.0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1">
        <v>95.45</v>
      </c>
      <c r="T6868" s="1">
        <v>95.45</v>
      </c>
      <c r="U6868" s="1">
        <v>0.0</v>
      </c>
      <c r="V6868" s="1">
        <v>0.0</v>
      </c>
      <c r="W6868" s="1" t="s">
        <v>25</v>
      </c>
    </row>
    <row r="6869" ht="15.75" customHeight="1">
      <c r="A6869" s="1" t="s">
        <v>6906</v>
      </c>
      <c r="B6869" s="1" t="s">
        <v>32</v>
      </c>
      <c r="C6869" s="1">
        <v>0.0</v>
      </c>
      <c r="D6869" s="1" t="s">
        <v>26</v>
      </c>
      <c r="E6869" s="1" t="s">
        <v>26</v>
      </c>
      <c r="F6869" s="1">
        <v>67.0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1">
        <v>19.95</v>
      </c>
      <c r="T6869" s="1">
        <v>1311.75</v>
      </c>
      <c r="U6869" s="1">
        <v>0.0</v>
      </c>
      <c r="V6869" s="1">
        <v>0.0</v>
      </c>
      <c r="W6869" s="1" t="s">
        <v>26</v>
      </c>
    </row>
    <row r="6870" ht="15.75" customHeight="1">
      <c r="A6870" s="1" t="s">
        <v>6907</v>
      </c>
      <c r="B6870" s="1" t="s">
        <v>32</v>
      </c>
      <c r="C6870" s="1">
        <v>0.0</v>
      </c>
      <c r="D6870" s="1" t="s">
        <v>26</v>
      </c>
      <c r="E6870" s="1" t="s">
        <v>26</v>
      </c>
      <c r="F6870" s="1">
        <v>13.0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1">
        <v>91.1</v>
      </c>
      <c r="T6870" s="1">
        <v>1135.7</v>
      </c>
      <c r="U6870" s="1">
        <v>0.0</v>
      </c>
      <c r="V6870" s="1">
        <v>2.0</v>
      </c>
      <c r="W6870" s="1" t="s">
        <v>25</v>
      </c>
    </row>
    <row r="6871" ht="15.75" customHeight="1">
      <c r="A6871" s="1" t="s">
        <v>6908</v>
      </c>
      <c r="B6871" s="1" t="s">
        <v>24</v>
      </c>
      <c r="C6871" s="1">
        <v>0.0</v>
      </c>
      <c r="D6871" s="1" t="s">
        <v>25</v>
      </c>
      <c r="E6871" s="1" t="s">
        <v>25</v>
      </c>
      <c r="F6871" s="1">
        <v>45.0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1">
        <v>54.15</v>
      </c>
      <c r="T6871" s="1">
        <v>2319.8</v>
      </c>
      <c r="U6871" s="1">
        <v>0.0</v>
      </c>
      <c r="V6871" s="1">
        <v>0.0</v>
      </c>
      <c r="W6871" s="1" t="s">
        <v>25</v>
      </c>
    </row>
    <row r="6872" ht="15.75" customHeight="1">
      <c r="A6872" s="1" t="s">
        <v>6909</v>
      </c>
      <c r="B6872" s="1" t="s">
        <v>32</v>
      </c>
      <c r="C6872" s="1">
        <v>0.0</v>
      </c>
      <c r="D6872" s="1" t="s">
        <v>26</v>
      </c>
      <c r="E6872" s="1" t="s">
        <v>26</v>
      </c>
      <c r="F6872" s="1">
        <v>49.0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1">
        <v>74.6</v>
      </c>
      <c r="T6872" s="1">
        <v>3720.35</v>
      </c>
      <c r="U6872" s="1">
        <v>0.0</v>
      </c>
      <c r="V6872" s="1">
        <v>0.0</v>
      </c>
      <c r="W6872" s="1" t="s">
        <v>26</v>
      </c>
    </row>
    <row r="6873" ht="15.75" customHeight="1">
      <c r="A6873" s="1" t="s">
        <v>6910</v>
      </c>
      <c r="B6873" s="1" t="s">
        <v>24</v>
      </c>
      <c r="C6873" s="1">
        <v>0.0</v>
      </c>
      <c r="D6873" s="1" t="s">
        <v>25</v>
      </c>
      <c r="E6873" s="1" t="s">
        <v>26</v>
      </c>
      <c r="F6873" s="1">
        <v>52.0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1">
        <v>94.6</v>
      </c>
      <c r="T6873" s="1">
        <v>5025.8</v>
      </c>
      <c r="U6873" s="1">
        <v>0.0</v>
      </c>
      <c r="V6873" s="1">
        <v>0.0</v>
      </c>
      <c r="W6873" s="1" t="s">
        <v>26</v>
      </c>
    </row>
    <row r="6874" ht="15.75" customHeight="1">
      <c r="A6874" s="1" t="s">
        <v>6911</v>
      </c>
      <c r="B6874" s="1" t="s">
        <v>24</v>
      </c>
      <c r="C6874" s="1">
        <v>0.0</v>
      </c>
      <c r="D6874" s="1" t="s">
        <v>25</v>
      </c>
      <c r="E6874" s="1" t="s">
        <v>26</v>
      </c>
      <c r="F6874" s="1">
        <v>63.0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1">
        <v>81.15</v>
      </c>
      <c r="T6874" s="1">
        <v>5224.5</v>
      </c>
      <c r="U6874" s="1">
        <v>0.0</v>
      </c>
      <c r="V6874" s="1">
        <v>0.0</v>
      </c>
      <c r="W6874" s="1" t="s">
        <v>26</v>
      </c>
    </row>
    <row r="6875" ht="15.75" customHeight="1">
      <c r="A6875" s="1" t="s">
        <v>6912</v>
      </c>
      <c r="B6875" s="1" t="s">
        <v>24</v>
      </c>
      <c r="C6875" s="1">
        <v>0.0</v>
      </c>
      <c r="D6875" s="1" t="s">
        <v>25</v>
      </c>
      <c r="E6875" s="1" t="s">
        <v>25</v>
      </c>
      <c r="F6875" s="1">
        <v>68.0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1">
        <v>89.05</v>
      </c>
      <c r="T6875" s="1">
        <v>6185.8</v>
      </c>
      <c r="U6875" s="1">
        <v>2.0</v>
      </c>
      <c r="V6875" s="1">
        <v>0.0</v>
      </c>
      <c r="W6875" s="1" t="s">
        <v>26</v>
      </c>
    </row>
    <row r="6876" ht="15.75" customHeight="1">
      <c r="A6876" s="1" t="s">
        <v>6913</v>
      </c>
      <c r="B6876" s="1" t="s">
        <v>24</v>
      </c>
      <c r="C6876" s="1">
        <v>0.0</v>
      </c>
      <c r="D6876" s="1" t="s">
        <v>25</v>
      </c>
      <c r="E6876" s="1" t="s">
        <v>26</v>
      </c>
      <c r="F6876" s="1">
        <v>31.0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1">
        <v>49.2</v>
      </c>
      <c r="T6876" s="1">
        <v>1498.55</v>
      </c>
      <c r="U6876" s="1">
        <v>0.0</v>
      </c>
      <c r="V6876" s="1">
        <v>0.0</v>
      </c>
      <c r="W6876" s="1" t="s">
        <v>26</v>
      </c>
    </row>
    <row r="6877" ht="15.75" customHeight="1">
      <c r="A6877" s="1" t="s">
        <v>6914</v>
      </c>
      <c r="B6877" s="1" t="s">
        <v>24</v>
      </c>
      <c r="C6877" s="1">
        <v>0.0</v>
      </c>
      <c r="D6877" s="1" t="s">
        <v>25</v>
      </c>
      <c r="E6877" s="1" t="s">
        <v>26</v>
      </c>
      <c r="F6877" s="1">
        <v>64.0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1">
        <v>19.45</v>
      </c>
      <c r="T6877" s="1">
        <v>1208.6</v>
      </c>
      <c r="U6877" s="1">
        <v>0.0</v>
      </c>
      <c r="V6877" s="1">
        <v>0.0</v>
      </c>
      <c r="W6877" s="1" t="s">
        <v>26</v>
      </c>
    </row>
    <row r="6878" ht="15.75" customHeight="1">
      <c r="A6878" s="1" t="s">
        <v>6915</v>
      </c>
      <c r="B6878" s="1" t="s">
        <v>24</v>
      </c>
      <c r="C6878" s="1">
        <v>0.0</v>
      </c>
      <c r="D6878" s="1" t="s">
        <v>25</v>
      </c>
      <c r="E6878" s="1" t="s">
        <v>26</v>
      </c>
      <c r="F6878" s="1">
        <v>62.0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1">
        <v>104.3</v>
      </c>
      <c r="T6878" s="1">
        <v>6613.65</v>
      </c>
      <c r="U6878" s="1">
        <v>0.0</v>
      </c>
      <c r="V6878" s="1">
        <v>1.0</v>
      </c>
      <c r="W6878" s="1" t="s">
        <v>26</v>
      </c>
    </row>
    <row r="6879" ht="15.75" customHeight="1">
      <c r="A6879" s="1" t="s">
        <v>6916</v>
      </c>
      <c r="B6879" s="1" t="s">
        <v>24</v>
      </c>
      <c r="C6879" s="1">
        <v>0.0</v>
      </c>
      <c r="D6879" s="1" t="s">
        <v>26</v>
      </c>
      <c r="E6879" s="1" t="s">
        <v>26</v>
      </c>
      <c r="F6879" s="1">
        <v>1.0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1">
        <v>69.7</v>
      </c>
      <c r="T6879" s="1">
        <v>69.7</v>
      </c>
      <c r="U6879" s="1">
        <v>0.0</v>
      </c>
      <c r="V6879" s="1">
        <v>0.0</v>
      </c>
      <c r="W6879" s="1" t="s">
        <v>25</v>
      </c>
    </row>
    <row r="6880" ht="15.75" customHeight="1">
      <c r="A6880" s="1" t="s">
        <v>6917</v>
      </c>
      <c r="B6880" s="1" t="s">
        <v>24</v>
      </c>
      <c r="C6880" s="1">
        <v>0.0</v>
      </c>
      <c r="D6880" s="1" t="s">
        <v>26</v>
      </c>
      <c r="E6880" s="1" t="s">
        <v>26</v>
      </c>
      <c r="F6880" s="1">
        <v>6.0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1">
        <v>89.5</v>
      </c>
      <c r="T6880" s="1">
        <v>573.3</v>
      </c>
      <c r="U6880" s="1">
        <v>0.0</v>
      </c>
      <c r="V6880" s="1">
        <v>0.0</v>
      </c>
      <c r="W6880" s="1" t="s">
        <v>25</v>
      </c>
    </row>
    <row r="6881" ht="15.75" customHeight="1">
      <c r="A6881" s="1" t="s">
        <v>6918</v>
      </c>
      <c r="B6881" s="1" t="s">
        <v>24</v>
      </c>
      <c r="C6881" s="1">
        <v>0.0</v>
      </c>
      <c r="D6881" s="1" t="s">
        <v>25</v>
      </c>
      <c r="E6881" s="1" t="s">
        <v>26</v>
      </c>
      <c r="F6881" s="1">
        <v>21.0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1">
        <v>86.05</v>
      </c>
      <c r="T6881" s="1">
        <v>1818.9</v>
      </c>
      <c r="U6881" s="1">
        <v>0.0</v>
      </c>
      <c r="V6881" s="1">
        <v>0.0</v>
      </c>
      <c r="W6881" s="1" t="s">
        <v>26</v>
      </c>
    </row>
    <row r="6882" ht="15.75" customHeight="1">
      <c r="A6882" s="1" t="s">
        <v>6919</v>
      </c>
      <c r="B6882" s="1" t="s">
        <v>24</v>
      </c>
      <c r="C6882" s="1">
        <v>0.0</v>
      </c>
      <c r="D6882" s="1" t="s">
        <v>25</v>
      </c>
      <c r="E6882" s="1" t="s">
        <v>25</v>
      </c>
      <c r="F6882" s="1">
        <v>72.0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1">
        <v>25.2</v>
      </c>
      <c r="T6882" s="1">
        <v>1787.35</v>
      </c>
      <c r="U6882" s="1">
        <v>0.0</v>
      </c>
      <c r="V6882" s="1">
        <v>0.0</v>
      </c>
      <c r="W6882" s="1" t="s">
        <v>26</v>
      </c>
    </row>
    <row r="6883" ht="15.75" customHeight="1">
      <c r="A6883" s="1" t="s">
        <v>6920</v>
      </c>
      <c r="B6883" s="1" t="s">
        <v>24</v>
      </c>
      <c r="C6883" s="1">
        <v>0.0</v>
      </c>
      <c r="D6883" s="1" t="s">
        <v>25</v>
      </c>
      <c r="E6883" s="1" t="s">
        <v>25</v>
      </c>
      <c r="F6883" s="1">
        <v>32.0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1">
        <v>35.15</v>
      </c>
      <c r="T6883" s="1">
        <v>1051.05</v>
      </c>
      <c r="U6883" s="1">
        <v>1.0</v>
      </c>
      <c r="V6883" s="1">
        <v>0.0</v>
      </c>
      <c r="W6883" s="1" t="s">
        <v>26</v>
      </c>
    </row>
    <row r="6884" ht="15.75" customHeight="1">
      <c r="A6884" s="1" t="s">
        <v>6921</v>
      </c>
      <c r="B6884" s="1" t="s">
        <v>24</v>
      </c>
      <c r="C6884" s="1">
        <v>1.0</v>
      </c>
      <c r="D6884" s="1" t="s">
        <v>26</v>
      </c>
      <c r="E6884" s="1" t="s">
        <v>26</v>
      </c>
      <c r="F6884" s="1">
        <v>71.0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1">
        <v>99.65</v>
      </c>
      <c r="T6884" s="1">
        <v>7181.25</v>
      </c>
      <c r="U6884" s="1">
        <v>0.0</v>
      </c>
      <c r="V6884" s="1">
        <v>0.0</v>
      </c>
      <c r="W6884" s="1" t="s">
        <v>26</v>
      </c>
    </row>
    <row r="6885" ht="15.75" customHeight="1">
      <c r="A6885" s="1" t="s">
        <v>6922</v>
      </c>
      <c r="B6885" s="1" t="s">
        <v>24</v>
      </c>
      <c r="C6885" s="1">
        <v>0.0</v>
      </c>
      <c r="D6885" s="1" t="s">
        <v>26</v>
      </c>
      <c r="E6885" s="1" t="s">
        <v>25</v>
      </c>
      <c r="F6885" s="1">
        <v>34.0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1">
        <v>105.35</v>
      </c>
      <c r="T6885" s="1">
        <v>3688.6</v>
      </c>
      <c r="U6885" s="1">
        <v>3.0</v>
      </c>
      <c r="V6885" s="1">
        <v>0.0</v>
      </c>
      <c r="W6885" s="1" t="s">
        <v>26</v>
      </c>
    </row>
    <row r="6886" ht="15.75" customHeight="1">
      <c r="A6886" s="1" t="s">
        <v>6923</v>
      </c>
      <c r="B6886" s="1" t="s">
        <v>32</v>
      </c>
      <c r="C6886" s="1">
        <v>0.0</v>
      </c>
      <c r="D6886" s="1" t="s">
        <v>25</v>
      </c>
      <c r="E6886" s="1" t="s">
        <v>26</v>
      </c>
      <c r="F6886" s="1">
        <v>3.0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1">
        <v>35.15</v>
      </c>
      <c r="T6886" s="1">
        <v>99.75</v>
      </c>
      <c r="U6886" s="1">
        <v>0.0</v>
      </c>
      <c r="V6886" s="1">
        <v>0.0</v>
      </c>
      <c r="W6886" s="1" t="s">
        <v>25</v>
      </c>
    </row>
    <row r="6887" ht="15.75" customHeight="1">
      <c r="A6887" s="1" t="s">
        <v>6924</v>
      </c>
      <c r="B6887" s="1" t="s">
        <v>32</v>
      </c>
      <c r="C6887" s="1">
        <v>0.0</v>
      </c>
      <c r="D6887" s="1" t="s">
        <v>26</v>
      </c>
      <c r="E6887" s="1" t="s">
        <v>25</v>
      </c>
      <c r="F6887" s="1">
        <v>12.0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1">
        <v>73.75</v>
      </c>
      <c r="T6887" s="1">
        <v>871.4</v>
      </c>
      <c r="U6887" s="1">
        <v>4.0</v>
      </c>
      <c r="V6887" s="1">
        <v>0.0</v>
      </c>
      <c r="W6887" s="1" t="s">
        <v>25</v>
      </c>
    </row>
    <row r="6888" ht="15.75" customHeight="1">
      <c r="A6888" s="1" t="s">
        <v>6925</v>
      </c>
      <c r="B6888" s="1" t="s">
        <v>24</v>
      </c>
      <c r="C6888" s="1">
        <v>1.0</v>
      </c>
      <c r="D6888" s="1" t="s">
        <v>26</v>
      </c>
      <c r="E6888" s="1" t="s">
        <v>26</v>
      </c>
      <c r="F6888" s="1">
        <v>8.0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1">
        <v>101.35</v>
      </c>
      <c r="T6888" s="1">
        <v>780.5</v>
      </c>
      <c r="U6888" s="1">
        <v>0.0</v>
      </c>
      <c r="V6888" s="1">
        <v>0.0</v>
      </c>
      <c r="W6888" s="1" t="s">
        <v>25</v>
      </c>
    </row>
    <row r="6889" ht="15.75" customHeight="1">
      <c r="A6889" s="1" t="s">
        <v>6926</v>
      </c>
      <c r="B6889" s="1" t="s">
        <v>24</v>
      </c>
      <c r="C6889" s="1">
        <v>0.0</v>
      </c>
      <c r="D6889" s="1" t="s">
        <v>25</v>
      </c>
      <c r="E6889" s="1" t="s">
        <v>25</v>
      </c>
      <c r="F6889" s="1">
        <v>35.0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1">
        <v>24.3</v>
      </c>
      <c r="T6889" s="1">
        <v>821.6</v>
      </c>
      <c r="U6889" s="1">
        <v>4.0</v>
      </c>
      <c r="V6889" s="1">
        <v>0.0</v>
      </c>
      <c r="W6889" s="1" t="s">
        <v>26</v>
      </c>
    </row>
    <row r="6890" ht="15.75" customHeight="1">
      <c r="A6890" s="1" t="s">
        <v>6927</v>
      </c>
      <c r="B6890" s="1" t="s">
        <v>24</v>
      </c>
      <c r="C6890" s="1">
        <v>0.0</v>
      </c>
      <c r="D6890" s="1" t="s">
        <v>25</v>
      </c>
      <c r="E6890" s="1" t="s">
        <v>25</v>
      </c>
      <c r="F6890" s="1">
        <v>3.0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1">
        <v>80.7</v>
      </c>
      <c r="T6890" s="1">
        <v>239.45</v>
      </c>
      <c r="U6890" s="1">
        <v>0.0</v>
      </c>
      <c r="V6890" s="1">
        <v>0.0</v>
      </c>
      <c r="W6890" s="1" t="s">
        <v>26</v>
      </c>
    </row>
    <row r="6891" ht="15.75" customHeight="1">
      <c r="A6891" s="1" t="s">
        <v>6928</v>
      </c>
      <c r="B6891" s="1" t="s">
        <v>32</v>
      </c>
      <c r="C6891" s="1">
        <v>0.0</v>
      </c>
      <c r="D6891" s="1" t="s">
        <v>26</v>
      </c>
      <c r="E6891" s="1" t="s">
        <v>26</v>
      </c>
      <c r="F6891" s="1">
        <v>3.0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1">
        <v>89.85</v>
      </c>
      <c r="T6891" s="1">
        <v>244.45</v>
      </c>
      <c r="U6891" s="1">
        <v>0.0</v>
      </c>
      <c r="V6891" s="1">
        <v>0.0</v>
      </c>
      <c r="W6891" s="1" t="s">
        <v>26</v>
      </c>
    </row>
    <row r="6892" ht="15.75" customHeight="1">
      <c r="A6892" s="1" t="s">
        <v>6929</v>
      </c>
      <c r="B6892" s="1" t="s">
        <v>32</v>
      </c>
      <c r="C6892" s="1">
        <v>0.0</v>
      </c>
      <c r="D6892" s="1" t="s">
        <v>26</v>
      </c>
      <c r="E6892" s="1" t="s">
        <v>26</v>
      </c>
      <c r="F6892" s="1">
        <v>53.0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1">
        <v>61.1</v>
      </c>
      <c r="T6892" s="1">
        <v>3357.9</v>
      </c>
      <c r="U6892" s="1">
        <v>0.0</v>
      </c>
      <c r="V6892" s="1">
        <v>0.0</v>
      </c>
      <c r="W6892" s="1" t="s">
        <v>26</v>
      </c>
    </row>
    <row r="6893" ht="15.75" customHeight="1">
      <c r="A6893" s="1" t="s">
        <v>6930</v>
      </c>
      <c r="B6893" s="1" t="s">
        <v>24</v>
      </c>
      <c r="C6893" s="1">
        <v>0.0</v>
      </c>
      <c r="D6893" s="1" t="s">
        <v>25</v>
      </c>
      <c r="E6893" s="1" t="s">
        <v>26</v>
      </c>
      <c r="F6893" s="1">
        <v>4.0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1">
        <v>29.05</v>
      </c>
      <c r="T6893" s="1">
        <v>129.6</v>
      </c>
      <c r="U6893" s="1">
        <v>0.0</v>
      </c>
      <c r="V6893" s="1">
        <v>0.0</v>
      </c>
      <c r="W6893" s="1" t="s">
        <v>26</v>
      </c>
    </row>
    <row r="6894" ht="15.75" customHeight="1">
      <c r="A6894" s="1" t="s">
        <v>6931</v>
      </c>
      <c r="B6894" s="1" t="s">
        <v>24</v>
      </c>
      <c r="C6894" s="1">
        <v>0.0</v>
      </c>
      <c r="D6894" s="1" t="s">
        <v>25</v>
      </c>
      <c r="E6894" s="1" t="s">
        <v>25</v>
      </c>
      <c r="F6894" s="1">
        <v>48.0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1">
        <v>99.7</v>
      </c>
      <c r="T6894" s="1">
        <v>4977.2</v>
      </c>
      <c r="U6894" s="1">
        <v>2.0</v>
      </c>
      <c r="V6894" s="1">
        <v>0.0</v>
      </c>
      <c r="W6894" s="1" t="s">
        <v>26</v>
      </c>
    </row>
    <row r="6895" ht="15.75" customHeight="1">
      <c r="A6895" s="1" t="s">
        <v>6932</v>
      </c>
      <c r="B6895" s="1" t="s">
        <v>24</v>
      </c>
      <c r="C6895" s="1">
        <v>0.0</v>
      </c>
      <c r="D6895" s="1" t="s">
        <v>25</v>
      </c>
      <c r="E6895" s="1" t="s">
        <v>25</v>
      </c>
      <c r="F6895" s="1">
        <v>6.0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1">
        <v>55.9</v>
      </c>
      <c r="T6895" s="1">
        <v>365.35</v>
      </c>
      <c r="U6895" s="1">
        <v>0.0</v>
      </c>
      <c r="V6895" s="1">
        <v>0.0</v>
      </c>
      <c r="W6895" s="1" t="s">
        <v>25</v>
      </c>
    </row>
    <row r="6896" ht="15.75" customHeight="1">
      <c r="A6896" s="1" t="s">
        <v>6933</v>
      </c>
      <c r="B6896" s="1" t="s">
        <v>32</v>
      </c>
      <c r="C6896" s="1">
        <v>1.0</v>
      </c>
      <c r="D6896" s="1" t="s">
        <v>25</v>
      </c>
      <c r="E6896" s="1" t="s">
        <v>26</v>
      </c>
      <c r="F6896" s="1">
        <v>3.0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1">
        <v>105.9</v>
      </c>
      <c r="T6896" s="1">
        <v>334.65</v>
      </c>
      <c r="U6896" s="1">
        <v>0.0</v>
      </c>
      <c r="V6896" s="1">
        <v>1.0</v>
      </c>
      <c r="W6896" s="1" t="s">
        <v>25</v>
      </c>
    </row>
    <row r="6897" ht="15.75" customHeight="1">
      <c r="A6897" s="1" t="s">
        <v>6934</v>
      </c>
      <c r="B6897" s="1" t="s">
        <v>32</v>
      </c>
      <c r="C6897" s="1">
        <v>0.0</v>
      </c>
      <c r="D6897" s="1" t="s">
        <v>25</v>
      </c>
      <c r="E6897" s="1" t="s">
        <v>25</v>
      </c>
      <c r="F6897" s="1">
        <v>54.0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1">
        <v>46.0</v>
      </c>
      <c r="T6897" s="1">
        <v>2424.05</v>
      </c>
      <c r="U6897" s="1">
        <v>0.0</v>
      </c>
      <c r="V6897" s="1">
        <v>0.0</v>
      </c>
      <c r="W6897" s="1" t="s">
        <v>26</v>
      </c>
    </row>
    <row r="6898" ht="15.75" customHeight="1">
      <c r="A6898" s="1" t="s">
        <v>6935</v>
      </c>
      <c r="B6898" s="1" t="s">
        <v>24</v>
      </c>
      <c r="C6898" s="1">
        <v>0.0</v>
      </c>
      <c r="D6898" s="1" t="s">
        <v>26</v>
      </c>
      <c r="E6898" s="1" t="s">
        <v>26</v>
      </c>
      <c r="F6898" s="1">
        <v>1.0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1">
        <v>43.95</v>
      </c>
      <c r="T6898" s="1">
        <v>43.95</v>
      </c>
      <c r="U6898" s="1">
        <v>0.0</v>
      </c>
      <c r="V6898" s="1">
        <v>0.0</v>
      </c>
      <c r="W6898" s="1" t="s">
        <v>25</v>
      </c>
    </row>
    <row r="6899" ht="15.75" customHeight="1">
      <c r="A6899" s="1" t="s">
        <v>6936</v>
      </c>
      <c r="B6899" s="1" t="s">
        <v>32</v>
      </c>
      <c r="C6899" s="1">
        <v>0.0</v>
      </c>
      <c r="D6899" s="1" t="s">
        <v>26</v>
      </c>
      <c r="E6899" s="1" t="s">
        <v>26</v>
      </c>
      <c r="F6899" s="1">
        <v>62.0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1">
        <v>80.4</v>
      </c>
      <c r="T6899" s="1">
        <v>4981.15</v>
      </c>
      <c r="U6899" s="1">
        <v>0.0</v>
      </c>
      <c r="V6899" s="1">
        <v>0.0</v>
      </c>
      <c r="W6899" s="1" t="s">
        <v>26</v>
      </c>
    </row>
    <row r="6900" ht="15.75" customHeight="1">
      <c r="A6900" s="1" t="s">
        <v>6937</v>
      </c>
      <c r="B6900" s="1" t="s">
        <v>32</v>
      </c>
      <c r="C6900" s="1">
        <v>0.0</v>
      </c>
      <c r="D6900" s="1" t="s">
        <v>25</v>
      </c>
      <c r="E6900" s="1" t="s">
        <v>25</v>
      </c>
      <c r="F6900" s="1">
        <v>22.0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1">
        <v>100.05</v>
      </c>
      <c r="T6900" s="1">
        <v>2090.25</v>
      </c>
      <c r="U6900" s="1">
        <v>0.0</v>
      </c>
      <c r="V6900" s="1">
        <v>0.0</v>
      </c>
      <c r="W6900" s="1" t="s">
        <v>26</v>
      </c>
    </row>
    <row r="6901" ht="15.75" customHeight="1">
      <c r="A6901" s="1" t="s">
        <v>6938</v>
      </c>
      <c r="B6901" s="1" t="s">
        <v>32</v>
      </c>
      <c r="C6901" s="1">
        <v>0.0</v>
      </c>
      <c r="D6901" s="1" t="s">
        <v>26</v>
      </c>
      <c r="E6901" s="1" t="s">
        <v>26</v>
      </c>
      <c r="F6901" s="1">
        <v>1.0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1">
        <v>45.1</v>
      </c>
      <c r="T6901" s="1">
        <v>45.1</v>
      </c>
      <c r="U6901" s="1">
        <v>0.0</v>
      </c>
      <c r="V6901" s="1">
        <v>0.0</v>
      </c>
      <c r="W6901" s="1" t="s">
        <v>25</v>
      </c>
    </row>
    <row r="6902" ht="15.75" customHeight="1">
      <c r="A6902" s="1" t="s">
        <v>6939</v>
      </c>
      <c r="B6902" s="1" t="s">
        <v>32</v>
      </c>
      <c r="C6902" s="1">
        <v>1.0</v>
      </c>
      <c r="D6902" s="1" t="s">
        <v>26</v>
      </c>
      <c r="E6902" s="1" t="s">
        <v>26</v>
      </c>
      <c r="F6902" s="1">
        <v>51.0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1">
        <v>94.0</v>
      </c>
      <c r="T6902" s="1">
        <v>4905.75</v>
      </c>
      <c r="U6902" s="1">
        <v>0.0</v>
      </c>
      <c r="V6902" s="1">
        <v>0.0</v>
      </c>
      <c r="W6902" s="1" t="s">
        <v>26</v>
      </c>
    </row>
    <row r="6903" ht="15.75" customHeight="1">
      <c r="A6903" s="1" t="s">
        <v>6940</v>
      </c>
      <c r="B6903" s="1" t="s">
        <v>24</v>
      </c>
      <c r="C6903" s="1">
        <v>0.0</v>
      </c>
      <c r="D6903" s="1" t="s">
        <v>26</v>
      </c>
      <c r="E6903" s="1" t="s">
        <v>26</v>
      </c>
      <c r="F6903" s="1">
        <v>30.0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1">
        <v>68.95</v>
      </c>
      <c r="T6903" s="1">
        <v>2038.7</v>
      </c>
      <c r="U6903" s="1">
        <v>0.0</v>
      </c>
      <c r="V6903" s="1">
        <v>0.0</v>
      </c>
      <c r="W6903" s="1" t="s">
        <v>26</v>
      </c>
    </row>
    <row r="6904" ht="15.75" customHeight="1">
      <c r="A6904" s="1" t="s">
        <v>6941</v>
      </c>
      <c r="B6904" s="1" t="s">
        <v>24</v>
      </c>
      <c r="C6904" s="1">
        <v>1.0</v>
      </c>
      <c r="D6904" s="1" t="s">
        <v>25</v>
      </c>
      <c r="E6904" s="1" t="s">
        <v>26</v>
      </c>
      <c r="F6904" s="1">
        <v>56.0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1">
        <v>68.45</v>
      </c>
      <c r="T6904" s="1">
        <v>4014.0</v>
      </c>
      <c r="U6904" s="1">
        <v>5.0</v>
      </c>
      <c r="V6904" s="1">
        <v>0.0</v>
      </c>
      <c r="W6904" s="1" t="s">
        <v>26</v>
      </c>
    </row>
    <row r="6905" ht="15.75" customHeight="1">
      <c r="A6905" s="1" t="s">
        <v>6942</v>
      </c>
      <c r="B6905" s="1" t="s">
        <v>32</v>
      </c>
      <c r="C6905" s="1">
        <v>0.0</v>
      </c>
      <c r="D6905" s="1" t="s">
        <v>25</v>
      </c>
      <c r="E6905" s="1" t="s">
        <v>26</v>
      </c>
      <c r="F6905" s="1">
        <v>35.0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1">
        <v>69.0</v>
      </c>
      <c r="T6905" s="1">
        <v>2441.7</v>
      </c>
      <c r="U6905" s="1">
        <v>0.0</v>
      </c>
      <c r="V6905" s="1">
        <v>0.0</v>
      </c>
      <c r="W6905" s="1" t="s">
        <v>26</v>
      </c>
    </row>
    <row r="6906" ht="15.75" customHeight="1">
      <c r="A6906" s="1" t="s">
        <v>6943</v>
      </c>
      <c r="B6906" s="1" t="s">
        <v>24</v>
      </c>
      <c r="C6906" s="1">
        <v>1.0</v>
      </c>
      <c r="D6906" s="1" t="s">
        <v>26</v>
      </c>
      <c r="E6906" s="1" t="s">
        <v>26</v>
      </c>
      <c r="F6906" s="1">
        <v>64.0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1">
        <v>43.85</v>
      </c>
      <c r="T6906" s="1">
        <v>2751.0</v>
      </c>
      <c r="U6906" s="1">
        <v>0.0</v>
      </c>
      <c r="V6906" s="1">
        <v>0.0</v>
      </c>
      <c r="W6906" s="1" t="s">
        <v>26</v>
      </c>
    </row>
    <row r="6907" ht="15.75" customHeight="1">
      <c r="A6907" s="1" t="s">
        <v>6944</v>
      </c>
      <c r="B6907" s="1" t="s">
        <v>32</v>
      </c>
      <c r="C6907" s="1">
        <v>0.0</v>
      </c>
      <c r="D6907" s="1" t="s">
        <v>26</v>
      </c>
      <c r="E6907" s="1" t="s">
        <v>25</v>
      </c>
      <c r="F6907" s="1">
        <v>30.0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1">
        <v>44.5</v>
      </c>
      <c r="T6907" s="1">
        <v>1307.8</v>
      </c>
      <c r="U6907" s="1">
        <v>0.0</v>
      </c>
      <c r="V6907" s="1">
        <v>0.0</v>
      </c>
      <c r="W6907" s="1" t="s">
        <v>26</v>
      </c>
    </row>
    <row r="6908" ht="15.75" customHeight="1">
      <c r="A6908" s="1" t="s">
        <v>6945</v>
      </c>
      <c r="B6908" s="1" t="s">
        <v>24</v>
      </c>
      <c r="C6908" s="1">
        <v>0.0</v>
      </c>
      <c r="D6908" s="1" t="s">
        <v>25</v>
      </c>
      <c r="E6908" s="1" t="s">
        <v>25</v>
      </c>
      <c r="F6908" s="1">
        <v>25.0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1">
        <v>18.7</v>
      </c>
      <c r="T6908" s="1">
        <v>383.65</v>
      </c>
      <c r="U6908" s="1">
        <v>0.0</v>
      </c>
      <c r="V6908" s="1">
        <v>0.0</v>
      </c>
      <c r="W6908" s="1" t="s">
        <v>26</v>
      </c>
    </row>
    <row r="6909" ht="15.75" customHeight="1">
      <c r="A6909" s="1" t="s">
        <v>6946</v>
      </c>
      <c r="B6909" s="1" t="s">
        <v>24</v>
      </c>
      <c r="C6909" s="1">
        <v>0.0</v>
      </c>
      <c r="D6909" s="1" t="s">
        <v>26</v>
      </c>
      <c r="E6909" s="1" t="s">
        <v>26</v>
      </c>
      <c r="F6909" s="1">
        <v>41.0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1">
        <v>70.25</v>
      </c>
      <c r="T6909" s="1">
        <v>2868.05</v>
      </c>
      <c r="U6909" s="1">
        <v>0.0</v>
      </c>
      <c r="V6909" s="1">
        <v>0.0</v>
      </c>
      <c r="W6909" s="1" t="s">
        <v>25</v>
      </c>
    </row>
    <row r="6910" ht="15.75" customHeight="1">
      <c r="A6910" s="1" t="s">
        <v>6947</v>
      </c>
      <c r="B6910" s="1" t="s">
        <v>32</v>
      </c>
      <c r="C6910" s="1">
        <v>0.0</v>
      </c>
      <c r="D6910" s="1" t="s">
        <v>26</v>
      </c>
      <c r="E6910" s="1" t="s">
        <v>25</v>
      </c>
      <c r="F6910" s="1">
        <v>9.0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1">
        <v>55.35</v>
      </c>
      <c r="T6910" s="1">
        <v>449.75</v>
      </c>
      <c r="U6910" s="1">
        <v>5.0</v>
      </c>
      <c r="V6910" s="1">
        <v>0.0</v>
      </c>
      <c r="W6910" s="1" t="s">
        <v>25</v>
      </c>
    </row>
    <row r="6911" ht="15.75" customHeight="1">
      <c r="A6911" s="1" t="s">
        <v>6948</v>
      </c>
      <c r="B6911" s="1" t="s">
        <v>24</v>
      </c>
      <c r="C6911" s="1">
        <v>0.0</v>
      </c>
      <c r="D6911" s="1" t="s">
        <v>25</v>
      </c>
      <c r="E6911" s="1" t="s">
        <v>26</v>
      </c>
      <c r="F6911" s="1">
        <v>1.0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1">
        <v>53.55</v>
      </c>
      <c r="T6911" s="1">
        <v>53.55</v>
      </c>
      <c r="U6911" s="1">
        <v>0.0</v>
      </c>
      <c r="V6911" s="1">
        <v>0.0</v>
      </c>
      <c r="W6911" s="1" t="s">
        <v>26</v>
      </c>
    </row>
    <row r="6912" ht="15.75" customHeight="1">
      <c r="A6912" s="1" t="s">
        <v>6949</v>
      </c>
      <c r="B6912" s="1" t="s">
        <v>32</v>
      </c>
      <c r="C6912" s="1">
        <v>0.0</v>
      </c>
      <c r="D6912" s="1" t="s">
        <v>26</v>
      </c>
      <c r="E6912" s="1" t="s">
        <v>25</v>
      </c>
      <c r="F6912" s="1">
        <v>70.0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1">
        <v>114.6</v>
      </c>
      <c r="T6912" s="1">
        <v>7882.5</v>
      </c>
      <c r="U6912" s="1">
        <v>5.0</v>
      </c>
      <c r="V6912" s="1">
        <v>4.0</v>
      </c>
      <c r="W6912" s="1" t="s">
        <v>26</v>
      </c>
    </row>
    <row r="6913" ht="15.75" customHeight="1">
      <c r="A6913" s="1" t="s">
        <v>6950</v>
      </c>
      <c r="B6913" s="1" t="s">
        <v>24</v>
      </c>
      <c r="C6913" s="1">
        <v>0.0</v>
      </c>
      <c r="D6913" s="1" t="s">
        <v>25</v>
      </c>
      <c r="E6913" s="1" t="s">
        <v>25</v>
      </c>
      <c r="F6913" s="1">
        <v>57.0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1">
        <v>20.1</v>
      </c>
      <c r="T6913" s="1">
        <v>1087.7</v>
      </c>
      <c r="U6913" s="1">
        <v>0.0</v>
      </c>
      <c r="V6913" s="1">
        <v>3.0</v>
      </c>
      <c r="W6913" s="1" t="s">
        <v>26</v>
      </c>
    </row>
    <row r="6914" ht="15.75" customHeight="1">
      <c r="A6914" s="1" t="s">
        <v>6951</v>
      </c>
      <c r="B6914" s="1" t="s">
        <v>32</v>
      </c>
      <c r="C6914" s="1">
        <v>0.0</v>
      </c>
      <c r="D6914" s="1" t="s">
        <v>26</v>
      </c>
      <c r="E6914" s="1" t="s">
        <v>26</v>
      </c>
      <c r="F6914" s="1">
        <v>9.0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1">
        <v>85.5</v>
      </c>
      <c r="T6914" s="1">
        <v>791.7</v>
      </c>
      <c r="U6914" s="1">
        <v>0.0</v>
      </c>
      <c r="V6914" s="1">
        <v>0.0</v>
      </c>
      <c r="W6914" s="1" t="s">
        <v>26</v>
      </c>
    </row>
    <row r="6915" ht="15.75" customHeight="1">
      <c r="A6915" s="1" t="s">
        <v>6952</v>
      </c>
      <c r="B6915" s="1" t="s">
        <v>24</v>
      </c>
      <c r="C6915" s="1">
        <v>0.0</v>
      </c>
      <c r="D6915" s="1" t="s">
        <v>25</v>
      </c>
      <c r="E6915" s="1" t="s">
        <v>25</v>
      </c>
      <c r="F6915" s="1">
        <v>69.0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1">
        <v>108.75</v>
      </c>
      <c r="T6915" s="1">
        <v>7493.05</v>
      </c>
      <c r="U6915" s="1">
        <v>0.0</v>
      </c>
      <c r="V6915" s="1">
        <v>0.0</v>
      </c>
      <c r="W6915" s="1" t="s">
        <v>26</v>
      </c>
    </row>
    <row r="6916" ht="15.75" customHeight="1">
      <c r="A6916" s="1" t="s">
        <v>6953</v>
      </c>
      <c r="B6916" s="1" t="s">
        <v>32</v>
      </c>
      <c r="C6916" s="1">
        <v>1.0</v>
      </c>
      <c r="D6916" s="1" t="s">
        <v>25</v>
      </c>
      <c r="E6916" s="1" t="s">
        <v>26</v>
      </c>
      <c r="F6916" s="1">
        <v>43.0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1">
        <v>103.0</v>
      </c>
      <c r="T6916" s="1">
        <v>4414.3</v>
      </c>
      <c r="U6916" s="1">
        <v>0.0</v>
      </c>
      <c r="V6916" s="1">
        <v>4.0</v>
      </c>
      <c r="W6916" s="1" t="s">
        <v>25</v>
      </c>
    </row>
    <row r="6917" ht="15.75" customHeight="1">
      <c r="A6917" s="1" t="s">
        <v>6954</v>
      </c>
      <c r="B6917" s="1" t="s">
        <v>24</v>
      </c>
      <c r="C6917" s="1">
        <v>0.0</v>
      </c>
      <c r="D6917" s="1" t="s">
        <v>25</v>
      </c>
      <c r="E6917" s="1" t="s">
        <v>26</v>
      </c>
      <c r="F6917" s="1">
        <v>72.0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1">
        <v>97.85</v>
      </c>
      <c r="T6917" s="1">
        <v>6841.3</v>
      </c>
      <c r="U6917" s="1">
        <v>0.0</v>
      </c>
      <c r="V6917" s="1">
        <v>0.0</v>
      </c>
      <c r="W6917" s="1" t="s">
        <v>26</v>
      </c>
    </row>
    <row r="6918" ht="15.75" customHeight="1">
      <c r="A6918" s="1" t="s">
        <v>6955</v>
      </c>
      <c r="B6918" s="1" t="s">
        <v>32</v>
      </c>
      <c r="C6918" s="1">
        <v>0.0</v>
      </c>
      <c r="D6918" s="1" t="s">
        <v>26</v>
      </c>
      <c r="E6918" s="1" t="s">
        <v>25</v>
      </c>
      <c r="F6918" s="1">
        <v>44.0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1">
        <v>19.55</v>
      </c>
      <c r="T6918" s="1">
        <v>819.95</v>
      </c>
      <c r="U6918" s="1">
        <v>0.0</v>
      </c>
      <c r="V6918" s="1">
        <v>0.0</v>
      </c>
      <c r="W6918" s="1" t="s">
        <v>26</v>
      </c>
    </row>
    <row r="6919" ht="15.75" customHeight="1">
      <c r="A6919" s="1" t="s">
        <v>6956</v>
      </c>
      <c r="B6919" s="1" t="s">
        <v>24</v>
      </c>
      <c r="C6919" s="1">
        <v>0.0</v>
      </c>
      <c r="D6919" s="1" t="s">
        <v>25</v>
      </c>
      <c r="E6919" s="1" t="s">
        <v>26</v>
      </c>
      <c r="F6919" s="1">
        <v>72.0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1">
        <v>84.05</v>
      </c>
      <c r="T6919" s="1">
        <v>6052.25</v>
      </c>
      <c r="U6919" s="1">
        <v>0.0</v>
      </c>
      <c r="V6919" s="1">
        <v>0.0</v>
      </c>
      <c r="W6919" s="1" t="s">
        <v>26</v>
      </c>
    </row>
    <row r="6920" ht="15.75" customHeight="1">
      <c r="A6920" s="1" t="s">
        <v>6957</v>
      </c>
      <c r="B6920" s="1" t="s">
        <v>24</v>
      </c>
      <c r="C6920" s="1">
        <v>0.0</v>
      </c>
      <c r="D6920" s="1" t="s">
        <v>25</v>
      </c>
      <c r="E6920" s="1" t="s">
        <v>26</v>
      </c>
      <c r="F6920" s="1">
        <v>33.0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1">
        <v>103.75</v>
      </c>
      <c r="T6920" s="1">
        <v>3361.05</v>
      </c>
      <c r="U6920" s="1">
        <v>0.0</v>
      </c>
      <c r="V6920" s="1">
        <v>3.0</v>
      </c>
      <c r="W6920" s="1" t="s">
        <v>25</v>
      </c>
    </row>
    <row r="6921" ht="15.75" customHeight="1">
      <c r="A6921" s="1" t="s">
        <v>6958</v>
      </c>
      <c r="B6921" s="1" t="s">
        <v>32</v>
      </c>
      <c r="C6921" s="1">
        <v>0.0</v>
      </c>
      <c r="D6921" s="1" t="s">
        <v>26</v>
      </c>
      <c r="E6921" s="1" t="s">
        <v>26</v>
      </c>
      <c r="F6921" s="1">
        <v>54.0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1">
        <v>89.4</v>
      </c>
      <c r="T6921" s="1">
        <v>4869.5</v>
      </c>
      <c r="U6921" s="1">
        <v>0.0</v>
      </c>
      <c r="V6921" s="1">
        <v>0.0</v>
      </c>
      <c r="W6921" s="1" t="s">
        <v>26</v>
      </c>
    </row>
    <row r="6922" ht="15.75" customHeight="1">
      <c r="A6922" s="1" t="s">
        <v>6959</v>
      </c>
      <c r="B6922" s="1" t="s">
        <v>32</v>
      </c>
      <c r="C6922" s="1">
        <v>0.0</v>
      </c>
      <c r="D6922" s="1" t="s">
        <v>26</v>
      </c>
      <c r="E6922" s="1" t="s">
        <v>25</v>
      </c>
      <c r="F6922" s="1">
        <v>27.0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1">
        <v>19.7</v>
      </c>
      <c r="T6922" s="1">
        <v>509.3</v>
      </c>
      <c r="U6922" s="1">
        <v>0.0</v>
      </c>
      <c r="V6922" s="1">
        <v>0.0</v>
      </c>
      <c r="W6922" s="1" t="s">
        <v>26</v>
      </c>
    </row>
    <row r="6923" ht="15.75" customHeight="1">
      <c r="A6923" s="1" t="s">
        <v>6960</v>
      </c>
      <c r="B6923" s="1" t="s">
        <v>32</v>
      </c>
      <c r="C6923" s="1">
        <v>0.0</v>
      </c>
      <c r="D6923" s="1" t="s">
        <v>26</v>
      </c>
      <c r="E6923" s="1" t="s">
        <v>26</v>
      </c>
      <c r="F6923" s="1">
        <v>54.0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1">
        <v>79.85</v>
      </c>
      <c r="T6923" s="1">
        <v>4308.25</v>
      </c>
      <c r="U6923" s="1">
        <v>0.0</v>
      </c>
      <c r="V6923" s="1">
        <v>0.0</v>
      </c>
      <c r="W6923" s="1" t="s">
        <v>26</v>
      </c>
    </row>
    <row r="6924" ht="15.75" customHeight="1">
      <c r="A6924" s="1" t="s">
        <v>6961</v>
      </c>
      <c r="B6924" s="1" t="s">
        <v>32</v>
      </c>
      <c r="C6924" s="1">
        <v>0.0</v>
      </c>
      <c r="D6924" s="1" t="s">
        <v>26</v>
      </c>
      <c r="E6924" s="1" t="s">
        <v>26</v>
      </c>
      <c r="F6924" s="1">
        <v>3.0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1">
        <v>74.45</v>
      </c>
      <c r="T6924" s="1">
        <v>221.1</v>
      </c>
      <c r="U6924" s="1">
        <v>0.0</v>
      </c>
      <c r="V6924" s="1">
        <v>0.0</v>
      </c>
      <c r="W6924" s="1" t="s">
        <v>26</v>
      </c>
    </row>
    <row r="6925" ht="15.75" customHeight="1">
      <c r="A6925" s="1" t="s">
        <v>6962</v>
      </c>
      <c r="B6925" s="1" t="s">
        <v>24</v>
      </c>
      <c r="C6925" s="1">
        <v>0.0</v>
      </c>
      <c r="D6925" s="1" t="s">
        <v>25</v>
      </c>
      <c r="E6925" s="1" t="s">
        <v>26</v>
      </c>
      <c r="F6925" s="1">
        <v>53.0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1">
        <v>74.1</v>
      </c>
      <c r="T6925" s="1">
        <v>3833.95</v>
      </c>
      <c r="U6925" s="1">
        <v>0.0</v>
      </c>
      <c r="V6925" s="1">
        <v>0.0</v>
      </c>
      <c r="W6925" s="1" t="s">
        <v>26</v>
      </c>
    </row>
    <row r="6926" ht="15.75" customHeight="1">
      <c r="A6926" s="1" t="s">
        <v>6963</v>
      </c>
      <c r="B6926" s="1" t="s">
        <v>32</v>
      </c>
      <c r="C6926" s="1">
        <v>0.0</v>
      </c>
      <c r="D6926" s="1" t="s">
        <v>26</v>
      </c>
      <c r="E6926" s="1" t="s">
        <v>26</v>
      </c>
      <c r="F6926" s="1">
        <v>1.0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1">
        <v>69.35</v>
      </c>
      <c r="T6926" s="1">
        <v>69.35</v>
      </c>
      <c r="U6926" s="1">
        <v>0.0</v>
      </c>
      <c r="V6926" s="1">
        <v>0.0</v>
      </c>
      <c r="W6926" s="1" t="s">
        <v>25</v>
      </c>
    </row>
    <row r="6927" ht="15.75" customHeight="1">
      <c r="A6927" s="1" t="s">
        <v>6964</v>
      </c>
      <c r="B6927" s="1" t="s">
        <v>32</v>
      </c>
      <c r="C6927" s="1">
        <v>0.0</v>
      </c>
      <c r="D6927" s="1" t="s">
        <v>25</v>
      </c>
      <c r="E6927" s="1" t="s">
        <v>26</v>
      </c>
      <c r="F6927" s="1">
        <v>15.0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1">
        <v>18.8</v>
      </c>
      <c r="T6927" s="1">
        <v>294.95</v>
      </c>
      <c r="U6927" s="1">
        <v>4.0</v>
      </c>
      <c r="V6927" s="1">
        <v>0.0</v>
      </c>
      <c r="W6927" s="1" t="s">
        <v>26</v>
      </c>
    </row>
    <row r="6928" ht="15.75" customHeight="1">
      <c r="A6928" s="1" t="s">
        <v>6965</v>
      </c>
      <c r="B6928" s="1" t="s">
        <v>24</v>
      </c>
      <c r="C6928" s="1">
        <v>0.0</v>
      </c>
      <c r="D6928" s="1" t="s">
        <v>26</v>
      </c>
      <c r="E6928" s="1" t="s">
        <v>26</v>
      </c>
      <c r="F6928" s="1">
        <v>56.0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1">
        <v>73.85</v>
      </c>
      <c r="T6928" s="1">
        <v>4092.85</v>
      </c>
      <c r="U6928" s="1">
        <v>0.0</v>
      </c>
      <c r="V6928" s="1">
        <v>0.0</v>
      </c>
      <c r="W6928" s="1" t="s">
        <v>25</v>
      </c>
    </row>
    <row r="6929" ht="15.75" customHeight="1">
      <c r="A6929" s="1" t="s">
        <v>6966</v>
      </c>
      <c r="B6929" s="1" t="s">
        <v>32</v>
      </c>
      <c r="C6929" s="1">
        <v>0.0</v>
      </c>
      <c r="D6929" s="1" t="s">
        <v>25</v>
      </c>
      <c r="E6929" s="1" t="s">
        <v>25</v>
      </c>
      <c r="F6929" s="1">
        <v>5.0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1">
        <v>64.4</v>
      </c>
      <c r="T6929" s="1">
        <v>316.9</v>
      </c>
      <c r="U6929" s="1">
        <v>0.0</v>
      </c>
      <c r="V6929" s="1">
        <v>0.0</v>
      </c>
      <c r="W6929" s="1" t="s">
        <v>26</v>
      </c>
    </row>
    <row r="6930" ht="15.75" customHeight="1">
      <c r="A6930" s="1" t="s">
        <v>6967</v>
      </c>
      <c r="B6930" s="1" t="s">
        <v>32</v>
      </c>
      <c r="C6930" s="1">
        <v>0.0</v>
      </c>
      <c r="D6930" s="1" t="s">
        <v>25</v>
      </c>
      <c r="E6930" s="1" t="s">
        <v>25</v>
      </c>
      <c r="F6930" s="1">
        <v>48.0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1">
        <v>55.8</v>
      </c>
      <c r="T6930" s="1">
        <v>2651.2</v>
      </c>
      <c r="U6930" s="1">
        <v>0.0</v>
      </c>
      <c r="V6930" s="1">
        <v>0.0</v>
      </c>
      <c r="W6930" s="1" t="s">
        <v>26</v>
      </c>
    </row>
    <row r="6931" ht="15.75" customHeight="1">
      <c r="A6931" s="1" t="s">
        <v>6968</v>
      </c>
      <c r="B6931" s="1" t="s">
        <v>24</v>
      </c>
      <c r="C6931" s="1">
        <v>0.0</v>
      </c>
      <c r="D6931" s="1" t="s">
        <v>26</v>
      </c>
      <c r="E6931" s="1" t="s">
        <v>25</v>
      </c>
      <c r="F6931" s="1">
        <v>25.0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1">
        <v>20.05</v>
      </c>
      <c r="T6931" s="1">
        <v>471.7</v>
      </c>
      <c r="U6931" s="1">
        <v>0.0</v>
      </c>
      <c r="V6931" s="1">
        <v>2.0</v>
      </c>
      <c r="W6931" s="1" t="s">
        <v>26</v>
      </c>
    </row>
    <row r="6932" ht="15.75" customHeight="1">
      <c r="A6932" s="1" t="s">
        <v>6969</v>
      </c>
      <c r="B6932" s="1" t="s">
        <v>24</v>
      </c>
      <c r="C6932" s="1">
        <v>0.0</v>
      </c>
      <c r="D6932" s="1" t="s">
        <v>25</v>
      </c>
      <c r="E6932" s="1" t="s">
        <v>26</v>
      </c>
      <c r="F6932" s="1">
        <v>3.0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1">
        <v>75.15</v>
      </c>
      <c r="T6932" s="1">
        <v>216.75</v>
      </c>
      <c r="U6932" s="1">
        <v>5.0</v>
      </c>
      <c r="V6932" s="1">
        <v>0.0</v>
      </c>
      <c r="W6932" s="1" t="s">
        <v>25</v>
      </c>
    </row>
    <row r="6933" ht="15.75" customHeight="1">
      <c r="A6933" s="1" t="s">
        <v>6970</v>
      </c>
      <c r="B6933" s="1" t="s">
        <v>32</v>
      </c>
      <c r="C6933" s="1">
        <v>0.0</v>
      </c>
      <c r="D6933" s="1" t="s">
        <v>26</v>
      </c>
      <c r="E6933" s="1" t="s">
        <v>26</v>
      </c>
      <c r="F6933" s="1">
        <v>58.0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1">
        <v>99.15</v>
      </c>
      <c r="T6933" s="1">
        <v>5720.95</v>
      </c>
      <c r="U6933" s="1">
        <v>0.0</v>
      </c>
      <c r="V6933" s="1">
        <v>0.0</v>
      </c>
      <c r="W6933" s="1" t="s">
        <v>26</v>
      </c>
    </row>
    <row r="6934" ht="15.75" customHeight="1">
      <c r="A6934" s="1" t="s">
        <v>6971</v>
      </c>
      <c r="B6934" s="1" t="s">
        <v>32</v>
      </c>
      <c r="C6934" s="1">
        <v>0.0</v>
      </c>
      <c r="D6934" s="1" t="s">
        <v>26</v>
      </c>
      <c r="E6934" s="1" t="s">
        <v>26</v>
      </c>
      <c r="F6934" s="1">
        <v>10.0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1">
        <v>56.75</v>
      </c>
      <c r="T6934" s="1">
        <v>503.25</v>
      </c>
      <c r="U6934" s="1">
        <v>0.0</v>
      </c>
      <c r="V6934" s="1">
        <v>0.0</v>
      </c>
      <c r="W6934" s="1" t="s">
        <v>26</v>
      </c>
    </row>
    <row r="6935" ht="15.75" customHeight="1">
      <c r="A6935" s="1" t="s">
        <v>6972</v>
      </c>
      <c r="B6935" s="1" t="s">
        <v>32</v>
      </c>
      <c r="C6935" s="1">
        <v>0.0</v>
      </c>
      <c r="D6935" s="1" t="s">
        <v>26</v>
      </c>
      <c r="E6935" s="1" t="s">
        <v>26</v>
      </c>
      <c r="F6935" s="1">
        <v>1.0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1">
        <v>69.6</v>
      </c>
      <c r="T6935" s="1">
        <v>69.6</v>
      </c>
      <c r="U6935" s="1">
        <v>0.0</v>
      </c>
      <c r="V6935" s="1">
        <v>0.0</v>
      </c>
      <c r="W6935" s="1" t="s">
        <v>25</v>
      </c>
    </row>
    <row r="6936" ht="15.75" customHeight="1">
      <c r="A6936" s="1" t="s">
        <v>6973</v>
      </c>
      <c r="B6936" s="1" t="s">
        <v>32</v>
      </c>
      <c r="C6936" s="1">
        <v>0.0</v>
      </c>
      <c r="D6936" s="1" t="s">
        <v>25</v>
      </c>
      <c r="E6936" s="1" t="s">
        <v>26</v>
      </c>
      <c r="F6936" s="1">
        <v>71.0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1">
        <v>104.15</v>
      </c>
      <c r="T6936" s="1">
        <v>7365.3</v>
      </c>
      <c r="U6936" s="1">
        <v>0.0</v>
      </c>
      <c r="V6936" s="1">
        <v>0.0</v>
      </c>
      <c r="W6936" s="1" t="s">
        <v>26</v>
      </c>
    </row>
    <row r="6937" ht="15.75" customHeight="1">
      <c r="A6937" s="1" t="s">
        <v>6974</v>
      </c>
      <c r="B6937" s="1" t="s">
        <v>24</v>
      </c>
      <c r="C6937" s="1">
        <v>0.0</v>
      </c>
      <c r="D6937" s="1" t="s">
        <v>25</v>
      </c>
      <c r="E6937" s="1" t="s">
        <v>25</v>
      </c>
      <c r="F6937" s="1">
        <v>65.0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1">
        <v>110.8</v>
      </c>
      <c r="T6937" s="1">
        <v>7245.9</v>
      </c>
      <c r="U6937" s="1">
        <v>0.0</v>
      </c>
      <c r="V6937" s="1">
        <v>0.0</v>
      </c>
      <c r="W6937" s="1" t="s">
        <v>26</v>
      </c>
    </row>
    <row r="6938" ht="15.75" customHeight="1">
      <c r="A6938" s="1" t="s">
        <v>6975</v>
      </c>
      <c r="B6938" s="1" t="s">
        <v>32</v>
      </c>
      <c r="C6938" s="1">
        <v>0.0</v>
      </c>
      <c r="D6938" s="1" t="s">
        <v>25</v>
      </c>
      <c r="E6938" s="1" t="s">
        <v>25</v>
      </c>
      <c r="F6938" s="1">
        <v>5.0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1">
        <v>80.15</v>
      </c>
      <c r="T6938" s="1">
        <v>385.0</v>
      </c>
      <c r="U6938" s="1">
        <v>0.0</v>
      </c>
      <c r="V6938" s="1">
        <v>0.0</v>
      </c>
      <c r="W6938" s="1" t="s">
        <v>25</v>
      </c>
    </row>
    <row r="6939" ht="15.75" customHeight="1">
      <c r="A6939" s="1" t="s">
        <v>6976</v>
      </c>
      <c r="B6939" s="1" t="s">
        <v>24</v>
      </c>
      <c r="C6939" s="1">
        <v>0.0</v>
      </c>
      <c r="D6939" s="1" t="s">
        <v>26</v>
      </c>
      <c r="E6939" s="1" t="s">
        <v>26</v>
      </c>
      <c r="F6939" s="1">
        <v>28.0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1">
        <v>35.75</v>
      </c>
      <c r="T6939" s="1">
        <v>961.4</v>
      </c>
      <c r="U6939" s="1">
        <v>0.0</v>
      </c>
      <c r="V6939" s="1">
        <v>0.0</v>
      </c>
      <c r="W6939" s="1" t="s">
        <v>26</v>
      </c>
    </row>
    <row r="6940" ht="15.75" customHeight="1">
      <c r="A6940" s="1" t="s">
        <v>6977</v>
      </c>
      <c r="B6940" s="1" t="s">
        <v>24</v>
      </c>
      <c r="C6940" s="1">
        <v>0.0</v>
      </c>
      <c r="D6940" s="1" t="s">
        <v>25</v>
      </c>
      <c r="E6940" s="1" t="s">
        <v>25</v>
      </c>
      <c r="F6940" s="1">
        <v>67.0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1">
        <v>69.9</v>
      </c>
      <c r="T6940" s="1">
        <v>4615.9</v>
      </c>
      <c r="U6940" s="1">
        <v>0.0</v>
      </c>
      <c r="V6940" s="1">
        <v>1.0</v>
      </c>
      <c r="W6940" s="1" t="s">
        <v>26</v>
      </c>
    </row>
    <row r="6941" ht="15.75" customHeight="1">
      <c r="A6941" s="1" t="s">
        <v>6978</v>
      </c>
      <c r="B6941" s="1" t="s">
        <v>32</v>
      </c>
      <c r="C6941" s="1">
        <v>0.0</v>
      </c>
      <c r="D6941" s="1" t="s">
        <v>26</v>
      </c>
      <c r="E6941" s="1" t="s">
        <v>26</v>
      </c>
      <c r="F6941" s="1">
        <v>35.0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1">
        <v>89.2</v>
      </c>
      <c r="T6941" s="1">
        <v>3251.3</v>
      </c>
      <c r="U6941" s="1">
        <v>0.0</v>
      </c>
      <c r="V6941" s="1">
        <v>0.0</v>
      </c>
      <c r="W6941" s="1" t="s">
        <v>26</v>
      </c>
    </row>
    <row r="6942" ht="15.75" customHeight="1">
      <c r="A6942" s="1" t="s">
        <v>6979</v>
      </c>
      <c r="B6942" s="1" t="s">
        <v>24</v>
      </c>
      <c r="C6942" s="1">
        <v>0.0</v>
      </c>
      <c r="D6942" s="1" t="s">
        <v>25</v>
      </c>
      <c r="E6942" s="1" t="s">
        <v>25</v>
      </c>
      <c r="F6942" s="1">
        <v>72.0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1">
        <v>55.65</v>
      </c>
      <c r="T6942" s="1">
        <v>3880.05</v>
      </c>
      <c r="U6942" s="1">
        <v>0.0</v>
      </c>
      <c r="V6942" s="1">
        <v>2.0</v>
      </c>
      <c r="W6942" s="1" t="s">
        <v>26</v>
      </c>
    </row>
    <row r="6943" ht="15.75" customHeight="1">
      <c r="A6943" s="1" t="s">
        <v>6980</v>
      </c>
      <c r="B6943" s="1" t="s">
        <v>24</v>
      </c>
      <c r="C6943" s="1">
        <v>0.0</v>
      </c>
      <c r="D6943" s="1" t="s">
        <v>25</v>
      </c>
      <c r="E6943" s="1" t="s">
        <v>25</v>
      </c>
      <c r="F6943" s="1">
        <v>61.0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1">
        <v>50.7</v>
      </c>
      <c r="T6943" s="1">
        <v>3088.75</v>
      </c>
      <c r="U6943" s="1">
        <v>0.0</v>
      </c>
      <c r="V6943" s="1">
        <v>0.0</v>
      </c>
      <c r="W6943" s="1" t="s">
        <v>26</v>
      </c>
    </row>
    <row r="6944" ht="15.75" customHeight="1">
      <c r="A6944" s="1" t="s">
        <v>6981</v>
      </c>
      <c r="B6944" s="1" t="s">
        <v>32</v>
      </c>
      <c r="C6944" s="1">
        <v>1.0</v>
      </c>
      <c r="D6944" s="1" t="s">
        <v>26</v>
      </c>
      <c r="E6944" s="1" t="s">
        <v>26</v>
      </c>
      <c r="F6944" s="1">
        <v>68.0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1">
        <v>20.0</v>
      </c>
      <c r="T6944" s="1">
        <v>1396.0</v>
      </c>
      <c r="U6944" s="1">
        <v>0.0</v>
      </c>
      <c r="V6944" s="1">
        <v>0.0</v>
      </c>
      <c r="W6944" s="1" t="s">
        <v>26</v>
      </c>
    </row>
    <row r="6945" ht="15.75" customHeight="1">
      <c r="A6945" s="1" t="s">
        <v>6982</v>
      </c>
      <c r="B6945" s="1" t="s">
        <v>24</v>
      </c>
      <c r="C6945" s="1">
        <v>0.0</v>
      </c>
      <c r="D6945" s="1" t="s">
        <v>25</v>
      </c>
      <c r="E6945" s="1" t="s">
        <v>25</v>
      </c>
      <c r="F6945" s="1">
        <v>1.0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1">
        <v>30.5</v>
      </c>
      <c r="T6945" s="1">
        <v>30.5</v>
      </c>
      <c r="U6945" s="1">
        <v>0.0</v>
      </c>
      <c r="V6945" s="1">
        <v>0.0</v>
      </c>
      <c r="W6945" s="1" t="s">
        <v>25</v>
      </c>
    </row>
    <row r="6946" ht="15.75" customHeight="1">
      <c r="A6946" s="1" t="s">
        <v>6983</v>
      </c>
      <c r="B6946" s="1" t="s">
        <v>32</v>
      </c>
      <c r="C6946" s="1">
        <v>0.0</v>
      </c>
      <c r="D6946" s="1" t="s">
        <v>26</v>
      </c>
      <c r="E6946" s="1" t="s">
        <v>26</v>
      </c>
      <c r="F6946" s="1">
        <v>3.0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1">
        <v>19.1</v>
      </c>
      <c r="T6946" s="1">
        <v>53.05</v>
      </c>
      <c r="U6946" s="1">
        <v>2.0</v>
      </c>
      <c r="V6946" s="1">
        <v>0.0</v>
      </c>
      <c r="W6946" s="1" t="s">
        <v>26</v>
      </c>
    </row>
    <row r="6947" ht="15.75" customHeight="1">
      <c r="A6947" s="1" t="s">
        <v>6984</v>
      </c>
      <c r="B6947" s="1" t="s">
        <v>32</v>
      </c>
      <c r="C6947" s="1">
        <v>0.0</v>
      </c>
      <c r="D6947" s="1" t="s">
        <v>25</v>
      </c>
      <c r="E6947" s="1" t="s">
        <v>25</v>
      </c>
      <c r="F6947" s="1">
        <v>70.0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1">
        <v>98.3</v>
      </c>
      <c r="T6947" s="1">
        <v>6859.5</v>
      </c>
      <c r="U6947" s="1">
        <v>0.0</v>
      </c>
      <c r="V6947" s="1">
        <v>6.0</v>
      </c>
      <c r="W6947" s="1" t="s">
        <v>25</v>
      </c>
    </row>
    <row r="6948" ht="15.75" customHeight="1">
      <c r="A6948" s="1" t="s">
        <v>6985</v>
      </c>
      <c r="B6948" s="1" t="s">
        <v>24</v>
      </c>
      <c r="C6948" s="1">
        <v>0.0</v>
      </c>
      <c r="D6948" s="1" t="s">
        <v>26</v>
      </c>
      <c r="E6948" s="1" t="s">
        <v>25</v>
      </c>
      <c r="F6948" s="1">
        <v>48.0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1">
        <v>45.55</v>
      </c>
      <c r="T6948" s="1">
        <v>2108.35</v>
      </c>
      <c r="U6948" s="1">
        <v>0.0</v>
      </c>
      <c r="V6948" s="1">
        <v>0.0</v>
      </c>
      <c r="W6948" s="1" t="s">
        <v>26</v>
      </c>
    </row>
    <row r="6949" ht="15.75" customHeight="1">
      <c r="A6949" s="1" t="s">
        <v>6986</v>
      </c>
      <c r="B6949" s="1" t="s">
        <v>32</v>
      </c>
      <c r="C6949" s="1">
        <v>0.0</v>
      </c>
      <c r="D6949" s="1" t="s">
        <v>25</v>
      </c>
      <c r="E6949" s="1" t="s">
        <v>25</v>
      </c>
      <c r="F6949" s="1">
        <v>68.0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1">
        <v>101.05</v>
      </c>
      <c r="T6949" s="1">
        <v>6770.5</v>
      </c>
      <c r="U6949" s="1">
        <v>0.0</v>
      </c>
      <c r="V6949" s="1">
        <v>0.0</v>
      </c>
      <c r="W6949" s="1" t="s">
        <v>26</v>
      </c>
    </row>
    <row r="6950" ht="15.75" customHeight="1">
      <c r="A6950" s="1" t="s">
        <v>6987</v>
      </c>
      <c r="B6950" s="1" t="s">
        <v>24</v>
      </c>
      <c r="C6950" s="1">
        <v>0.0</v>
      </c>
      <c r="D6950" s="1" t="s">
        <v>26</v>
      </c>
      <c r="E6950" s="1" t="s">
        <v>26</v>
      </c>
      <c r="F6950" s="1">
        <v>47.0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1">
        <v>103.7</v>
      </c>
      <c r="T6950" s="1">
        <v>4730.6</v>
      </c>
      <c r="U6950" s="1">
        <v>0.0</v>
      </c>
      <c r="V6950" s="1">
        <v>4.0</v>
      </c>
      <c r="W6950" s="1" t="s">
        <v>26</v>
      </c>
    </row>
    <row r="6951" ht="15.75" customHeight="1">
      <c r="A6951" s="1" t="s">
        <v>6988</v>
      </c>
      <c r="B6951" s="1" t="s">
        <v>32</v>
      </c>
      <c r="C6951" s="1">
        <v>0.0</v>
      </c>
      <c r="D6951" s="1" t="s">
        <v>25</v>
      </c>
      <c r="E6951" s="1" t="s">
        <v>25</v>
      </c>
      <c r="F6951" s="1">
        <v>32.0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1">
        <v>36.25</v>
      </c>
      <c r="T6951" s="1">
        <v>1151.05</v>
      </c>
      <c r="U6951" s="1">
        <v>0.0</v>
      </c>
      <c r="V6951" s="1">
        <v>0.0</v>
      </c>
      <c r="W6951" s="1" t="s">
        <v>26</v>
      </c>
    </row>
    <row r="6952" ht="15.75" customHeight="1">
      <c r="A6952" s="1" t="s">
        <v>6989</v>
      </c>
      <c r="B6952" s="1" t="s">
        <v>24</v>
      </c>
      <c r="C6952" s="1">
        <v>0.0</v>
      </c>
      <c r="D6952" s="1" t="s">
        <v>25</v>
      </c>
      <c r="E6952" s="1" t="s">
        <v>25</v>
      </c>
      <c r="F6952" s="1">
        <v>5.0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1">
        <v>49.4</v>
      </c>
      <c r="T6952" s="1">
        <v>232.55</v>
      </c>
      <c r="U6952" s="1">
        <v>0.0</v>
      </c>
      <c r="V6952" s="1">
        <v>0.0</v>
      </c>
      <c r="W6952" s="1" t="s">
        <v>26</v>
      </c>
    </row>
    <row r="6953" ht="15.75" customHeight="1">
      <c r="A6953" s="1" t="s">
        <v>6990</v>
      </c>
      <c r="B6953" s="1" t="s">
        <v>32</v>
      </c>
      <c r="C6953" s="1">
        <v>0.0</v>
      </c>
      <c r="D6953" s="1" t="s">
        <v>26</v>
      </c>
      <c r="E6953" s="1" t="s">
        <v>26</v>
      </c>
      <c r="F6953" s="1">
        <v>49.0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1">
        <v>19.9</v>
      </c>
      <c r="T6953" s="1">
        <v>1022.6</v>
      </c>
      <c r="U6953" s="1">
        <v>0.0</v>
      </c>
      <c r="V6953" s="1">
        <v>0.0</v>
      </c>
      <c r="W6953" s="1" t="s">
        <v>26</v>
      </c>
    </row>
    <row r="6954" ht="15.75" customHeight="1">
      <c r="A6954" s="1" t="s">
        <v>6991</v>
      </c>
      <c r="B6954" s="1" t="s">
        <v>24</v>
      </c>
      <c r="C6954" s="1">
        <v>0.0</v>
      </c>
      <c r="D6954" s="1" t="s">
        <v>26</v>
      </c>
      <c r="E6954" s="1" t="s">
        <v>26</v>
      </c>
      <c r="F6954" s="1">
        <v>48.0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1">
        <v>107.4</v>
      </c>
      <c r="T6954" s="1">
        <v>5121.3</v>
      </c>
      <c r="U6954" s="1">
        <v>0.0</v>
      </c>
      <c r="V6954" s="1">
        <v>5.0</v>
      </c>
      <c r="W6954" s="1" t="s">
        <v>25</v>
      </c>
    </row>
    <row r="6955" ht="15.75" customHeight="1">
      <c r="A6955" s="1" t="s">
        <v>6992</v>
      </c>
      <c r="B6955" s="1" t="s">
        <v>24</v>
      </c>
      <c r="C6955" s="1">
        <v>1.0</v>
      </c>
      <c r="D6955" s="1" t="s">
        <v>26</v>
      </c>
      <c r="E6955" s="1" t="s">
        <v>26</v>
      </c>
      <c r="F6955" s="1">
        <v>13.0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1">
        <v>82.0</v>
      </c>
      <c r="T6955" s="1">
        <v>1127.2</v>
      </c>
      <c r="U6955" s="1">
        <v>0.0</v>
      </c>
      <c r="V6955" s="1">
        <v>0.0</v>
      </c>
      <c r="W6955" s="1" t="s">
        <v>25</v>
      </c>
    </row>
    <row r="6956" ht="15.75" customHeight="1">
      <c r="A6956" s="1" t="s">
        <v>6993</v>
      </c>
      <c r="B6956" s="1" t="s">
        <v>32</v>
      </c>
      <c r="C6956" s="1">
        <v>0.0</v>
      </c>
      <c r="D6956" s="1" t="s">
        <v>26</v>
      </c>
      <c r="E6956" s="1" t="s">
        <v>26</v>
      </c>
      <c r="F6956" s="1">
        <v>15.0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1">
        <v>19.8</v>
      </c>
      <c r="T6956" s="1">
        <v>309.4</v>
      </c>
      <c r="U6956" s="1">
        <v>2.0</v>
      </c>
      <c r="V6956" s="1">
        <v>0.0</v>
      </c>
      <c r="W6956" s="1" t="s">
        <v>26</v>
      </c>
    </row>
    <row r="6957" ht="15.75" customHeight="1">
      <c r="A6957" s="1" t="s">
        <v>6994</v>
      </c>
      <c r="B6957" s="1" t="s">
        <v>24</v>
      </c>
      <c r="C6957" s="1">
        <v>0.0</v>
      </c>
      <c r="D6957" s="1" t="s">
        <v>26</v>
      </c>
      <c r="E6957" s="1" t="s">
        <v>26</v>
      </c>
      <c r="F6957" s="1">
        <v>12.0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1">
        <v>45.05</v>
      </c>
      <c r="T6957" s="1">
        <v>523.1</v>
      </c>
      <c r="U6957" s="1">
        <v>0.0</v>
      </c>
      <c r="V6957" s="1">
        <v>0.0</v>
      </c>
      <c r="W6957" s="1" t="s">
        <v>26</v>
      </c>
    </row>
    <row r="6958" ht="15.75" customHeight="1">
      <c r="A6958" s="1" t="s">
        <v>6995</v>
      </c>
      <c r="B6958" s="1" t="s">
        <v>32</v>
      </c>
      <c r="C6958" s="1">
        <v>1.0</v>
      </c>
      <c r="D6958" s="1" t="s">
        <v>26</v>
      </c>
      <c r="E6958" s="1" t="s">
        <v>26</v>
      </c>
      <c r="F6958" s="1">
        <v>67.0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1">
        <v>64.55</v>
      </c>
      <c r="T6958" s="1">
        <v>4250.1</v>
      </c>
      <c r="U6958" s="1">
        <v>0.0</v>
      </c>
      <c r="V6958" s="1">
        <v>0.0</v>
      </c>
      <c r="W6958" s="1" t="s">
        <v>26</v>
      </c>
    </row>
    <row r="6959" ht="15.75" customHeight="1">
      <c r="A6959" s="1" t="s">
        <v>6996</v>
      </c>
      <c r="B6959" s="1" t="s">
        <v>32</v>
      </c>
      <c r="C6959" s="1">
        <v>0.0</v>
      </c>
      <c r="D6959" s="1" t="s">
        <v>26</v>
      </c>
      <c r="E6959" s="1" t="s">
        <v>26</v>
      </c>
      <c r="F6959" s="1">
        <v>9.0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1">
        <v>86.25</v>
      </c>
      <c r="T6959" s="1">
        <v>770.5</v>
      </c>
      <c r="U6959" s="1">
        <v>0.0</v>
      </c>
      <c r="V6959" s="1">
        <v>0.0</v>
      </c>
      <c r="W6959" s="1" t="s">
        <v>26</v>
      </c>
    </row>
    <row r="6960" ht="15.75" customHeight="1">
      <c r="A6960" s="1" t="s">
        <v>6997</v>
      </c>
      <c r="B6960" s="1" t="s">
        <v>24</v>
      </c>
      <c r="C6960" s="1">
        <v>0.0</v>
      </c>
      <c r="D6960" s="1" t="s">
        <v>25</v>
      </c>
      <c r="E6960" s="1" t="s">
        <v>25</v>
      </c>
      <c r="F6960" s="1">
        <v>13.0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1">
        <v>19.75</v>
      </c>
      <c r="T6960" s="1">
        <v>246.7</v>
      </c>
      <c r="U6960" s="1">
        <v>4.0</v>
      </c>
      <c r="V6960" s="1">
        <v>0.0</v>
      </c>
      <c r="W6960" s="1" t="s">
        <v>26</v>
      </c>
    </row>
    <row r="6961" ht="15.75" customHeight="1">
      <c r="A6961" s="1" t="s">
        <v>6998</v>
      </c>
      <c r="B6961" s="1" t="s">
        <v>24</v>
      </c>
      <c r="C6961" s="1">
        <v>0.0</v>
      </c>
      <c r="D6961" s="1" t="s">
        <v>26</v>
      </c>
      <c r="E6961" s="1" t="s">
        <v>26</v>
      </c>
      <c r="F6961" s="1">
        <v>38.0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1">
        <v>89.1</v>
      </c>
      <c r="T6961" s="1">
        <v>3342.0</v>
      </c>
      <c r="U6961" s="1">
        <v>2.0</v>
      </c>
      <c r="V6961" s="1">
        <v>0.0</v>
      </c>
      <c r="W6961" s="1" t="s">
        <v>26</v>
      </c>
    </row>
    <row r="6962" ht="15.75" customHeight="1">
      <c r="A6962" s="1" t="s">
        <v>6999</v>
      </c>
      <c r="B6962" s="1" t="s">
        <v>24</v>
      </c>
      <c r="C6962" s="1">
        <v>1.0</v>
      </c>
      <c r="D6962" s="1" t="s">
        <v>25</v>
      </c>
      <c r="E6962" s="1" t="s">
        <v>26</v>
      </c>
      <c r="F6962" s="1">
        <v>42.0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1">
        <v>95.55</v>
      </c>
      <c r="T6962" s="1">
        <v>3930.6</v>
      </c>
      <c r="U6962" s="1">
        <v>0.0</v>
      </c>
      <c r="V6962" s="1">
        <v>2.0</v>
      </c>
      <c r="W6962" s="1" t="s">
        <v>26</v>
      </c>
    </row>
    <row r="6963" ht="15.75" customHeight="1">
      <c r="A6963" s="1" t="s">
        <v>7000</v>
      </c>
      <c r="B6963" s="1" t="s">
        <v>24</v>
      </c>
      <c r="C6963" s="1">
        <v>0.0</v>
      </c>
      <c r="D6963" s="1" t="s">
        <v>25</v>
      </c>
      <c r="E6963" s="1" t="s">
        <v>26</v>
      </c>
      <c r="F6963" s="1">
        <v>24.0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1">
        <v>75.4</v>
      </c>
      <c r="T6963" s="1">
        <v>1747.85</v>
      </c>
      <c r="U6963" s="1">
        <v>0.0</v>
      </c>
      <c r="V6963" s="1">
        <v>0.0</v>
      </c>
      <c r="W6963" s="1" t="s">
        <v>25</v>
      </c>
    </row>
    <row r="6964" ht="15.75" customHeight="1">
      <c r="A6964" s="1" t="s">
        <v>7001</v>
      </c>
      <c r="B6964" s="1" t="s">
        <v>24</v>
      </c>
      <c r="C6964" s="1">
        <v>1.0</v>
      </c>
      <c r="D6964" s="1" t="s">
        <v>25</v>
      </c>
      <c r="E6964" s="1" t="s">
        <v>26</v>
      </c>
      <c r="F6964" s="1">
        <v>27.0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1">
        <v>101.25</v>
      </c>
      <c r="T6964" s="1">
        <v>2754.45</v>
      </c>
      <c r="U6964" s="1">
        <v>0.0</v>
      </c>
      <c r="V6964" s="1">
        <v>2.0</v>
      </c>
      <c r="W6964" s="1" t="s">
        <v>25</v>
      </c>
    </row>
    <row r="6965" ht="15.75" customHeight="1">
      <c r="A6965" s="1" t="s">
        <v>7002</v>
      </c>
      <c r="B6965" s="1" t="s">
        <v>32</v>
      </c>
      <c r="C6965" s="1">
        <v>0.0</v>
      </c>
      <c r="D6965" s="1" t="s">
        <v>25</v>
      </c>
      <c r="E6965" s="1" t="s">
        <v>25</v>
      </c>
      <c r="F6965" s="1">
        <v>9.0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1">
        <v>102.6</v>
      </c>
      <c r="T6965" s="1">
        <v>897.75</v>
      </c>
      <c r="U6965" s="1">
        <v>0.0</v>
      </c>
      <c r="V6965" s="1">
        <v>0.0</v>
      </c>
      <c r="W6965" s="1" t="s">
        <v>26</v>
      </c>
    </row>
    <row r="6966" ht="15.75" customHeight="1">
      <c r="A6966" s="1" t="s">
        <v>7003</v>
      </c>
      <c r="B6966" s="1" t="s">
        <v>24</v>
      </c>
      <c r="C6966" s="1">
        <v>0.0</v>
      </c>
      <c r="D6966" s="1" t="s">
        <v>25</v>
      </c>
      <c r="E6966" s="1" t="s">
        <v>26</v>
      </c>
      <c r="F6966" s="1">
        <v>49.0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1">
        <v>56.3</v>
      </c>
      <c r="T6966" s="1">
        <v>2780.6</v>
      </c>
      <c r="U6966" s="1">
        <v>5.0</v>
      </c>
      <c r="V6966" s="1">
        <v>0.0</v>
      </c>
      <c r="W6966" s="1" t="s">
        <v>26</v>
      </c>
    </row>
    <row r="6967" ht="15.75" customHeight="1">
      <c r="A6967" s="1" t="s">
        <v>7004</v>
      </c>
      <c r="B6967" s="1" t="s">
        <v>24</v>
      </c>
      <c r="C6967" s="1">
        <v>1.0</v>
      </c>
      <c r="D6967" s="1" t="s">
        <v>25</v>
      </c>
      <c r="E6967" s="1" t="s">
        <v>26</v>
      </c>
      <c r="F6967" s="1">
        <v>61.0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1">
        <v>94.2</v>
      </c>
      <c r="T6967" s="1">
        <v>5895.45</v>
      </c>
      <c r="U6967" s="1">
        <v>0.0</v>
      </c>
      <c r="V6967" s="1">
        <v>0.0</v>
      </c>
      <c r="W6967" s="1" t="s">
        <v>26</v>
      </c>
    </row>
    <row r="6968" ht="15.75" customHeight="1">
      <c r="A6968" s="1" t="s">
        <v>7005</v>
      </c>
      <c r="B6968" s="1" t="s">
        <v>32</v>
      </c>
      <c r="C6968" s="1">
        <v>0.0</v>
      </c>
      <c r="D6968" s="1" t="s">
        <v>26</v>
      </c>
      <c r="E6968" s="1" t="s">
        <v>25</v>
      </c>
      <c r="F6968" s="1">
        <v>50.0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1">
        <v>43.05</v>
      </c>
      <c r="T6968" s="1">
        <v>2208.05</v>
      </c>
      <c r="U6968" s="1">
        <v>0.0</v>
      </c>
      <c r="V6968" s="1">
        <v>0.0</v>
      </c>
      <c r="W6968" s="1" t="s">
        <v>26</v>
      </c>
    </row>
    <row r="6969" ht="15.75" customHeight="1">
      <c r="A6969" s="1" t="s">
        <v>7006</v>
      </c>
      <c r="B6969" s="1" t="s">
        <v>32</v>
      </c>
      <c r="C6969" s="1">
        <v>1.0</v>
      </c>
      <c r="D6969" s="1" t="s">
        <v>26</v>
      </c>
      <c r="E6969" s="1" t="s">
        <v>26</v>
      </c>
      <c r="F6969" s="1">
        <v>25.0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1">
        <v>89.5</v>
      </c>
      <c r="T6969" s="1">
        <v>2196.15</v>
      </c>
      <c r="U6969" s="1">
        <v>0.0</v>
      </c>
      <c r="V6969" s="1">
        <v>2.0</v>
      </c>
      <c r="W6969" s="1" t="s">
        <v>25</v>
      </c>
    </row>
    <row r="6970" ht="15.75" customHeight="1">
      <c r="A6970" s="1" t="s">
        <v>7007</v>
      </c>
      <c r="B6970" s="1" t="s">
        <v>24</v>
      </c>
      <c r="C6970" s="1">
        <v>1.0</v>
      </c>
      <c r="D6970" s="1" t="s">
        <v>26</v>
      </c>
      <c r="E6970" s="1" t="s">
        <v>26</v>
      </c>
      <c r="F6970" s="1">
        <v>22.0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1">
        <v>74.4</v>
      </c>
      <c r="T6970" s="1">
        <v>1692.6</v>
      </c>
      <c r="U6970" s="1">
        <v>0.0</v>
      </c>
      <c r="V6970" s="1">
        <v>0.0</v>
      </c>
      <c r="W6970" s="1" t="s">
        <v>25</v>
      </c>
    </row>
    <row r="6971" ht="15.75" customHeight="1">
      <c r="A6971" s="1" t="s">
        <v>7008</v>
      </c>
      <c r="B6971" s="1" t="s">
        <v>32</v>
      </c>
      <c r="C6971" s="1">
        <v>0.0</v>
      </c>
      <c r="D6971" s="1" t="s">
        <v>26</v>
      </c>
      <c r="E6971" s="1" t="s">
        <v>26</v>
      </c>
      <c r="F6971" s="1">
        <v>1.0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1">
        <v>20.5</v>
      </c>
      <c r="T6971" s="1">
        <v>20.5</v>
      </c>
      <c r="U6971" s="1">
        <v>0.0</v>
      </c>
      <c r="V6971" s="1">
        <v>0.0</v>
      </c>
      <c r="W6971" s="1" t="s">
        <v>25</v>
      </c>
    </row>
    <row r="6972" ht="15.75" customHeight="1">
      <c r="A6972" s="1" t="s">
        <v>7009</v>
      </c>
      <c r="B6972" s="1" t="s">
        <v>32</v>
      </c>
      <c r="C6972" s="1">
        <v>0.0</v>
      </c>
      <c r="D6972" s="1" t="s">
        <v>26</v>
      </c>
      <c r="E6972" s="1" t="s">
        <v>26</v>
      </c>
      <c r="F6972" s="1">
        <v>4.0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1">
        <v>74.35</v>
      </c>
      <c r="T6972" s="1">
        <v>265.35</v>
      </c>
      <c r="U6972" s="1">
        <v>0.0</v>
      </c>
      <c r="V6972" s="1">
        <v>0.0</v>
      </c>
      <c r="W6972" s="1" t="s">
        <v>25</v>
      </c>
    </row>
    <row r="6973" ht="15.75" customHeight="1">
      <c r="A6973" s="1" t="s">
        <v>7010</v>
      </c>
      <c r="B6973" s="1" t="s">
        <v>24</v>
      </c>
      <c r="C6973" s="1">
        <v>1.0</v>
      </c>
      <c r="D6973" s="1" t="s">
        <v>25</v>
      </c>
      <c r="E6973" s="1" t="s">
        <v>26</v>
      </c>
      <c r="F6973" s="1">
        <v>18.0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1">
        <v>99.75</v>
      </c>
      <c r="T6973" s="1">
        <v>1836.25</v>
      </c>
      <c r="U6973" s="1">
        <v>0.0</v>
      </c>
      <c r="V6973" s="1">
        <v>1.0</v>
      </c>
      <c r="W6973" s="1" t="s">
        <v>25</v>
      </c>
    </row>
    <row r="6974" ht="15.75" customHeight="1">
      <c r="A6974" s="1" t="s">
        <v>7011</v>
      </c>
      <c r="B6974" s="1" t="s">
        <v>24</v>
      </c>
      <c r="C6974" s="1">
        <v>1.0</v>
      </c>
      <c r="D6974" s="1" t="s">
        <v>26</v>
      </c>
      <c r="E6974" s="1" t="s">
        <v>26</v>
      </c>
      <c r="F6974" s="1">
        <v>56.0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1">
        <v>111.95</v>
      </c>
      <c r="T6974" s="1">
        <v>6418.9</v>
      </c>
      <c r="U6974" s="1">
        <v>0.0</v>
      </c>
      <c r="V6974" s="1">
        <v>6.0</v>
      </c>
      <c r="W6974" s="1" t="s">
        <v>25</v>
      </c>
    </row>
    <row r="6975" ht="15.75" customHeight="1">
      <c r="A6975" s="1" t="s">
        <v>7012</v>
      </c>
      <c r="B6975" s="1" t="s">
        <v>24</v>
      </c>
      <c r="C6975" s="1">
        <v>1.0</v>
      </c>
      <c r="D6975" s="1" t="s">
        <v>25</v>
      </c>
      <c r="E6975" s="1" t="s">
        <v>26</v>
      </c>
      <c r="F6975" s="1">
        <v>53.0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1">
        <v>94.0</v>
      </c>
      <c r="T6975" s="1">
        <v>4871.45</v>
      </c>
      <c r="U6975" s="1">
        <v>0.0</v>
      </c>
      <c r="V6975" s="1">
        <v>0.0</v>
      </c>
      <c r="W6975" s="1" t="s">
        <v>26</v>
      </c>
    </row>
    <row r="6976" ht="15.75" customHeight="1">
      <c r="A6976" s="1" t="s">
        <v>7013</v>
      </c>
      <c r="B6976" s="1" t="s">
        <v>24</v>
      </c>
      <c r="C6976" s="1">
        <v>0.0</v>
      </c>
      <c r="D6976" s="1" t="s">
        <v>25</v>
      </c>
      <c r="E6976" s="1" t="s">
        <v>26</v>
      </c>
      <c r="F6976" s="1">
        <v>51.0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1">
        <v>98.85</v>
      </c>
      <c r="T6976" s="1">
        <v>4947.55</v>
      </c>
      <c r="U6976" s="1">
        <v>0.0</v>
      </c>
      <c r="V6976" s="1">
        <v>0.0</v>
      </c>
      <c r="W6976" s="1" t="s">
        <v>26</v>
      </c>
    </row>
    <row r="6977" ht="15.75" customHeight="1">
      <c r="A6977" s="1" t="s">
        <v>7014</v>
      </c>
      <c r="B6977" s="1" t="s">
        <v>24</v>
      </c>
      <c r="C6977" s="1">
        <v>0.0</v>
      </c>
      <c r="D6977" s="1" t="s">
        <v>25</v>
      </c>
      <c r="E6977" s="1" t="s">
        <v>25</v>
      </c>
      <c r="F6977" s="1">
        <v>24.0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1">
        <v>64.35</v>
      </c>
      <c r="T6977" s="1">
        <v>1558.65</v>
      </c>
      <c r="U6977" s="1">
        <v>2.0</v>
      </c>
      <c r="V6977" s="1">
        <v>0.0</v>
      </c>
      <c r="W6977" s="1" t="s">
        <v>26</v>
      </c>
    </row>
    <row r="6978" ht="15.75" customHeight="1">
      <c r="A6978" s="1" t="s">
        <v>7015</v>
      </c>
      <c r="B6978" s="1" t="s">
        <v>24</v>
      </c>
      <c r="C6978" s="1">
        <v>0.0</v>
      </c>
      <c r="D6978" s="1" t="s">
        <v>25</v>
      </c>
      <c r="E6978" s="1" t="s">
        <v>26</v>
      </c>
      <c r="F6978" s="1">
        <v>62.0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1">
        <v>72.0</v>
      </c>
      <c r="T6978" s="1">
        <v>4284.2</v>
      </c>
      <c r="U6978" s="1">
        <v>3.0</v>
      </c>
      <c r="V6978" s="1">
        <v>0.0</v>
      </c>
      <c r="W6978" s="1" t="s">
        <v>26</v>
      </c>
    </row>
    <row r="6979" ht="15.75" customHeight="1">
      <c r="A6979" s="1" t="s">
        <v>7016</v>
      </c>
      <c r="B6979" s="1" t="s">
        <v>32</v>
      </c>
      <c r="C6979" s="1">
        <v>0.0</v>
      </c>
      <c r="D6979" s="1" t="s">
        <v>26</v>
      </c>
      <c r="E6979" s="1" t="s">
        <v>26</v>
      </c>
      <c r="F6979" s="1">
        <v>24.0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1">
        <v>49.7</v>
      </c>
      <c r="T6979" s="1">
        <v>1218.25</v>
      </c>
      <c r="U6979" s="1">
        <v>0.0</v>
      </c>
      <c r="V6979" s="1">
        <v>0.0</v>
      </c>
      <c r="W6979" s="1" t="s">
        <v>26</v>
      </c>
    </row>
    <row r="6980" ht="15.75" customHeight="1">
      <c r="A6980" s="1" t="s">
        <v>7017</v>
      </c>
      <c r="B6980" s="1" t="s">
        <v>24</v>
      </c>
      <c r="C6980" s="1">
        <v>0.0</v>
      </c>
      <c r="D6980" s="1" t="s">
        <v>25</v>
      </c>
      <c r="E6980" s="1" t="s">
        <v>25</v>
      </c>
      <c r="F6980" s="1">
        <v>70.0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1">
        <v>80.7</v>
      </c>
      <c r="T6980" s="1">
        <v>5617.95</v>
      </c>
      <c r="U6980" s="1">
        <v>0.0</v>
      </c>
      <c r="V6980" s="1">
        <v>0.0</v>
      </c>
      <c r="W6980" s="1" t="s">
        <v>26</v>
      </c>
    </row>
    <row r="6981" ht="15.75" customHeight="1">
      <c r="A6981" s="1" t="s">
        <v>7018</v>
      </c>
      <c r="B6981" s="1" t="s">
        <v>32</v>
      </c>
      <c r="C6981" s="1">
        <v>0.0</v>
      </c>
      <c r="D6981" s="1" t="s">
        <v>26</v>
      </c>
      <c r="E6981" s="1" t="s">
        <v>25</v>
      </c>
      <c r="F6981" s="1">
        <v>1.0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1">
        <v>24.2</v>
      </c>
      <c r="T6981" s="1">
        <v>24.2</v>
      </c>
      <c r="U6981" s="1">
        <v>0.0</v>
      </c>
      <c r="V6981" s="1">
        <v>0.0</v>
      </c>
      <c r="W6981" s="1" t="s">
        <v>26</v>
      </c>
    </row>
    <row r="6982" ht="15.75" customHeight="1">
      <c r="A6982" s="1" t="s">
        <v>7019</v>
      </c>
      <c r="B6982" s="1" t="s">
        <v>32</v>
      </c>
      <c r="C6982" s="1">
        <v>1.0</v>
      </c>
      <c r="D6982" s="1" t="s">
        <v>26</v>
      </c>
      <c r="E6982" s="1" t="s">
        <v>26</v>
      </c>
      <c r="F6982" s="1">
        <v>16.0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1">
        <v>39.0</v>
      </c>
      <c r="T6982" s="1">
        <v>679.85</v>
      </c>
      <c r="U6982" s="1">
        <v>0.0</v>
      </c>
      <c r="V6982" s="1">
        <v>1.0</v>
      </c>
      <c r="W6982" s="1" t="s">
        <v>25</v>
      </c>
    </row>
    <row r="6983" ht="15.75" customHeight="1">
      <c r="A6983" s="1" t="s">
        <v>7020</v>
      </c>
      <c r="B6983" s="1" t="s">
        <v>24</v>
      </c>
      <c r="C6983" s="1">
        <v>0.0</v>
      </c>
      <c r="D6983" s="1" t="s">
        <v>26</v>
      </c>
      <c r="E6983" s="1" t="s">
        <v>26</v>
      </c>
      <c r="F6983" s="1">
        <v>8.0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1">
        <v>65.45</v>
      </c>
      <c r="T6983" s="1">
        <v>554.45</v>
      </c>
      <c r="U6983" s="1">
        <v>0.0</v>
      </c>
      <c r="V6983" s="1">
        <v>0.0</v>
      </c>
      <c r="W6983" s="1" t="s">
        <v>26</v>
      </c>
    </row>
    <row r="6984" ht="15.75" customHeight="1">
      <c r="A6984" s="1" t="s">
        <v>7021</v>
      </c>
      <c r="B6984" s="1" t="s">
        <v>24</v>
      </c>
      <c r="C6984" s="1">
        <v>0.0</v>
      </c>
      <c r="D6984" s="1" t="s">
        <v>25</v>
      </c>
      <c r="E6984" s="1" t="s">
        <v>25</v>
      </c>
      <c r="F6984" s="1">
        <v>72.0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1">
        <v>74.35</v>
      </c>
      <c r="T6984" s="1">
        <v>5237.4</v>
      </c>
      <c r="U6984" s="1">
        <v>0.0</v>
      </c>
      <c r="V6984" s="1">
        <v>7.0</v>
      </c>
      <c r="W6984" s="1" t="s">
        <v>26</v>
      </c>
    </row>
    <row r="6985" ht="15.75" customHeight="1">
      <c r="A6985" s="1" t="s">
        <v>7022</v>
      </c>
      <c r="B6985" s="1" t="s">
        <v>24</v>
      </c>
      <c r="C6985" s="1">
        <v>0.0</v>
      </c>
      <c r="D6985" s="1" t="s">
        <v>26</v>
      </c>
      <c r="E6985" s="1" t="s">
        <v>26</v>
      </c>
      <c r="F6985" s="1">
        <v>23.0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1">
        <v>83.2</v>
      </c>
      <c r="T6985" s="1">
        <v>2032.3</v>
      </c>
      <c r="U6985" s="1">
        <v>0.0</v>
      </c>
      <c r="V6985" s="1">
        <v>0.0</v>
      </c>
      <c r="W6985" s="1" t="s">
        <v>26</v>
      </c>
    </row>
    <row r="6986" ht="15.75" customHeight="1">
      <c r="A6986" s="1" t="s">
        <v>7023</v>
      </c>
      <c r="B6986" s="1" t="s">
        <v>32</v>
      </c>
      <c r="C6986" s="1">
        <v>0.0</v>
      </c>
      <c r="D6986" s="1" t="s">
        <v>26</v>
      </c>
      <c r="E6986" s="1" t="s">
        <v>25</v>
      </c>
      <c r="F6986" s="1">
        <v>31.0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1">
        <v>25.0</v>
      </c>
      <c r="T6986" s="1">
        <v>789.2</v>
      </c>
      <c r="U6986" s="1">
        <v>0.0</v>
      </c>
      <c r="V6986" s="1">
        <v>0.0</v>
      </c>
      <c r="W6986" s="1" t="s">
        <v>26</v>
      </c>
    </row>
    <row r="6987" ht="15.75" customHeight="1">
      <c r="A6987" s="1" t="s">
        <v>7024</v>
      </c>
      <c r="B6987" s="1" t="s">
        <v>32</v>
      </c>
      <c r="C6987" s="1">
        <v>0.0</v>
      </c>
      <c r="D6987" s="1" t="s">
        <v>25</v>
      </c>
      <c r="E6987" s="1" t="s">
        <v>25</v>
      </c>
      <c r="F6987" s="1">
        <v>37.0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1">
        <v>40.2</v>
      </c>
      <c r="T6987" s="1">
        <v>1525.35</v>
      </c>
      <c r="U6987" s="1">
        <v>0.0</v>
      </c>
      <c r="V6987" s="1">
        <v>0.0</v>
      </c>
      <c r="W6987" s="1" t="s">
        <v>26</v>
      </c>
    </row>
    <row r="6988" ht="15.75" customHeight="1">
      <c r="A6988" s="1" t="s">
        <v>7025</v>
      </c>
      <c r="B6988" s="1" t="s">
        <v>24</v>
      </c>
      <c r="C6988" s="1">
        <v>0.0</v>
      </c>
      <c r="D6988" s="1" t="s">
        <v>25</v>
      </c>
      <c r="E6988" s="1" t="s">
        <v>26</v>
      </c>
      <c r="F6988" s="1">
        <v>30.0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1">
        <v>94.1</v>
      </c>
      <c r="T6988" s="1">
        <v>2804.45</v>
      </c>
      <c r="U6988" s="1">
        <v>4.0</v>
      </c>
      <c r="V6988" s="1">
        <v>4.0</v>
      </c>
      <c r="W6988" s="1" t="s">
        <v>25</v>
      </c>
    </row>
    <row r="6989" ht="15.75" customHeight="1">
      <c r="A6989" s="1" t="s">
        <v>7026</v>
      </c>
      <c r="B6989" s="1" t="s">
        <v>24</v>
      </c>
      <c r="C6989" s="1">
        <v>1.0</v>
      </c>
      <c r="D6989" s="1" t="s">
        <v>26</v>
      </c>
      <c r="E6989" s="1" t="s">
        <v>26</v>
      </c>
      <c r="F6989" s="1">
        <v>35.0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1">
        <v>108.35</v>
      </c>
      <c r="T6989" s="1">
        <v>3726.15</v>
      </c>
      <c r="U6989" s="1">
        <v>0.0</v>
      </c>
      <c r="V6989" s="1">
        <v>0.0</v>
      </c>
      <c r="W6989" s="1" t="s">
        <v>26</v>
      </c>
    </row>
    <row r="6990" ht="15.75" customHeight="1">
      <c r="A6990" s="1" t="s">
        <v>7027</v>
      </c>
      <c r="B6990" s="1" t="s">
        <v>24</v>
      </c>
      <c r="C6990" s="1">
        <v>0.0</v>
      </c>
      <c r="D6990" s="1" t="s">
        <v>25</v>
      </c>
      <c r="E6990" s="1" t="s">
        <v>25</v>
      </c>
      <c r="F6990" s="1">
        <v>23.0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1">
        <v>69.5</v>
      </c>
      <c r="T6990" s="1">
        <v>1652.1</v>
      </c>
      <c r="U6990" s="1">
        <v>0.0</v>
      </c>
      <c r="V6990" s="1">
        <v>0.0</v>
      </c>
      <c r="W6990" s="1" t="s">
        <v>26</v>
      </c>
    </row>
    <row r="6991" ht="15.75" customHeight="1">
      <c r="A6991" s="1" t="s">
        <v>7028</v>
      </c>
      <c r="B6991" s="1" t="s">
        <v>24</v>
      </c>
      <c r="C6991" s="1">
        <v>0.0</v>
      </c>
      <c r="D6991" s="1" t="s">
        <v>25</v>
      </c>
      <c r="E6991" s="1" t="s">
        <v>25</v>
      </c>
      <c r="F6991" s="1">
        <v>20.0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1">
        <v>76.0</v>
      </c>
      <c r="T6991" s="1">
        <v>1588.75</v>
      </c>
      <c r="U6991" s="1">
        <v>0.0</v>
      </c>
      <c r="V6991" s="1">
        <v>0.0</v>
      </c>
      <c r="W6991" s="1" t="s">
        <v>26</v>
      </c>
    </row>
    <row r="6992" ht="15.75" customHeight="1">
      <c r="A6992" s="1" t="s">
        <v>7029</v>
      </c>
      <c r="B6992" s="1" t="s">
        <v>32</v>
      </c>
      <c r="C6992" s="1">
        <v>0.0</v>
      </c>
      <c r="D6992" s="1" t="s">
        <v>25</v>
      </c>
      <c r="E6992" s="1" t="s">
        <v>26</v>
      </c>
      <c r="F6992" s="1">
        <v>36.0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1">
        <v>93.6</v>
      </c>
      <c r="T6992" s="1">
        <v>3366.05</v>
      </c>
      <c r="U6992" s="1">
        <v>0.0</v>
      </c>
      <c r="V6992" s="1">
        <v>0.0</v>
      </c>
      <c r="W6992" s="1" t="s">
        <v>26</v>
      </c>
    </row>
    <row r="6993" ht="15.75" customHeight="1">
      <c r="A6993" s="1" t="s">
        <v>7030</v>
      </c>
      <c r="B6993" s="1" t="s">
        <v>24</v>
      </c>
      <c r="C6993" s="1">
        <v>0.0</v>
      </c>
      <c r="D6993" s="1" t="s">
        <v>26</v>
      </c>
      <c r="E6993" s="1" t="s">
        <v>26</v>
      </c>
      <c r="F6993" s="1">
        <v>8.0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1">
        <v>95.65</v>
      </c>
      <c r="T6993" s="1">
        <v>778.1</v>
      </c>
      <c r="U6993" s="1">
        <v>0.0</v>
      </c>
      <c r="V6993" s="1">
        <v>0.0</v>
      </c>
      <c r="W6993" s="1" t="s">
        <v>25</v>
      </c>
    </row>
    <row r="6994" ht="15.75" customHeight="1">
      <c r="A6994" s="1" t="s">
        <v>7031</v>
      </c>
      <c r="B6994" s="1" t="s">
        <v>32</v>
      </c>
      <c r="C6994" s="1">
        <v>0.0</v>
      </c>
      <c r="D6994" s="1" t="s">
        <v>25</v>
      </c>
      <c r="E6994" s="1" t="s">
        <v>25</v>
      </c>
      <c r="F6994" s="1">
        <v>71.0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1">
        <v>100.55</v>
      </c>
      <c r="T6994" s="1">
        <v>7113.75</v>
      </c>
      <c r="U6994" s="1">
        <v>0.0</v>
      </c>
      <c r="V6994" s="1">
        <v>0.0</v>
      </c>
      <c r="W6994" s="1" t="s">
        <v>26</v>
      </c>
    </row>
    <row r="6995" ht="15.75" customHeight="1">
      <c r="A6995" s="1" t="s">
        <v>7032</v>
      </c>
      <c r="B6995" s="1" t="s">
        <v>24</v>
      </c>
      <c r="C6995" s="1">
        <v>1.0</v>
      </c>
      <c r="D6995" s="1" t="s">
        <v>25</v>
      </c>
      <c r="E6995" s="1" t="s">
        <v>26</v>
      </c>
      <c r="F6995" s="1">
        <v>50.0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1">
        <v>88.05</v>
      </c>
      <c r="T6995" s="1">
        <v>4367.35</v>
      </c>
      <c r="U6995" s="1">
        <v>0.0</v>
      </c>
      <c r="V6995" s="1">
        <v>5.0</v>
      </c>
      <c r="W6995" s="1" t="s">
        <v>25</v>
      </c>
    </row>
    <row r="6996" ht="15.75" customHeight="1">
      <c r="A6996" s="1" t="s">
        <v>7033</v>
      </c>
      <c r="B6996" s="1" t="s">
        <v>24</v>
      </c>
      <c r="C6996" s="1">
        <v>0.0</v>
      </c>
      <c r="D6996" s="1" t="s">
        <v>25</v>
      </c>
      <c r="E6996" s="1" t="s">
        <v>25</v>
      </c>
      <c r="F6996" s="1">
        <v>43.0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1">
        <v>24.45</v>
      </c>
      <c r="T6996" s="1">
        <v>993.15</v>
      </c>
      <c r="U6996" s="1">
        <v>0.0</v>
      </c>
      <c r="V6996" s="1">
        <v>0.0</v>
      </c>
      <c r="W6996" s="1" t="s">
        <v>26</v>
      </c>
    </row>
    <row r="6997" ht="15.75" customHeight="1">
      <c r="A6997" s="1" t="s">
        <v>7034</v>
      </c>
      <c r="B6997" s="1" t="s">
        <v>32</v>
      </c>
      <c r="C6997" s="1">
        <v>0.0</v>
      </c>
      <c r="D6997" s="1" t="s">
        <v>26</v>
      </c>
      <c r="E6997" s="1" t="s">
        <v>25</v>
      </c>
      <c r="F6997" s="1">
        <v>57.0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1">
        <v>89.55</v>
      </c>
      <c r="T6997" s="1">
        <v>5012.35</v>
      </c>
      <c r="U6997" s="1">
        <v>2.0</v>
      </c>
      <c r="V6997" s="1">
        <v>0.0</v>
      </c>
      <c r="W6997" s="1" t="s">
        <v>26</v>
      </c>
    </row>
    <row r="6998" ht="15.75" customHeight="1">
      <c r="A6998" s="1" t="s">
        <v>7035</v>
      </c>
      <c r="B6998" s="1" t="s">
        <v>24</v>
      </c>
      <c r="C6998" s="1">
        <v>0.0</v>
      </c>
      <c r="D6998" s="1" t="s">
        <v>25</v>
      </c>
      <c r="E6998" s="1" t="s">
        <v>25</v>
      </c>
      <c r="F6998" s="1">
        <v>41.0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1">
        <v>66.5</v>
      </c>
      <c r="T6998" s="1">
        <v>2728.6</v>
      </c>
      <c r="U6998" s="1">
        <v>5.0</v>
      </c>
      <c r="V6998" s="1">
        <v>4.0</v>
      </c>
      <c r="W6998" s="1" t="s">
        <v>25</v>
      </c>
    </row>
    <row r="6999" ht="15.75" customHeight="1">
      <c r="A6999" s="1" t="s">
        <v>7036</v>
      </c>
      <c r="B6999" s="1" t="s">
        <v>24</v>
      </c>
      <c r="C6999" s="1">
        <v>0.0</v>
      </c>
      <c r="D6999" s="1" t="s">
        <v>25</v>
      </c>
      <c r="E6999" s="1" t="s">
        <v>26</v>
      </c>
      <c r="F6999" s="1">
        <v>27.0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1">
        <v>76.1</v>
      </c>
      <c r="T6999" s="1">
        <v>2093.4</v>
      </c>
      <c r="U6999" s="1">
        <v>0.0</v>
      </c>
      <c r="V6999" s="1">
        <v>0.0</v>
      </c>
      <c r="W6999" s="1" t="s">
        <v>26</v>
      </c>
    </row>
    <row r="7000" ht="15.75" customHeight="1">
      <c r="A7000" s="1" t="s">
        <v>7037</v>
      </c>
      <c r="B7000" s="1" t="s">
        <v>24</v>
      </c>
      <c r="C7000" s="1">
        <v>0.0</v>
      </c>
      <c r="D7000" s="1" t="s">
        <v>26</v>
      </c>
      <c r="E7000" s="1" t="s">
        <v>26</v>
      </c>
      <c r="F7000" s="1">
        <v>13.0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1">
        <v>80.5</v>
      </c>
      <c r="T7000" s="1">
        <v>1011.8</v>
      </c>
      <c r="U7000" s="1">
        <v>0.0</v>
      </c>
      <c r="V7000" s="1">
        <v>0.0</v>
      </c>
      <c r="W7000" s="1" t="s">
        <v>26</v>
      </c>
    </row>
    <row r="7001" ht="15.75" customHeight="1">
      <c r="A7001" s="1" t="s">
        <v>7038</v>
      </c>
      <c r="B7001" s="1" t="s">
        <v>32</v>
      </c>
      <c r="C7001" s="1">
        <v>0.0</v>
      </c>
      <c r="D7001" s="1" t="s">
        <v>26</v>
      </c>
      <c r="E7001" s="1" t="s">
        <v>26</v>
      </c>
      <c r="F7001" s="1">
        <v>3.0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1">
        <v>35.45</v>
      </c>
      <c r="T7001" s="1">
        <v>106.85</v>
      </c>
      <c r="U7001" s="1">
        <v>0.0</v>
      </c>
      <c r="V7001" s="1">
        <v>1.0</v>
      </c>
      <c r="W7001" s="1" t="s">
        <v>25</v>
      </c>
    </row>
    <row r="7002" ht="15.75" customHeight="1">
      <c r="A7002" s="1" t="s">
        <v>7039</v>
      </c>
      <c r="B7002" s="1" t="s">
        <v>24</v>
      </c>
      <c r="C7002" s="1">
        <v>0.0</v>
      </c>
      <c r="D7002" s="1" t="s">
        <v>26</v>
      </c>
      <c r="E7002" s="1" t="s">
        <v>26</v>
      </c>
      <c r="F7002" s="1">
        <v>67.0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1">
        <v>20.55</v>
      </c>
      <c r="T7002" s="1">
        <v>1343.4</v>
      </c>
      <c r="U7002" s="1">
        <v>0.0</v>
      </c>
      <c r="V7002" s="1">
        <v>0.0</v>
      </c>
      <c r="W7002" s="1" t="s">
        <v>26</v>
      </c>
    </row>
    <row r="7003" ht="15.75" customHeight="1">
      <c r="A7003" s="1" t="s">
        <v>7040</v>
      </c>
      <c r="B7003" s="1" t="s">
        <v>32</v>
      </c>
      <c r="C7003" s="1">
        <v>0.0</v>
      </c>
      <c r="D7003" s="1" t="s">
        <v>26</v>
      </c>
      <c r="E7003" s="1" t="s">
        <v>26</v>
      </c>
      <c r="F7003" s="1">
        <v>3.0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1">
        <v>49.9</v>
      </c>
      <c r="T7003" s="1">
        <v>130.1</v>
      </c>
      <c r="U7003" s="1">
        <v>0.0</v>
      </c>
      <c r="V7003" s="1">
        <v>0.0</v>
      </c>
      <c r="W7003" s="1" t="s">
        <v>25</v>
      </c>
    </row>
    <row r="7004" ht="15.75" customHeight="1">
      <c r="A7004" s="1" t="s">
        <v>7041</v>
      </c>
      <c r="B7004" s="1" t="s">
        <v>24</v>
      </c>
      <c r="C7004" s="1">
        <v>0.0</v>
      </c>
      <c r="D7004" s="1" t="s">
        <v>25</v>
      </c>
      <c r="E7004" s="1" t="s">
        <v>26</v>
      </c>
      <c r="F7004" s="1">
        <v>64.0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1">
        <v>105.4</v>
      </c>
      <c r="T7004" s="1">
        <v>6794.75</v>
      </c>
      <c r="U7004" s="1">
        <v>0.0</v>
      </c>
      <c r="V7004" s="1">
        <v>0.0</v>
      </c>
      <c r="W7004" s="1" t="s">
        <v>26</v>
      </c>
    </row>
    <row r="7005" ht="15.75" customHeight="1">
      <c r="A7005" s="1" t="s">
        <v>7042</v>
      </c>
      <c r="B7005" s="1" t="s">
        <v>32</v>
      </c>
      <c r="C7005" s="1">
        <v>0.0</v>
      </c>
      <c r="D7005" s="1" t="s">
        <v>26</v>
      </c>
      <c r="E7005" s="1" t="s">
        <v>26</v>
      </c>
      <c r="F7005" s="1">
        <v>26.0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1">
        <v>35.75</v>
      </c>
      <c r="T7005" s="1">
        <v>1022.5</v>
      </c>
      <c r="U7005" s="1">
        <v>0.0</v>
      </c>
      <c r="V7005" s="1">
        <v>0.0</v>
      </c>
      <c r="W7005" s="1" t="s">
        <v>26</v>
      </c>
    </row>
    <row r="7006" ht="15.75" customHeight="1">
      <c r="A7006" s="1" t="s">
        <v>7043</v>
      </c>
      <c r="B7006" s="1" t="s">
        <v>32</v>
      </c>
      <c r="C7006" s="1">
        <v>0.0</v>
      </c>
      <c r="D7006" s="1" t="s">
        <v>26</v>
      </c>
      <c r="E7006" s="1" t="s">
        <v>26</v>
      </c>
      <c r="F7006" s="1">
        <v>38.0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1">
        <v>95.1</v>
      </c>
      <c r="T7006" s="1">
        <v>3691.2</v>
      </c>
      <c r="U7006" s="1">
        <v>0.0</v>
      </c>
      <c r="V7006" s="1">
        <v>0.0</v>
      </c>
      <c r="W7006" s="1" t="s">
        <v>26</v>
      </c>
    </row>
    <row r="7007" ht="15.75" customHeight="1">
      <c r="A7007" s="1" t="s">
        <v>7044</v>
      </c>
      <c r="B7007" s="1" t="s">
        <v>32</v>
      </c>
      <c r="C7007" s="1">
        <v>0.0</v>
      </c>
      <c r="D7007" s="1" t="s">
        <v>25</v>
      </c>
      <c r="E7007" s="1" t="s">
        <v>26</v>
      </c>
      <c r="F7007" s="1">
        <v>23.0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1">
        <v>19.3</v>
      </c>
      <c r="T7007" s="1">
        <v>486.2</v>
      </c>
      <c r="U7007" s="1">
        <v>0.0</v>
      </c>
      <c r="V7007" s="1">
        <v>0.0</v>
      </c>
      <c r="W7007" s="1" t="s">
        <v>26</v>
      </c>
    </row>
    <row r="7008" ht="15.75" customHeight="1">
      <c r="A7008" s="1" t="s">
        <v>7045</v>
      </c>
      <c r="B7008" s="1" t="s">
        <v>32</v>
      </c>
      <c r="C7008" s="1">
        <v>0.0</v>
      </c>
      <c r="D7008" s="1" t="s">
        <v>26</v>
      </c>
      <c r="E7008" s="1" t="s">
        <v>26</v>
      </c>
      <c r="F7008" s="1">
        <v>40.0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1">
        <v>104.5</v>
      </c>
      <c r="T7008" s="1">
        <v>4036.85</v>
      </c>
      <c r="U7008" s="1">
        <v>0.0</v>
      </c>
      <c r="V7008" s="1">
        <v>5.0</v>
      </c>
      <c r="W7008" s="1" t="s">
        <v>25</v>
      </c>
    </row>
    <row r="7009" ht="15.75" customHeight="1">
      <c r="A7009" s="1" t="s">
        <v>7046</v>
      </c>
      <c r="B7009" s="1" t="s">
        <v>32</v>
      </c>
      <c r="C7009" s="1">
        <v>1.0</v>
      </c>
      <c r="D7009" s="1" t="s">
        <v>25</v>
      </c>
      <c r="E7009" s="1" t="s">
        <v>26</v>
      </c>
      <c r="F7009" s="1">
        <v>72.0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1">
        <v>63.1</v>
      </c>
      <c r="T7009" s="1">
        <v>4685.55</v>
      </c>
      <c r="U7009" s="1">
        <v>0.0</v>
      </c>
      <c r="V7009" s="1">
        <v>3.0</v>
      </c>
      <c r="W7009" s="1" t="s">
        <v>26</v>
      </c>
    </row>
    <row r="7010" ht="15.75" customHeight="1">
      <c r="A7010" s="1" t="s">
        <v>7047</v>
      </c>
      <c r="B7010" s="1" t="s">
        <v>24</v>
      </c>
      <c r="C7010" s="1">
        <v>1.0</v>
      </c>
      <c r="D7010" s="1" t="s">
        <v>26</v>
      </c>
      <c r="E7010" s="1" t="s">
        <v>26</v>
      </c>
      <c r="F7010" s="1">
        <v>3.0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1">
        <v>75.05</v>
      </c>
      <c r="T7010" s="1">
        <v>256.25</v>
      </c>
      <c r="U7010" s="1">
        <v>0.0</v>
      </c>
      <c r="V7010" s="1">
        <v>0.0</v>
      </c>
      <c r="W7010" s="1" t="s">
        <v>25</v>
      </c>
    </row>
    <row r="7011" ht="15.75" customHeight="1">
      <c r="A7011" s="1" t="s">
        <v>7048</v>
      </c>
      <c r="B7011" s="1" t="s">
        <v>32</v>
      </c>
      <c r="C7011" s="1">
        <v>0.0</v>
      </c>
      <c r="D7011" s="1" t="s">
        <v>26</v>
      </c>
      <c r="E7011" s="1" t="s">
        <v>26</v>
      </c>
      <c r="F7011" s="1">
        <v>23.0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1">
        <v>81.0</v>
      </c>
      <c r="T7011" s="1">
        <v>1917.1</v>
      </c>
      <c r="U7011" s="1">
        <v>0.0</v>
      </c>
      <c r="V7011" s="1">
        <v>0.0</v>
      </c>
      <c r="W7011" s="1" t="s">
        <v>25</v>
      </c>
    </row>
    <row r="7012" ht="15.75" customHeight="1">
      <c r="A7012" s="1" t="s">
        <v>7049</v>
      </c>
      <c r="B7012" s="1" t="s">
        <v>24</v>
      </c>
      <c r="C7012" s="1">
        <v>1.0</v>
      </c>
      <c r="D7012" s="1" t="s">
        <v>25</v>
      </c>
      <c r="E7012" s="1" t="s">
        <v>26</v>
      </c>
      <c r="F7012" s="1">
        <v>1.0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1">
        <v>74.45</v>
      </c>
      <c r="T7012" s="1">
        <v>74.45</v>
      </c>
      <c r="U7012" s="1">
        <v>0.0</v>
      </c>
      <c r="V7012" s="1">
        <v>0.0</v>
      </c>
      <c r="W7012" s="1" t="s">
        <v>25</v>
      </c>
    </row>
    <row r="7013" ht="15.75" customHeight="1">
      <c r="A7013" s="1" t="s">
        <v>7050</v>
      </c>
      <c r="B7013" s="1" t="s">
        <v>24</v>
      </c>
      <c r="C7013" s="1">
        <v>0.0</v>
      </c>
      <c r="D7013" s="1" t="s">
        <v>26</v>
      </c>
      <c r="E7013" s="1" t="s">
        <v>26</v>
      </c>
      <c r="F7013" s="1">
        <v>4.0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1">
        <v>60.4</v>
      </c>
      <c r="T7013" s="1">
        <v>272.15</v>
      </c>
      <c r="U7013" s="1">
        <v>0.0</v>
      </c>
      <c r="V7013" s="1">
        <v>0.0</v>
      </c>
      <c r="W7013" s="1" t="s">
        <v>25</v>
      </c>
    </row>
    <row r="7014" ht="15.75" customHeight="1">
      <c r="A7014" s="1" t="s">
        <v>7051</v>
      </c>
      <c r="B7014" s="1" t="s">
        <v>24</v>
      </c>
      <c r="C7014" s="1">
        <v>0.0</v>
      </c>
      <c r="D7014" s="1" t="s">
        <v>25</v>
      </c>
      <c r="E7014" s="1" t="s">
        <v>26</v>
      </c>
      <c r="F7014" s="1">
        <v>62.0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1">
        <v>84.95</v>
      </c>
      <c r="T7014" s="1">
        <v>5150.55</v>
      </c>
      <c r="U7014" s="1">
        <v>0.0</v>
      </c>
      <c r="V7014" s="1">
        <v>0.0</v>
      </c>
      <c r="W7014" s="1" t="s">
        <v>26</v>
      </c>
    </row>
    <row r="7015" ht="15.75" customHeight="1">
      <c r="A7015" s="1" t="s">
        <v>7052</v>
      </c>
      <c r="B7015" s="1" t="s">
        <v>24</v>
      </c>
      <c r="C7015" s="1">
        <v>0.0</v>
      </c>
      <c r="D7015" s="1" t="s">
        <v>26</v>
      </c>
      <c r="E7015" s="1" t="s">
        <v>26</v>
      </c>
      <c r="F7015" s="1">
        <v>40.0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1">
        <v>93.4</v>
      </c>
      <c r="T7015" s="1">
        <v>3756.4</v>
      </c>
      <c r="U7015" s="1">
        <v>0.0</v>
      </c>
      <c r="V7015" s="1">
        <v>0.0</v>
      </c>
      <c r="W7015" s="1" t="s">
        <v>26</v>
      </c>
    </row>
    <row r="7016" ht="15.75" customHeight="1">
      <c r="A7016" s="1" t="s">
        <v>7053</v>
      </c>
      <c r="B7016" s="1" t="s">
        <v>32</v>
      </c>
      <c r="C7016" s="1">
        <v>0.0</v>
      </c>
      <c r="D7016" s="1" t="s">
        <v>26</v>
      </c>
      <c r="E7016" s="1" t="s">
        <v>26</v>
      </c>
      <c r="F7016" s="1">
        <v>41.0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1">
        <v>89.2</v>
      </c>
      <c r="T7016" s="1">
        <v>3645.75</v>
      </c>
      <c r="U7016" s="1">
        <v>3.0</v>
      </c>
      <c r="V7016" s="1">
        <v>0.0</v>
      </c>
      <c r="W7016" s="1" t="s">
        <v>26</v>
      </c>
    </row>
    <row r="7017" ht="15.75" customHeight="1">
      <c r="A7017" s="1" t="s">
        <v>7054</v>
      </c>
      <c r="B7017" s="1" t="s">
        <v>32</v>
      </c>
      <c r="C7017" s="1">
        <v>1.0</v>
      </c>
      <c r="D7017" s="1" t="s">
        <v>25</v>
      </c>
      <c r="E7017" s="1" t="s">
        <v>26</v>
      </c>
      <c r="F7017" s="1">
        <v>34.0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1">
        <v>85.2</v>
      </c>
      <c r="T7017" s="1">
        <v>2874.45</v>
      </c>
      <c r="U7017" s="1">
        <v>0.0</v>
      </c>
      <c r="V7017" s="1">
        <v>0.0</v>
      </c>
      <c r="W7017" s="1" t="s">
        <v>26</v>
      </c>
    </row>
    <row r="7018" ht="15.75" customHeight="1">
      <c r="A7018" s="1" t="s">
        <v>7055</v>
      </c>
      <c r="B7018" s="1" t="s">
        <v>24</v>
      </c>
      <c r="C7018" s="1">
        <v>0.0</v>
      </c>
      <c r="D7018" s="1" t="s">
        <v>26</v>
      </c>
      <c r="E7018" s="1" t="s">
        <v>26</v>
      </c>
      <c r="F7018" s="1">
        <v>1.0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1">
        <v>49.95</v>
      </c>
      <c r="T7018" s="1">
        <v>49.95</v>
      </c>
      <c r="U7018" s="1">
        <v>0.0</v>
      </c>
      <c r="V7018" s="1">
        <v>0.0</v>
      </c>
      <c r="W7018" s="1" t="s">
        <v>26</v>
      </c>
    </row>
    <row r="7019" ht="15.75" customHeight="1">
      <c r="A7019" s="1" t="s">
        <v>7056</v>
      </c>
      <c r="B7019" s="1" t="s">
        <v>24</v>
      </c>
      <c r="C7019" s="1">
        <v>0.0</v>
      </c>
      <c r="D7019" s="1" t="s">
        <v>26</v>
      </c>
      <c r="E7019" s="1" t="s">
        <v>26</v>
      </c>
      <c r="F7019" s="1">
        <v>51.0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1">
        <v>20.65</v>
      </c>
      <c r="T7019" s="1">
        <v>1020.75</v>
      </c>
      <c r="U7019" s="1">
        <v>0.0</v>
      </c>
      <c r="V7019" s="1">
        <v>0.0</v>
      </c>
      <c r="W7019" s="1" t="s">
        <v>26</v>
      </c>
    </row>
    <row r="7020" ht="15.75" customHeight="1">
      <c r="A7020" s="1" t="s">
        <v>7057</v>
      </c>
      <c r="B7020" s="1" t="s">
        <v>32</v>
      </c>
      <c r="C7020" s="1">
        <v>0.0</v>
      </c>
      <c r="D7020" s="1" t="s">
        <v>25</v>
      </c>
      <c r="E7020" s="1" t="s">
        <v>25</v>
      </c>
      <c r="F7020" s="1">
        <v>1.0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1">
        <v>70.65</v>
      </c>
      <c r="T7020" s="1">
        <v>70.65</v>
      </c>
      <c r="U7020" s="1">
        <v>2.0</v>
      </c>
      <c r="V7020" s="1">
        <v>0.0</v>
      </c>
      <c r="W7020" s="1" t="s">
        <v>25</v>
      </c>
    </row>
    <row r="7021" ht="15.75" customHeight="1">
      <c r="A7021" s="1" t="s">
        <v>7058</v>
      </c>
      <c r="B7021" s="1" t="s">
        <v>24</v>
      </c>
      <c r="C7021" s="1">
        <v>0.0</v>
      </c>
      <c r="D7021" s="1" t="s">
        <v>26</v>
      </c>
      <c r="E7021" s="1" t="s">
        <v>26</v>
      </c>
      <c r="F7021" s="1">
        <v>39.0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1">
        <v>20.15</v>
      </c>
      <c r="T7021" s="1">
        <v>826.0</v>
      </c>
      <c r="U7021" s="1">
        <v>0.0</v>
      </c>
      <c r="V7021" s="1">
        <v>0.0</v>
      </c>
      <c r="W7021" s="1" t="s">
        <v>26</v>
      </c>
    </row>
    <row r="7022" ht="15.75" customHeight="1">
      <c r="A7022" s="1" t="s">
        <v>7059</v>
      </c>
      <c r="B7022" s="1" t="s">
        <v>32</v>
      </c>
      <c r="C7022" s="1">
        <v>0.0</v>
      </c>
      <c r="D7022" s="1" t="s">
        <v>25</v>
      </c>
      <c r="E7022" s="1" t="s">
        <v>25</v>
      </c>
      <c r="F7022" s="1">
        <v>12.0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1">
        <v>19.2</v>
      </c>
      <c r="T7022" s="1">
        <v>239.0</v>
      </c>
      <c r="U7022" s="1">
        <v>0.0</v>
      </c>
      <c r="V7022" s="1">
        <v>0.0</v>
      </c>
      <c r="W7022" s="1" t="s">
        <v>26</v>
      </c>
    </row>
    <row r="7023" ht="15.75" customHeight="1">
      <c r="A7023" s="1" t="s">
        <v>7060</v>
      </c>
      <c r="B7023" s="1" t="s">
        <v>32</v>
      </c>
      <c r="C7023" s="1">
        <v>0.0</v>
      </c>
      <c r="D7023" s="1" t="s">
        <v>26</v>
      </c>
      <c r="E7023" s="1" t="s">
        <v>26</v>
      </c>
      <c r="F7023" s="1">
        <v>12.0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1">
        <v>59.8</v>
      </c>
      <c r="T7023" s="1">
        <v>727.8</v>
      </c>
      <c r="U7023" s="1">
        <v>0.0</v>
      </c>
      <c r="V7023" s="1">
        <v>0.0</v>
      </c>
      <c r="W7023" s="1" t="s">
        <v>25</v>
      </c>
    </row>
    <row r="7024" ht="15.75" customHeight="1">
      <c r="A7024" s="1" t="s">
        <v>7061</v>
      </c>
      <c r="B7024" s="1" t="s">
        <v>32</v>
      </c>
      <c r="C7024" s="1">
        <v>0.0</v>
      </c>
      <c r="D7024" s="1" t="s">
        <v>26</v>
      </c>
      <c r="E7024" s="1" t="s">
        <v>26</v>
      </c>
      <c r="F7024" s="1">
        <v>72.0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1">
        <v>104.95</v>
      </c>
      <c r="T7024" s="1">
        <v>7544.3</v>
      </c>
      <c r="U7024" s="1">
        <v>0.0</v>
      </c>
      <c r="V7024" s="1">
        <v>0.0</v>
      </c>
      <c r="W7024" s="1" t="s">
        <v>26</v>
      </c>
    </row>
    <row r="7025" ht="15.75" customHeight="1">
      <c r="A7025" s="1" t="s">
        <v>7062</v>
      </c>
      <c r="B7025" s="1" t="s">
        <v>24</v>
      </c>
      <c r="C7025" s="1">
        <v>1.0</v>
      </c>
      <c r="D7025" s="1" t="s">
        <v>25</v>
      </c>
      <c r="E7025" s="1" t="s">
        <v>26</v>
      </c>
      <c r="F7025" s="1">
        <v>63.0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1">
        <v>103.5</v>
      </c>
      <c r="T7025" s="1">
        <v>6479.4</v>
      </c>
      <c r="U7025" s="1">
        <v>0.0</v>
      </c>
      <c r="V7025" s="1">
        <v>0.0</v>
      </c>
      <c r="W7025" s="1" t="s">
        <v>26</v>
      </c>
    </row>
    <row r="7026" ht="15.75" customHeight="1">
      <c r="A7026" s="1" t="s">
        <v>7063</v>
      </c>
      <c r="B7026" s="1" t="s">
        <v>32</v>
      </c>
      <c r="C7026" s="1">
        <v>0.0</v>
      </c>
      <c r="D7026" s="1" t="s">
        <v>25</v>
      </c>
      <c r="E7026" s="1" t="s">
        <v>26</v>
      </c>
      <c r="F7026" s="1">
        <v>44.0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1">
        <v>84.8</v>
      </c>
      <c r="T7026" s="1">
        <v>3626.35</v>
      </c>
      <c r="U7026" s="1">
        <v>0.0</v>
      </c>
      <c r="V7026" s="1">
        <v>0.0</v>
      </c>
      <c r="W7026" s="1" t="s">
        <v>26</v>
      </c>
    </row>
    <row r="7027" ht="15.75" customHeight="1">
      <c r="A7027" s="1" t="s">
        <v>7064</v>
      </c>
      <c r="B7027" s="1" t="s">
        <v>24</v>
      </c>
      <c r="C7027" s="1">
        <v>0.0</v>
      </c>
      <c r="D7027" s="1" t="s">
        <v>26</v>
      </c>
      <c r="E7027" s="1" t="s">
        <v>26</v>
      </c>
      <c r="F7027" s="1">
        <v>18.0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1">
        <v>95.05</v>
      </c>
      <c r="T7027" s="1">
        <v>1679.4</v>
      </c>
      <c r="U7027" s="1">
        <v>0.0</v>
      </c>
      <c r="V7027" s="1">
        <v>0.0</v>
      </c>
      <c r="W7027" s="1" t="s">
        <v>26</v>
      </c>
    </row>
    <row r="7028" ht="15.75" customHeight="1">
      <c r="A7028" s="1" t="s">
        <v>7065</v>
      </c>
      <c r="B7028" s="1" t="s">
        <v>24</v>
      </c>
      <c r="C7028" s="1">
        <v>0.0</v>
      </c>
      <c r="D7028" s="1" t="s">
        <v>26</v>
      </c>
      <c r="E7028" s="1" t="s">
        <v>26</v>
      </c>
      <c r="F7028" s="1">
        <v>9.0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1">
        <v>44.2</v>
      </c>
      <c r="T7028" s="1">
        <v>403.35</v>
      </c>
      <c r="U7028" s="1">
        <v>4.0</v>
      </c>
      <c r="V7028" s="1">
        <v>0.0</v>
      </c>
      <c r="W7028" s="1" t="s">
        <v>25</v>
      </c>
    </row>
    <row r="7029" ht="15.75" customHeight="1">
      <c r="A7029" s="1" t="s">
        <v>7066</v>
      </c>
      <c r="B7029" s="1" t="s">
        <v>32</v>
      </c>
      <c r="C7029" s="1">
        <v>0.0</v>
      </c>
      <c r="D7029" s="1" t="s">
        <v>26</v>
      </c>
      <c r="E7029" s="1" t="s">
        <v>26</v>
      </c>
      <c r="F7029" s="1">
        <v>13.0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1">
        <v>73.35</v>
      </c>
      <c r="T7029" s="1">
        <v>931.55</v>
      </c>
      <c r="U7029" s="1">
        <v>0.0</v>
      </c>
      <c r="V7029" s="1">
        <v>0.0</v>
      </c>
      <c r="W7029" s="1" t="s">
        <v>26</v>
      </c>
    </row>
    <row r="7030" ht="15.75" customHeight="1">
      <c r="A7030" s="1" t="s">
        <v>7067</v>
      </c>
      <c r="B7030" s="1" t="s">
        <v>24</v>
      </c>
      <c r="C7030" s="1">
        <v>0.0</v>
      </c>
      <c r="D7030" s="1" t="s">
        <v>25</v>
      </c>
      <c r="E7030" s="1" t="s">
        <v>26</v>
      </c>
      <c r="F7030" s="1">
        <v>68.0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1">
        <v>64.1</v>
      </c>
      <c r="T7030" s="1">
        <v>4326.25</v>
      </c>
      <c r="U7030" s="1">
        <v>0.0</v>
      </c>
      <c r="V7030" s="1">
        <v>0.0</v>
      </c>
      <c r="W7030" s="1" t="s">
        <v>26</v>
      </c>
    </row>
    <row r="7031" ht="15.75" customHeight="1">
      <c r="A7031" s="1" t="s">
        <v>7068</v>
      </c>
      <c r="B7031" s="1" t="s">
        <v>24</v>
      </c>
      <c r="C7031" s="1">
        <v>1.0</v>
      </c>
      <c r="D7031" s="1" t="s">
        <v>26</v>
      </c>
      <c r="E7031" s="1" t="s">
        <v>26</v>
      </c>
      <c r="F7031" s="1">
        <v>6.0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1">
        <v>44.4</v>
      </c>
      <c r="T7031" s="1">
        <v>263.05</v>
      </c>
      <c r="U7031" s="1">
        <v>0.0</v>
      </c>
      <c r="V7031" s="1">
        <v>0.0</v>
      </c>
      <c r="W7031" s="1" t="s">
        <v>26</v>
      </c>
    </row>
    <row r="7032" ht="15.75" customHeight="1">
      <c r="A7032" s="1" t="s">
        <v>7069</v>
      </c>
      <c r="B7032" s="1" t="s">
        <v>24</v>
      </c>
      <c r="C7032" s="1">
        <v>0.0</v>
      </c>
      <c r="D7032" s="1" t="s">
        <v>26</v>
      </c>
      <c r="E7032" s="1" t="s">
        <v>26</v>
      </c>
      <c r="F7032" s="1">
        <v>2.0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1">
        <v>20.05</v>
      </c>
      <c r="T7032" s="1">
        <v>39.25</v>
      </c>
      <c r="U7032" s="1">
        <v>0.0</v>
      </c>
      <c r="V7032" s="1">
        <v>0.0</v>
      </c>
      <c r="W7032" s="1" t="s">
        <v>26</v>
      </c>
    </row>
    <row r="7033" ht="15.75" customHeight="1">
      <c r="A7033" s="1" t="s">
        <v>7070</v>
      </c>
      <c r="B7033" s="1" t="s">
        <v>32</v>
      </c>
      <c r="C7033" s="1">
        <v>1.0</v>
      </c>
      <c r="D7033" s="1" t="s">
        <v>25</v>
      </c>
      <c r="E7033" s="1" t="s">
        <v>26</v>
      </c>
      <c r="F7033" s="1">
        <v>55.0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1">
        <v>60.0</v>
      </c>
      <c r="T7033" s="1">
        <v>3316.1</v>
      </c>
      <c r="U7033" s="1">
        <v>0.0</v>
      </c>
      <c r="V7033" s="1">
        <v>0.0</v>
      </c>
      <c r="W7033" s="1" t="s">
        <v>26</v>
      </c>
    </row>
    <row r="7034" ht="15.75" customHeight="1">
      <c r="A7034" s="1" t="s">
        <v>7071</v>
      </c>
      <c r="B7034" s="1" t="s">
        <v>32</v>
      </c>
      <c r="C7034" s="1">
        <v>1.0</v>
      </c>
      <c r="D7034" s="1" t="s">
        <v>26</v>
      </c>
      <c r="E7034" s="1" t="s">
        <v>26</v>
      </c>
      <c r="F7034" s="1">
        <v>1.0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1">
        <v>75.75</v>
      </c>
      <c r="T7034" s="1">
        <v>75.75</v>
      </c>
      <c r="U7034" s="1">
        <v>0.0</v>
      </c>
      <c r="V7034" s="1">
        <v>0.0</v>
      </c>
      <c r="W7034" s="1" t="s">
        <v>25</v>
      </c>
    </row>
    <row r="7035" ht="15.75" customHeight="1">
      <c r="A7035" s="1" t="s">
        <v>7072</v>
      </c>
      <c r="B7035" s="1" t="s">
        <v>32</v>
      </c>
      <c r="C7035" s="1">
        <v>0.0</v>
      </c>
      <c r="D7035" s="1" t="s">
        <v>26</v>
      </c>
      <c r="E7035" s="1" t="s">
        <v>26</v>
      </c>
      <c r="F7035" s="1">
        <v>38.0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1">
        <v>69.5</v>
      </c>
      <c r="T7035" s="1">
        <v>2625.25</v>
      </c>
      <c r="U7035" s="1">
        <v>0.0</v>
      </c>
      <c r="V7035" s="1">
        <v>0.0</v>
      </c>
      <c r="W7035" s="1" t="s">
        <v>26</v>
      </c>
    </row>
    <row r="7036" ht="15.75" customHeight="1">
      <c r="A7036" s="1" t="s">
        <v>7073</v>
      </c>
      <c r="B7036" s="1" t="s">
        <v>24</v>
      </c>
      <c r="C7036" s="1">
        <v>0.0</v>
      </c>
      <c r="D7036" s="1" t="s">
        <v>26</v>
      </c>
      <c r="E7036" s="1" t="s">
        <v>26</v>
      </c>
      <c r="F7036" s="1">
        <v>67.0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1">
        <v>102.95</v>
      </c>
      <c r="T7036" s="1">
        <v>6886.25</v>
      </c>
      <c r="U7036" s="1">
        <v>0.0</v>
      </c>
      <c r="V7036" s="1">
        <v>7.0</v>
      </c>
      <c r="W7036" s="1" t="s">
        <v>25</v>
      </c>
    </row>
    <row r="7037" ht="15.75" customHeight="1">
      <c r="A7037" s="1" t="s">
        <v>7074</v>
      </c>
      <c r="B7037" s="1" t="s">
        <v>32</v>
      </c>
      <c r="C7037" s="1">
        <v>0.0</v>
      </c>
      <c r="D7037" s="1" t="s">
        <v>26</v>
      </c>
      <c r="E7037" s="1" t="s">
        <v>26</v>
      </c>
      <c r="F7037" s="1">
        <v>19.0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1">
        <v>78.7</v>
      </c>
      <c r="T7037" s="1">
        <v>1495.1</v>
      </c>
      <c r="U7037" s="1">
        <v>0.0</v>
      </c>
      <c r="V7037" s="1">
        <v>0.0</v>
      </c>
      <c r="W7037" s="1" t="s">
        <v>26</v>
      </c>
    </row>
    <row r="7038" ht="15.75" customHeight="1">
      <c r="A7038" s="1" t="s">
        <v>7075</v>
      </c>
      <c r="B7038" s="1" t="s">
        <v>24</v>
      </c>
      <c r="C7038" s="1">
        <v>0.0</v>
      </c>
      <c r="D7038" s="1" t="s">
        <v>26</v>
      </c>
      <c r="E7038" s="1" t="s">
        <v>26</v>
      </c>
      <c r="F7038" s="1">
        <v>12.0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1">
        <v>60.65</v>
      </c>
      <c r="T7038" s="1">
        <v>743.3</v>
      </c>
      <c r="U7038" s="1">
        <v>0.0</v>
      </c>
      <c r="V7038" s="1">
        <v>0.0</v>
      </c>
      <c r="W7038" s="1" t="s">
        <v>26</v>
      </c>
    </row>
    <row r="7039" ht="15.75" customHeight="1">
      <c r="A7039" s="1" t="s">
        <v>7076</v>
      </c>
      <c r="B7039" s="1" t="s">
        <v>24</v>
      </c>
      <c r="C7039" s="1">
        <v>0.0</v>
      </c>
      <c r="D7039" s="1" t="s">
        <v>26</v>
      </c>
      <c r="E7039" s="1" t="s">
        <v>26</v>
      </c>
      <c r="F7039" s="1">
        <v>72.0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1">
        <v>21.15</v>
      </c>
      <c r="T7039" s="1">
        <v>1419.4</v>
      </c>
      <c r="U7039" s="1">
        <v>1.0</v>
      </c>
      <c r="V7039" s="1">
        <v>0.0</v>
      </c>
      <c r="W7039" s="1" t="s">
        <v>26</v>
      </c>
    </row>
    <row r="7040" ht="15.75" customHeight="1">
      <c r="A7040" s="1" t="s">
        <v>7077</v>
      </c>
      <c r="B7040" s="1" t="s">
        <v>32</v>
      </c>
      <c r="C7040" s="1">
        <v>0.0</v>
      </c>
      <c r="D7040" s="1" t="s">
        <v>25</v>
      </c>
      <c r="E7040" s="1" t="s">
        <v>25</v>
      </c>
      <c r="F7040" s="1">
        <v>24.0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1">
        <v>84.8</v>
      </c>
      <c r="T7040" s="1">
        <v>1990.5</v>
      </c>
      <c r="U7040" s="1">
        <v>0.0</v>
      </c>
      <c r="V7040" s="1">
        <v>0.0</v>
      </c>
      <c r="W7040" s="1" t="s">
        <v>26</v>
      </c>
    </row>
    <row r="7041" ht="15.75" customHeight="1">
      <c r="A7041" s="1" t="s">
        <v>7078</v>
      </c>
      <c r="B7041" s="1" t="s">
        <v>24</v>
      </c>
      <c r="C7041" s="1">
        <v>0.0</v>
      </c>
      <c r="D7041" s="1" t="s">
        <v>25</v>
      </c>
      <c r="E7041" s="1" t="s">
        <v>25</v>
      </c>
      <c r="F7041" s="1">
        <v>72.0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1">
        <v>103.2</v>
      </c>
      <c r="T7041" s="1">
        <v>7362.9</v>
      </c>
      <c r="U7041" s="1">
        <v>0.0</v>
      </c>
      <c r="V7041" s="1">
        <v>5.0</v>
      </c>
      <c r="W7041" s="1" t="s">
        <v>26</v>
      </c>
    </row>
    <row r="7042" ht="15.75" customHeight="1">
      <c r="A7042" s="1" t="s">
        <v>7079</v>
      </c>
      <c r="B7042" s="1" t="s">
        <v>24</v>
      </c>
      <c r="C7042" s="1">
        <v>0.0</v>
      </c>
      <c r="D7042" s="1" t="s">
        <v>25</v>
      </c>
      <c r="E7042" s="1" t="s">
        <v>25</v>
      </c>
      <c r="F7042" s="1">
        <v>11.0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1">
        <v>29.6</v>
      </c>
      <c r="T7042" s="1">
        <v>346.45</v>
      </c>
      <c r="U7042" s="1">
        <v>0.0</v>
      </c>
      <c r="V7042" s="1">
        <v>0.0</v>
      </c>
      <c r="W7042" s="1" t="s">
        <v>26</v>
      </c>
    </row>
    <row r="7043" ht="15.75" customHeight="1">
      <c r="A7043" s="1" t="s">
        <v>7080</v>
      </c>
      <c r="B7043" s="1" t="s">
        <v>32</v>
      </c>
      <c r="C7043" s="1">
        <v>1.0</v>
      </c>
      <c r="D7043" s="1" t="s">
        <v>25</v>
      </c>
      <c r="E7043" s="1" t="s">
        <v>26</v>
      </c>
      <c r="F7043" s="1">
        <v>4.0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1">
        <v>74.4</v>
      </c>
      <c r="T7043" s="1">
        <v>306.6</v>
      </c>
      <c r="U7043" s="1">
        <v>0.0</v>
      </c>
      <c r="V7043" s="1">
        <v>0.0</v>
      </c>
      <c r="W7043" s="1" t="s">
        <v>25</v>
      </c>
    </row>
    <row r="7044" ht="15.75" customHeight="1">
      <c r="A7044" s="1" t="s">
        <v>7081</v>
      </c>
      <c r="B7044" s="1" t="s">
        <v>32</v>
      </c>
      <c r="C7044" s="1">
        <v>0.0</v>
      </c>
      <c r="D7044" s="1" t="s">
        <v>26</v>
      </c>
      <c r="E7044" s="1" t="s">
        <v>26</v>
      </c>
      <c r="F7044" s="1">
        <v>66.0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1">
        <v>105.65</v>
      </c>
      <c r="T7044" s="1">
        <v>6844.5</v>
      </c>
      <c r="U7044" s="1">
        <v>2.0</v>
      </c>
      <c r="V7044" s="1">
        <v>0.0</v>
      </c>
      <c r="W7044" s="1" t="s">
        <v>26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40.71"/>
    <col customWidth="1" min="3" max="4" width="23.71"/>
    <col customWidth="1" min="5" max="5" width="44.0"/>
  </cols>
  <sheetData>
    <row r="1">
      <c r="A1" s="2" t="s">
        <v>7082</v>
      </c>
      <c r="B1" s="2" t="s">
        <v>7083</v>
      </c>
      <c r="C1" s="2" t="s">
        <v>7084</v>
      </c>
      <c r="D1" s="2" t="s">
        <v>7085</v>
      </c>
      <c r="E1" s="2" t="s">
        <v>7086</v>
      </c>
    </row>
    <row r="2">
      <c r="A2" s="3" t="s">
        <v>0</v>
      </c>
      <c r="B2" s="4" t="s">
        <v>7087</v>
      </c>
      <c r="C2" s="3" t="s">
        <v>23</v>
      </c>
      <c r="D2" s="4" t="s">
        <v>7088</v>
      </c>
      <c r="E2" s="4" t="s">
        <v>7089</v>
      </c>
    </row>
    <row r="3">
      <c r="A3" s="3" t="s">
        <v>1</v>
      </c>
      <c r="B3" s="4" t="s">
        <v>7090</v>
      </c>
      <c r="C3" s="4" t="s">
        <v>7091</v>
      </c>
      <c r="D3" s="4" t="s">
        <v>7088</v>
      </c>
      <c r="E3" s="4" t="s">
        <v>7092</v>
      </c>
    </row>
    <row r="4">
      <c r="A4" s="3" t="s">
        <v>2</v>
      </c>
      <c r="B4" s="4" t="s">
        <v>7093</v>
      </c>
      <c r="C4" s="4" t="s">
        <v>7094</v>
      </c>
      <c r="D4" s="4" t="s">
        <v>7095</v>
      </c>
      <c r="E4" s="4" t="s">
        <v>7092</v>
      </c>
    </row>
    <row r="5">
      <c r="A5" s="3" t="s">
        <v>3</v>
      </c>
      <c r="B5" s="4" t="s">
        <v>7096</v>
      </c>
      <c r="C5" s="4" t="s">
        <v>7097</v>
      </c>
      <c r="D5" s="4" t="s">
        <v>7088</v>
      </c>
      <c r="E5" s="4" t="s">
        <v>7092</v>
      </c>
    </row>
    <row r="6">
      <c r="A6" s="3" t="s">
        <v>4</v>
      </c>
      <c r="B6" s="4" t="s">
        <v>7098</v>
      </c>
      <c r="C6" s="4" t="s">
        <v>7097</v>
      </c>
      <c r="D6" s="4" t="s">
        <v>7088</v>
      </c>
      <c r="E6" s="4" t="s">
        <v>7092</v>
      </c>
    </row>
    <row r="7">
      <c r="A7" s="3" t="s">
        <v>5</v>
      </c>
      <c r="B7" s="4" t="s">
        <v>7099</v>
      </c>
      <c r="C7" s="4" t="s">
        <v>7100</v>
      </c>
      <c r="D7" s="4" t="s">
        <v>7101</v>
      </c>
      <c r="E7" s="4" t="s">
        <v>7102</v>
      </c>
    </row>
    <row r="8">
      <c r="A8" s="3" t="s">
        <v>6</v>
      </c>
      <c r="B8" s="4" t="s">
        <v>7103</v>
      </c>
      <c r="C8" s="4" t="s">
        <v>7097</v>
      </c>
      <c r="D8" s="4" t="s">
        <v>7088</v>
      </c>
      <c r="E8" s="4" t="s">
        <v>7092</v>
      </c>
    </row>
    <row r="9">
      <c r="A9" s="3" t="s">
        <v>7</v>
      </c>
      <c r="B9" s="4" t="s">
        <v>7104</v>
      </c>
      <c r="C9" s="4" t="s">
        <v>7097</v>
      </c>
      <c r="D9" s="4" t="s">
        <v>7088</v>
      </c>
      <c r="E9" s="4" t="s">
        <v>7092</v>
      </c>
    </row>
    <row r="10">
      <c r="A10" s="3" t="s">
        <v>8</v>
      </c>
      <c r="B10" s="4" t="s">
        <v>7105</v>
      </c>
      <c r="C10" s="4" t="s">
        <v>7106</v>
      </c>
      <c r="D10" s="4" t="s">
        <v>7088</v>
      </c>
      <c r="E10" s="4" t="s">
        <v>7092</v>
      </c>
    </row>
    <row r="11">
      <c r="A11" s="3" t="s">
        <v>9</v>
      </c>
      <c r="B11" s="4" t="s">
        <v>7107</v>
      </c>
      <c r="C11" s="4" t="s">
        <v>7097</v>
      </c>
      <c r="D11" s="4" t="s">
        <v>7088</v>
      </c>
      <c r="E11" s="4" t="s">
        <v>7092</v>
      </c>
    </row>
    <row r="12">
      <c r="A12" s="3" t="s">
        <v>10</v>
      </c>
      <c r="B12" s="4" t="s">
        <v>7108</v>
      </c>
      <c r="C12" s="4" t="s">
        <v>7097</v>
      </c>
      <c r="D12" s="4" t="s">
        <v>7088</v>
      </c>
      <c r="E12" s="4" t="s">
        <v>7092</v>
      </c>
    </row>
    <row r="13">
      <c r="A13" s="3" t="s">
        <v>11</v>
      </c>
      <c r="B13" s="4" t="s">
        <v>7109</v>
      </c>
      <c r="C13" s="4" t="s">
        <v>7097</v>
      </c>
      <c r="D13" s="4" t="s">
        <v>7088</v>
      </c>
      <c r="E13" s="4" t="s">
        <v>7092</v>
      </c>
    </row>
    <row r="14">
      <c r="A14" s="3" t="s">
        <v>12</v>
      </c>
      <c r="B14" s="3"/>
      <c r="C14" s="3"/>
      <c r="D14" s="3"/>
      <c r="E14" s="3"/>
    </row>
    <row r="15">
      <c r="A15" s="3" t="s">
        <v>13</v>
      </c>
      <c r="B15" s="3"/>
      <c r="C15" s="3"/>
      <c r="D15" s="3"/>
      <c r="E15" s="3"/>
    </row>
    <row r="16">
      <c r="A16" s="3" t="s">
        <v>14</v>
      </c>
      <c r="B16" s="3"/>
      <c r="C16" s="3"/>
      <c r="D16" s="3"/>
      <c r="E16" s="3"/>
    </row>
    <row r="17">
      <c r="A17" s="3" t="s">
        <v>15</v>
      </c>
      <c r="B17" s="4" t="s">
        <v>7110</v>
      </c>
      <c r="C17" s="4" t="s">
        <v>7111</v>
      </c>
      <c r="D17" s="4" t="s">
        <v>7088</v>
      </c>
      <c r="E17" s="4" t="s">
        <v>7092</v>
      </c>
    </row>
    <row r="18">
      <c r="A18" s="3" t="s">
        <v>16</v>
      </c>
      <c r="B18" s="3"/>
      <c r="C18" s="3"/>
      <c r="D18" s="3"/>
      <c r="E18" s="3"/>
    </row>
    <row r="19">
      <c r="A19" s="3" t="s">
        <v>17</v>
      </c>
      <c r="B19" s="4" t="s">
        <v>7112</v>
      </c>
      <c r="C19" s="4" t="s">
        <v>7113</v>
      </c>
      <c r="D19" s="4" t="s">
        <v>7088</v>
      </c>
      <c r="E19" s="4" t="s">
        <v>7092</v>
      </c>
    </row>
    <row r="20">
      <c r="A20" s="3" t="s">
        <v>18</v>
      </c>
      <c r="B20" s="4" t="s">
        <v>7114</v>
      </c>
      <c r="C20" s="5">
        <v>56.95</v>
      </c>
      <c r="D20" s="4" t="s">
        <v>7101</v>
      </c>
      <c r="E20" s="3"/>
    </row>
    <row r="21">
      <c r="A21" s="3" t="s">
        <v>19</v>
      </c>
      <c r="B21" s="4" t="s">
        <v>7115</v>
      </c>
      <c r="C21" s="5">
        <v>1889.5</v>
      </c>
      <c r="D21" s="4" t="s">
        <v>7101</v>
      </c>
      <c r="E21" s="3"/>
    </row>
    <row r="22">
      <c r="A22" s="3" t="s">
        <v>20</v>
      </c>
      <c r="B22" s="4" t="s">
        <v>7116</v>
      </c>
      <c r="C22" s="4">
        <v>2.0</v>
      </c>
      <c r="D22" s="4" t="s">
        <v>7101</v>
      </c>
      <c r="E22" s="3"/>
    </row>
    <row r="23">
      <c r="A23" s="3" t="s">
        <v>21</v>
      </c>
      <c r="B23" s="4" t="s">
        <v>7117</v>
      </c>
      <c r="C23" s="4">
        <v>3.0</v>
      </c>
      <c r="D23" s="4" t="s">
        <v>7101</v>
      </c>
      <c r="E23" s="3"/>
    </row>
    <row r="24">
      <c r="A24" s="3" t="s">
        <v>22</v>
      </c>
      <c r="B24" s="4" t="s">
        <v>7118</v>
      </c>
      <c r="C24" s="4" t="s">
        <v>7097</v>
      </c>
      <c r="D24" s="4" t="s">
        <v>7088</v>
      </c>
      <c r="E24" s="4" t="s">
        <v>7092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8.29"/>
    <col customWidth="1" min="4" max="4" width="27.86"/>
    <col customWidth="1" min="5" max="5" width="15.14"/>
    <col customWidth="1" min="6" max="6" width="39.43"/>
    <col customWidth="1" min="7" max="7" width="18.57"/>
  </cols>
  <sheetData>
    <row r="1">
      <c r="B1" s="6" t="s">
        <v>7119</v>
      </c>
      <c r="D1" s="7" t="s">
        <v>7120</v>
      </c>
      <c r="E1" s="7" t="s">
        <v>7121</v>
      </c>
    </row>
    <row r="2">
      <c r="A2" s="8" t="s">
        <v>7122</v>
      </c>
      <c r="B2" s="7" t="s">
        <v>7123</v>
      </c>
      <c r="D2" s="7" t="s">
        <v>7124</v>
      </c>
      <c r="E2" s="1" t="str">
        <f>TRIM(D2)</f>
        <v>Jobaaj Learnings</v>
      </c>
    </row>
    <row r="3">
      <c r="A3" s="8" t="s">
        <v>7125</v>
      </c>
      <c r="B3" s="7" t="s">
        <v>7126</v>
      </c>
      <c r="D3" s="7" t="s">
        <v>7127</v>
      </c>
      <c r="E3" s="1" t="str">
        <f>PROPER(D3)</f>
        <v>Jobaaj Learning</v>
      </c>
      <c r="F3" s="7" t="s">
        <v>7128</v>
      </c>
    </row>
    <row r="4">
      <c r="A4" s="8" t="s">
        <v>7129</v>
      </c>
      <c r="B4" s="7" t="s">
        <v>7130</v>
      </c>
      <c r="D4" s="7" t="s">
        <v>7131</v>
      </c>
      <c r="E4" s="1">
        <f>LEN(D4)</f>
        <v>6</v>
      </c>
      <c r="F4" s="7" t="s">
        <v>7132</v>
      </c>
    </row>
    <row r="5">
      <c r="A5" s="8" t="s">
        <v>7133</v>
      </c>
      <c r="B5" s="7" t="s">
        <v>7134</v>
      </c>
      <c r="D5" s="1" t="s">
        <v>23</v>
      </c>
      <c r="E5" s="1" t="str">
        <f>LEFT(D5,4)</f>
        <v>7590</v>
      </c>
      <c r="F5" s="7" t="s">
        <v>7135</v>
      </c>
    </row>
    <row r="6">
      <c r="A6" s="8" t="s">
        <v>7136</v>
      </c>
      <c r="B6" s="7" t="s">
        <v>7137</v>
      </c>
      <c r="D6" s="1" t="s">
        <v>23</v>
      </c>
      <c r="E6" s="1" t="str">
        <f>RIGHT(D6,5)</f>
        <v>VHVEG</v>
      </c>
      <c r="F6" s="7" t="s">
        <v>7138</v>
      </c>
    </row>
    <row r="7">
      <c r="A7" s="8" t="s">
        <v>7139</v>
      </c>
      <c r="B7" s="7" t="s">
        <v>7140</v>
      </c>
      <c r="D7" s="7" t="s">
        <v>7141</v>
      </c>
      <c r="E7" s="1" t="str">
        <f>MID(D7,8,4)</f>
        <v>John</v>
      </c>
    </row>
    <row r="8">
      <c r="A8" s="8" t="s">
        <v>7142</v>
      </c>
      <c r="B8" s="7" t="s">
        <v>7143</v>
      </c>
      <c r="D8" s="7" t="s">
        <v>7144</v>
      </c>
      <c r="E8" s="1" t="str">
        <f>MID(D8, 10,10)</f>
        <v>Karamchand</v>
      </c>
    </row>
    <row r="9">
      <c r="A9" s="8" t="s">
        <v>7145</v>
      </c>
      <c r="B9" s="7" t="s">
        <v>7146</v>
      </c>
    </row>
    <row r="10">
      <c r="A10" s="8" t="s">
        <v>7147</v>
      </c>
      <c r="B10" s="7" t="s">
        <v>7148</v>
      </c>
      <c r="E10" s="7" t="s">
        <v>7149</v>
      </c>
      <c r="F10" s="7" t="s">
        <v>7150</v>
      </c>
    </row>
    <row r="11">
      <c r="A11" s="8" t="s">
        <v>7151</v>
      </c>
      <c r="B11" s="7" t="s">
        <v>7152</v>
      </c>
      <c r="D11" s="7" t="s">
        <v>7153</v>
      </c>
      <c r="E11" s="1" t="str">
        <f t="shared" ref="E11:E15" si="1">LEFT(D11,FIND(" ",D11)-1)</f>
        <v>Shiva</v>
      </c>
      <c r="F11" s="1" t="str">
        <f t="shared" ref="F11:F15" si="2">RIGHT(D11,LEN(D11)-FIND(" ",D11))</f>
        <v>Vashishtha</v>
      </c>
    </row>
    <row r="12">
      <c r="A12" s="8" t="s">
        <v>7154</v>
      </c>
      <c r="D12" s="7" t="s">
        <v>7155</v>
      </c>
      <c r="E12" s="1" t="str">
        <f t="shared" si="1"/>
        <v>Sneha</v>
      </c>
      <c r="F12" s="1" t="str">
        <f t="shared" si="2"/>
        <v>Tripathi</v>
      </c>
    </row>
    <row r="13">
      <c r="D13" s="7" t="s">
        <v>7156</v>
      </c>
      <c r="E13" s="1" t="str">
        <f t="shared" si="1"/>
        <v>Sanjay</v>
      </c>
      <c r="F13" s="1" t="str">
        <f t="shared" si="2"/>
        <v>Kumar</v>
      </c>
    </row>
    <row r="14">
      <c r="D14" s="7" t="s">
        <v>7157</v>
      </c>
      <c r="E14" s="1" t="str">
        <f t="shared" si="1"/>
        <v>Syed</v>
      </c>
      <c r="F14" s="1" t="str">
        <f t="shared" si="2"/>
        <v>Imtiaz</v>
      </c>
    </row>
    <row r="15">
      <c r="B15" s="9" t="s">
        <v>7158</v>
      </c>
      <c r="D15" s="7" t="s">
        <v>7159</v>
      </c>
      <c r="E15" s="1" t="str">
        <f t="shared" si="1"/>
        <v>Radhika</v>
      </c>
      <c r="F15" s="1" t="str">
        <f t="shared" si="2"/>
        <v>Wankhede</v>
      </c>
    </row>
    <row r="16">
      <c r="A16" s="10" t="s">
        <v>7160</v>
      </c>
      <c r="B16" s="10"/>
    </row>
    <row r="17">
      <c r="A17" s="10" t="s">
        <v>7161</v>
      </c>
      <c r="B17" s="10"/>
      <c r="G17" s="7" t="s">
        <v>7162</v>
      </c>
    </row>
    <row r="18">
      <c r="A18" s="10" t="s">
        <v>7163</v>
      </c>
      <c r="B18" s="10"/>
      <c r="E18" s="7" t="s">
        <v>7164</v>
      </c>
      <c r="F18" s="7" t="s">
        <v>7165</v>
      </c>
      <c r="G18" s="7" t="s">
        <v>7166</v>
      </c>
    </row>
    <row r="19">
      <c r="A19" s="10" t="s">
        <v>7167</v>
      </c>
      <c r="B19" s="10"/>
      <c r="D19" s="7" t="s">
        <v>7155</v>
      </c>
      <c r="E19" s="1">
        <f>LEN(D19)</f>
        <v>14</v>
      </c>
      <c r="F19" s="1">
        <f>FIND(" ",D19)</f>
        <v>6</v>
      </c>
      <c r="G19" s="1">
        <f>E19-F19</f>
        <v>8</v>
      </c>
    </row>
    <row r="20">
      <c r="A20" s="10" t="s">
        <v>7168</v>
      </c>
      <c r="B20" s="11" t="s">
        <v>7169</v>
      </c>
      <c r="G20" s="1" t="str">
        <f>RIGHT(D19,G19)</f>
        <v>Tripathi</v>
      </c>
    </row>
    <row r="21">
      <c r="A21" s="10" t="s">
        <v>7170</v>
      </c>
      <c r="B21" s="11" t="s">
        <v>7171</v>
      </c>
      <c r="D21" s="7" t="s">
        <v>7144</v>
      </c>
      <c r="E21" s="1" t="str">
        <f>MID(D21,FIND(" ",D21)+1,LEN(D21)-FIND(" ",D21,FIND(" ",D21)+1))</f>
        <v>Karamc</v>
      </c>
    </row>
    <row r="22">
      <c r="A22" s="10" t="s">
        <v>7172</v>
      </c>
      <c r="B22" s="10" t="s">
        <v>7173</v>
      </c>
      <c r="D22" s="7" t="s">
        <v>7144</v>
      </c>
      <c r="E22" s="7">
        <f>FIND(" ",D21)+1</f>
        <v>10</v>
      </c>
    </row>
    <row r="23">
      <c r="A23" s="10" t="s">
        <v>7174</v>
      </c>
      <c r="B23" s="11" t="s">
        <v>7175</v>
      </c>
      <c r="D23" s="7" t="s">
        <v>7144</v>
      </c>
      <c r="E23" s="1">
        <f>FIND(" ",D23,FIND(" ",D23)+1)</f>
        <v>20</v>
      </c>
      <c r="G23" s="12" t="s">
        <v>7176</v>
      </c>
    </row>
    <row r="24">
      <c r="A24" s="10" t="s">
        <v>7177</v>
      </c>
      <c r="B24" s="11" t="s">
        <v>7178</v>
      </c>
      <c r="G24" s="12" t="s">
        <v>7179</v>
      </c>
    </row>
    <row r="25">
      <c r="A25" s="10" t="s">
        <v>7180</v>
      </c>
      <c r="B25" s="10" t="s">
        <v>7181</v>
      </c>
      <c r="D25" s="7" t="s">
        <v>7182</v>
      </c>
      <c r="E25" s="7" t="s">
        <v>7183</v>
      </c>
      <c r="F25" s="1" t="str">
        <f>CONCATENATE(D25,E25)</f>
        <v>MahatmaGandhi</v>
      </c>
      <c r="G25" s="12" t="s">
        <v>7184</v>
      </c>
    </row>
    <row r="26">
      <c r="D26" s="7" t="s">
        <v>7182</v>
      </c>
      <c r="E26" s="7" t="s">
        <v>7183</v>
      </c>
      <c r="F26" s="1" t="str">
        <f>CONCATENATE(D26," ",E26)</f>
        <v>Mahatma Gandhi</v>
      </c>
      <c r="G26" s="12" t="s">
        <v>7185</v>
      </c>
    </row>
    <row r="27">
      <c r="B27" s="9" t="s">
        <v>7186</v>
      </c>
      <c r="G27" s="12" t="s">
        <v>7187</v>
      </c>
    </row>
    <row r="28">
      <c r="A28" s="10" t="s">
        <v>7188</v>
      </c>
      <c r="D28" s="7" t="s">
        <v>7189</v>
      </c>
      <c r="E28" s="1" t="str">
        <f>UPPER(D28)</f>
        <v>MAHATMA</v>
      </c>
      <c r="G28" s="12" t="s">
        <v>7190</v>
      </c>
    </row>
    <row r="29">
      <c r="B29" s="10"/>
      <c r="D29" s="7" t="s">
        <v>7191</v>
      </c>
      <c r="E29" s="1" t="str">
        <f>LOWER(D29)</f>
        <v>mahatma</v>
      </c>
      <c r="G29" s="12" t="s">
        <v>7192</v>
      </c>
    </row>
    <row r="30">
      <c r="B30" s="9" t="s">
        <v>7193</v>
      </c>
    </row>
    <row r="31">
      <c r="A31" s="10" t="s">
        <v>7194</v>
      </c>
      <c r="B31" s="7" t="s">
        <v>7195</v>
      </c>
      <c r="D31" s="13">
        <v>46222.0</v>
      </c>
      <c r="E31" s="1" t="str">
        <f>TEXT(D31,"dd")</f>
        <v>19</v>
      </c>
      <c r="F31" s="7" t="s">
        <v>7196</v>
      </c>
    </row>
    <row r="32">
      <c r="A32" s="10" t="s">
        <v>7197</v>
      </c>
      <c r="B32" s="7" t="s">
        <v>7198</v>
      </c>
      <c r="D32" s="13">
        <v>46222.0</v>
      </c>
      <c r="E32" s="1" t="str">
        <f>TEXT(D32,"mm")</f>
        <v>07</v>
      </c>
      <c r="F32" s="7" t="s">
        <v>7199</v>
      </c>
    </row>
    <row r="33">
      <c r="D33" s="13">
        <v>46222.0</v>
      </c>
      <c r="E33" s="1" t="str">
        <f>TEXT(D33,"mmm")</f>
        <v>Jul</v>
      </c>
      <c r="F33" s="7" t="s">
        <v>7200</v>
      </c>
    </row>
    <row r="34">
      <c r="D34" s="13">
        <v>46222.0</v>
      </c>
      <c r="E34" s="1" t="str">
        <f>TEXT(D34,"mmmm")</f>
        <v>July</v>
      </c>
      <c r="F34" s="7" t="s">
        <v>7201</v>
      </c>
    </row>
    <row r="35">
      <c r="D35" s="13">
        <v>46222.0</v>
      </c>
      <c r="E35" s="1" t="str">
        <f>TEXT(D35,"yy")</f>
        <v>26</v>
      </c>
      <c r="F35" s="7" t="s">
        <v>7202</v>
      </c>
    </row>
    <row r="36">
      <c r="D36" s="13">
        <v>46222.0</v>
      </c>
      <c r="E36" s="1" t="str">
        <f>TEXT(D36,"yyyy")</f>
        <v>2026</v>
      </c>
      <c r="F36" s="7" t="s">
        <v>7203</v>
      </c>
    </row>
    <row r="38">
      <c r="D38" s="7" t="s">
        <v>7204</v>
      </c>
      <c r="E38" s="1" t="str">
        <f>REPLACE(D38,1,len("Salman"),"Shahrukh")</f>
        <v>Shahrukh Khan</v>
      </c>
    </row>
    <row r="41">
      <c r="D41" s="7">
        <v>1.0</v>
      </c>
      <c r="F41" s="1">
        <f>COUNT(D41:D48)</f>
        <v>3</v>
      </c>
    </row>
    <row r="42">
      <c r="D42" s="7">
        <v>2.0</v>
      </c>
      <c r="F42" s="1">
        <f>counta(D41:D48)</f>
        <v>6</v>
      </c>
    </row>
    <row r="43">
      <c r="D43" s="7">
        <v>3.0</v>
      </c>
    </row>
    <row r="44">
      <c r="F44" s="1">
        <f>COUNTBLANK(D41:D48)</f>
        <v>2</v>
      </c>
    </row>
    <row r="46">
      <c r="D46" s="7" t="s">
        <v>7205</v>
      </c>
    </row>
    <row r="47">
      <c r="D47" s="7" t="s">
        <v>7206</v>
      </c>
    </row>
    <row r="48">
      <c r="D48" s="7" t="s">
        <v>7207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7194</v>
      </c>
      <c r="B1" s="10"/>
      <c r="E1" s="7" t="s">
        <v>7208</v>
      </c>
    </row>
    <row r="2">
      <c r="A2" s="14" t="s">
        <v>7209</v>
      </c>
      <c r="B2" s="14" t="s">
        <v>7210</v>
      </c>
      <c r="C2" s="15" t="s">
        <v>7211</v>
      </c>
      <c r="I2" s="7" t="s">
        <v>7212</v>
      </c>
    </row>
    <row r="3">
      <c r="A3" s="16">
        <v>21.0</v>
      </c>
      <c r="B3" s="16">
        <v>34.0</v>
      </c>
      <c r="C3" s="1" t="b">
        <f t="shared" ref="C3:C5" si="2">AND(A3&gt;=33,B3&gt;=33)</f>
        <v>0</v>
      </c>
      <c r="D3" s="17" t="b">
        <f t="shared" ref="D3:F3" si="1">A3&gt;=33</f>
        <v>0</v>
      </c>
      <c r="E3" s="1" t="b">
        <f t="shared" si="1"/>
        <v>1</v>
      </c>
      <c r="F3" s="17" t="b">
        <f t="shared" si="1"/>
        <v>1</v>
      </c>
      <c r="I3" s="7">
        <v>0.0</v>
      </c>
      <c r="J3" s="7">
        <v>1.0</v>
      </c>
      <c r="K3" s="7">
        <v>0.0</v>
      </c>
    </row>
    <row r="4">
      <c r="A4" s="16">
        <v>12.0</v>
      </c>
      <c r="B4" s="16">
        <v>43.0</v>
      </c>
      <c r="C4" s="1" t="b">
        <f t="shared" si="2"/>
        <v>0</v>
      </c>
      <c r="D4" s="17" t="b">
        <f t="shared" ref="D4:F4" si="3">A4&gt;=33</f>
        <v>0</v>
      </c>
      <c r="E4" s="1" t="b">
        <f t="shared" si="3"/>
        <v>1</v>
      </c>
      <c r="F4" s="17" t="b">
        <f t="shared" si="3"/>
        <v>1</v>
      </c>
      <c r="I4" s="7">
        <v>1.0</v>
      </c>
      <c r="J4" s="7">
        <v>0.0</v>
      </c>
      <c r="K4" s="7">
        <v>0.0</v>
      </c>
    </row>
    <row r="5">
      <c r="A5" s="16">
        <v>34.0</v>
      </c>
      <c r="B5" s="16">
        <v>50.0</v>
      </c>
      <c r="C5" s="1" t="b">
        <f t="shared" si="2"/>
        <v>1</v>
      </c>
      <c r="D5" s="1" t="b">
        <f t="shared" ref="D5:E5" si="4">A5&gt;=33</f>
        <v>1</v>
      </c>
      <c r="E5" s="1" t="b">
        <f t="shared" si="4"/>
        <v>1</v>
      </c>
      <c r="F5" s="7" t="b">
        <v>1</v>
      </c>
      <c r="I5" s="7">
        <v>0.0</v>
      </c>
      <c r="J5" s="7">
        <v>0.0</v>
      </c>
      <c r="K5" s="7">
        <v>0.0</v>
      </c>
    </row>
    <row r="6">
      <c r="I6" s="7">
        <v>1.0</v>
      </c>
      <c r="J6" s="7">
        <v>1.0</v>
      </c>
      <c r="K6" s="7">
        <v>1.0</v>
      </c>
    </row>
    <row r="8">
      <c r="A8" s="18" t="s">
        <v>7197</v>
      </c>
      <c r="B8" s="10"/>
    </row>
    <row r="9">
      <c r="A9" s="14" t="s">
        <v>7209</v>
      </c>
      <c r="B9" s="14" t="s">
        <v>7210</v>
      </c>
      <c r="C9" s="15" t="s">
        <v>7211</v>
      </c>
      <c r="E9" s="7" t="s">
        <v>7213</v>
      </c>
      <c r="I9" s="7" t="s">
        <v>7214</v>
      </c>
    </row>
    <row r="10">
      <c r="A10" s="16">
        <v>21.0</v>
      </c>
      <c r="B10" s="16">
        <v>34.0</v>
      </c>
      <c r="C10" s="1" t="b">
        <f t="shared" ref="C10:C12" si="6">OR(A10&gt;=33,B10&gt;=33)</f>
        <v>1</v>
      </c>
      <c r="D10" s="17" t="b">
        <f t="shared" ref="D10:F10" si="5">A10&gt;=33</f>
        <v>0</v>
      </c>
      <c r="E10" s="1" t="b">
        <f t="shared" si="5"/>
        <v>1</v>
      </c>
      <c r="F10" s="1" t="b">
        <f t="shared" si="5"/>
        <v>1</v>
      </c>
      <c r="I10" s="7">
        <v>0.0</v>
      </c>
      <c r="J10" s="7">
        <v>1.0</v>
      </c>
      <c r="K10" s="7">
        <v>1.0</v>
      </c>
    </row>
    <row r="11">
      <c r="A11" s="16">
        <v>12.0</v>
      </c>
      <c r="B11" s="16">
        <v>43.0</v>
      </c>
      <c r="C11" s="1" t="b">
        <f t="shared" si="6"/>
        <v>1</v>
      </c>
      <c r="D11" s="17" t="b">
        <f t="shared" ref="D11:F11" si="7">A11&gt;=33</f>
        <v>0</v>
      </c>
      <c r="E11" s="1" t="b">
        <f t="shared" si="7"/>
        <v>1</v>
      </c>
      <c r="F11" s="1" t="b">
        <f t="shared" si="7"/>
        <v>1</v>
      </c>
      <c r="I11" s="7">
        <v>1.0</v>
      </c>
      <c r="J11" s="7">
        <v>0.0</v>
      </c>
      <c r="K11" s="7">
        <v>1.0</v>
      </c>
    </row>
    <row r="12">
      <c r="A12" s="16">
        <v>34.0</v>
      </c>
      <c r="B12" s="16">
        <v>50.0</v>
      </c>
      <c r="C12" s="1" t="b">
        <f t="shared" si="6"/>
        <v>1</v>
      </c>
      <c r="D12" s="1" t="b">
        <f t="shared" ref="D12:F12" si="8">A12&gt;=33</f>
        <v>1</v>
      </c>
      <c r="E12" s="1" t="b">
        <f t="shared" si="8"/>
        <v>1</v>
      </c>
      <c r="F12" s="1" t="b">
        <f t="shared" si="8"/>
        <v>1</v>
      </c>
      <c r="I12" s="7">
        <v>0.0</v>
      </c>
      <c r="J12" s="7">
        <v>0.0</v>
      </c>
      <c r="K12" s="7">
        <v>0.0</v>
      </c>
    </row>
    <row r="13">
      <c r="I13" s="7">
        <v>1.0</v>
      </c>
      <c r="J13" s="7">
        <v>1.0</v>
      </c>
      <c r="K13" s="7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18.14"/>
  </cols>
  <sheetData>
    <row r="1">
      <c r="A1" s="19" t="s">
        <v>7215</v>
      </c>
      <c r="B1" s="19" t="s">
        <v>7216</v>
      </c>
      <c r="C1" s="19" t="s">
        <v>7217</v>
      </c>
      <c r="D1" s="19" t="s">
        <v>7218</v>
      </c>
      <c r="E1" s="19" t="s">
        <v>7219</v>
      </c>
      <c r="F1" s="19" t="s">
        <v>7220</v>
      </c>
      <c r="G1" s="19" t="s">
        <v>7221</v>
      </c>
      <c r="H1" s="9" t="s">
        <v>7222</v>
      </c>
      <c r="I1" s="9" t="s">
        <v>7223</v>
      </c>
      <c r="J1" s="9" t="s">
        <v>7224</v>
      </c>
    </row>
    <row r="2">
      <c r="A2" s="20" t="s">
        <v>7225</v>
      </c>
      <c r="B2" s="21">
        <v>42682.0</v>
      </c>
      <c r="C2" s="22">
        <v>261.96</v>
      </c>
      <c r="D2" s="22">
        <v>2.0</v>
      </c>
      <c r="E2" s="23">
        <v>0.0</v>
      </c>
      <c r="F2" s="22">
        <v>41.9136</v>
      </c>
      <c r="G2" s="23">
        <v>0.16</v>
      </c>
      <c r="H2" s="11" t="str">
        <f t="shared" ref="H2:H16" si="1">IF(F2&lt;0,"Loss","Profit")</f>
        <v>Profit</v>
      </c>
      <c r="I2" s="16">
        <f t="shared" ref="I2:I16" si="2">IF(C2&gt;500,C2-C2*0.1,C2)</f>
        <v>261.96</v>
      </c>
      <c r="J2" s="10" t="str">
        <f t="shared" ref="J2:J16" si="3">IF(C2&gt;=449,"HVO","LVO")</f>
        <v>LVO</v>
      </c>
      <c r="K2" s="1" t="b">
        <f t="shared" ref="K2:K16" si="4">AND(C2&gt;=100,E2&gt;=15%)</f>
        <v>0</v>
      </c>
    </row>
    <row r="3">
      <c r="A3" s="20" t="s">
        <v>7226</v>
      </c>
      <c r="B3" s="21">
        <v>42533.0</v>
      </c>
      <c r="C3" s="22">
        <v>14.62</v>
      </c>
      <c r="D3" s="22">
        <v>2.0</v>
      </c>
      <c r="E3" s="23">
        <v>0.0</v>
      </c>
      <c r="F3" s="22">
        <v>6.8714</v>
      </c>
      <c r="G3" s="23">
        <v>0.47</v>
      </c>
      <c r="H3" s="11" t="str">
        <f t="shared" si="1"/>
        <v>Profit</v>
      </c>
      <c r="I3" s="16">
        <f t="shared" si="2"/>
        <v>14.62</v>
      </c>
      <c r="J3" s="10" t="str">
        <f t="shared" si="3"/>
        <v>LVO</v>
      </c>
      <c r="K3" s="1" t="b">
        <f t="shared" si="4"/>
        <v>0</v>
      </c>
    </row>
    <row r="4">
      <c r="A4" s="20" t="s">
        <v>7227</v>
      </c>
      <c r="B4" s="24">
        <v>42288.0</v>
      </c>
      <c r="C4" s="25">
        <v>957.5775</v>
      </c>
      <c r="D4" s="22">
        <v>5.0</v>
      </c>
      <c r="E4" s="26">
        <v>0.45</v>
      </c>
      <c r="F4" s="22">
        <v>-383.031</v>
      </c>
      <c r="G4" s="23">
        <v>-0.4</v>
      </c>
      <c r="H4" s="11" t="str">
        <f t="shared" si="1"/>
        <v>Loss</v>
      </c>
      <c r="I4" s="16">
        <f t="shared" si="2"/>
        <v>861.81975</v>
      </c>
      <c r="J4" s="10" t="str">
        <f t="shared" si="3"/>
        <v>HVO</v>
      </c>
      <c r="K4" s="27" t="b">
        <f t="shared" si="4"/>
        <v>1</v>
      </c>
    </row>
    <row r="5">
      <c r="A5" s="20" t="s">
        <v>7228</v>
      </c>
      <c r="B5" s="21">
        <v>41799.0</v>
      </c>
      <c r="C5" s="22">
        <v>48.86</v>
      </c>
      <c r="D5" s="22">
        <v>7.0</v>
      </c>
      <c r="E5" s="23">
        <v>0.0</v>
      </c>
      <c r="F5" s="22">
        <v>14.1694</v>
      </c>
      <c r="G5" s="23">
        <v>0.29</v>
      </c>
      <c r="H5" s="11" t="str">
        <f t="shared" si="1"/>
        <v>Profit</v>
      </c>
      <c r="I5" s="16">
        <f t="shared" si="2"/>
        <v>48.86</v>
      </c>
      <c r="J5" s="10" t="str">
        <f t="shared" si="3"/>
        <v>LVO</v>
      </c>
      <c r="K5" s="1" t="b">
        <f t="shared" si="4"/>
        <v>0</v>
      </c>
    </row>
    <row r="6">
      <c r="A6" s="20" t="s">
        <v>7229</v>
      </c>
      <c r="B6" s="21">
        <v>42840.0</v>
      </c>
      <c r="C6" s="22">
        <v>15.552</v>
      </c>
      <c r="D6" s="22">
        <v>3.0</v>
      </c>
      <c r="E6" s="23">
        <v>0.2</v>
      </c>
      <c r="F6" s="22">
        <v>5.4432</v>
      </c>
      <c r="G6" s="23">
        <v>0.35</v>
      </c>
      <c r="H6" s="11" t="str">
        <f t="shared" si="1"/>
        <v>Profit</v>
      </c>
      <c r="I6" s="16">
        <f t="shared" si="2"/>
        <v>15.552</v>
      </c>
      <c r="J6" s="10" t="str">
        <f t="shared" si="3"/>
        <v>LVO</v>
      </c>
      <c r="K6" s="1" t="b">
        <f t="shared" si="4"/>
        <v>0</v>
      </c>
    </row>
    <row r="7">
      <c r="A7" s="20" t="s">
        <v>7230</v>
      </c>
      <c r="B7" s="21">
        <v>42709.0</v>
      </c>
      <c r="C7" s="25">
        <v>407.976</v>
      </c>
      <c r="D7" s="22">
        <v>3.0</v>
      </c>
      <c r="E7" s="26">
        <v>0.2</v>
      </c>
      <c r="F7" s="22">
        <v>132.5922</v>
      </c>
      <c r="G7" s="23">
        <v>0.325</v>
      </c>
      <c r="H7" s="11" t="str">
        <f t="shared" si="1"/>
        <v>Profit</v>
      </c>
      <c r="I7" s="16">
        <f t="shared" si="2"/>
        <v>407.976</v>
      </c>
      <c r="J7" s="10" t="str">
        <f t="shared" si="3"/>
        <v>LVO</v>
      </c>
      <c r="K7" s="27" t="b">
        <f t="shared" si="4"/>
        <v>1</v>
      </c>
    </row>
    <row r="8">
      <c r="A8" s="20" t="s">
        <v>7231</v>
      </c>
      <c r="B8" s="24">
        <v>42330.0</v>
      </c>
      <c r="C8" s="22">
        <v>68.81</v>
      </c>
      <c r="D8" s="22">
        <v>5.0</v>
      </c>
      <c r="E8" s="23">
        <v>0.8</v>
      </c>
      <c r="F8" s="22">
        <v>-123.858</v>
      </c>
      <c r="G8" s="23">
        <v>-1.8</v>
      </c>
      <c r="H8" s="11" t="str">
        <f t="shared" si="1"/>
        <v>Loss</v>
      </c>
      <c r="I8" s="16">
        <f t="shared" si="2"/>
        <v>68.81</v>
      </c>
      <c r="J8" s="10" t="str">
        <f t="shared" si="3"/>
        <v>LVO</v>
      </c>
      <c r="K8" s="1" t="b">
        <f t="shared" si="4"/>
        <v>0</v>
      </c>
    </row>
    <row r="9">
      <c r="A9" s="20" t="s">
        <v>7232</v>
      </c>
      <c r="B9" s="24">
        <v>41954.0</v>
      </c>
      <c r="C9" s="22">
        <v>665.88</v>
      </c>
      <c r="D9" s="22">
        <v>6.0</v>
      </c>
      <c r="E9" s="23">
        <v>0.0</v>
      </c>
      <c r="F9" s="22">
        <v>13.3176</v>
      </c>
      <c r="G9" s="23">
        <v>0.02</v>
      </c>
      <c r="H9" s="11" t="str">
        <f t="shared" si="1"/>
        <v>Profit</v>
      </c>
      <c r="I9" s="16">
        <f t="shared" si="2"/>
        <v>599.292</v>
      </c>
      <c r="J9" s="10" t="str">
        <f t="shared" si="3"/>
        <v>HVO</v>
      </c>
      <c r="K9" s="1" t="b">
        <f t="shared" si="4"/>
        <v>0</v>
      </c>
    </row>
    <row r="10">
      <c r="A10" s="20" t="s">
        <v>7233</v>
      </c>
      <c r="B10" s="21">
        <v>41772.0</v>
      </c>
      <c r="C10" s="22">
        <v>55.5</v>
      </c>
      <c r="D10" s="22">
        <v>2.0</v>
      </c>
      <c r="E10" s="23">
        <v>0.0</v>
      </c>
      <c r="F10" s="22">
        <v>9.99</v>
      </c>
      <c r="G10" s="23">
        <v>0.18</v>
      </c>
      <c r="H10" s="11" t="str">
        <f t="shared" si="1"/>
        <v>Profit</v>
      </c>
      <c r="I10" s="16">
        <f t="shared" si="2"/>
        <v>55.5</v>
      </c>
      <c r="J10" s="10" t="str">
        <f t="shared" si="3"/>
        <v>LVO</v>
      </c>
      <c r="K10" s="1" t="b">
        <f t="shared" si="4"/>
        <v>0</v>
      </c>
    </row>
    <row r="11">
      <c r="A11" s="20" t="s">
        <v>7234</v>
      </c>
      <c r="B11" s="21">
        <v>41878.0</v>
      </c>
      <c r="C11" s="22">
        <v>8.56</v>
      </c>
      <c r="D11" s="22">
        <v>2.0</v>
      </c>
      <c r="E11" s="23">
        <v>0.0</v>
      </c>
      <c r="F11" s="22">
        <v>2.4824</v>
      </c>
      <c r="G11" s="23">
        <v>0.29</v>
      </c>
      <c r="H11" s="11" t="str">
        <f t="shared" si="1"/>
        <v>Profit</v>
      </c>
      <c r="I11" s="16">
        <f t="shared" si="2"/>
        <v>8.56</v>
      </c>
      <c r="J11" s="10" t="str">
        <f t="shared" si="3"/>
        <v>LVO</v>
      </c>
      <c r="K11" s="1" t="b">
        <f t="shared" si="4"/>
        <v>0</v>
      </c>
    </row>
    <row r="12">
      <c r="A12" s="20" t="s">
        <v>7235</v>
      </c>
      <c r="B12" s="21">
        <v>42713.0</v>
      </c>
      <c r="C12" s="22">
        <v>19.46</v>
      </c>
      <c r="D12" s="22">
        <v>7.0</v>
      </c>
      <c r="E12" s="23">
        <v>0.0</v>
      </c>
      <c r="F12" s="22">
        <v>5.0596</v>
      </c>
      <c r="G12" s="23">
        <v>0.26</v>
      </c>
      <c r="H12" s="11" t="str">
        <f t="shared" si="1"/>
        <v>Profit</v>
      </c>
      <c r="I12" s="16">
        <f t="shared" si="2"/>
        <v>19.46</v>
      </c>
      <c r="J12" s="10" t="str">
        <f t="shared" si="3"/>
        <v>LVO</v>
      </c>
      <c r="K12" s="1" t="b">
        <f t="shared" si="4"/>
        <v>0</v>
      </c>
    </row>
    <row r="13">
      <c r="A13" s="20" t="s">
        <v>7236</v>
      </c>
      <c r="B13" s="21">
        <v>42932.0</v>
      </c>
      <c r="C13" s="22">
        <v>71.372</v>
      </c>
      <c r="D13" s="22">
        <v>2.0</v>
      </c>
      <c r="E13" s="23">
        <v>0.3</v>
      </c>
      <c r="F13" s="22">
        <v>-1.0196</v>
      </c>
      <c r="G13" s="23">
        <v>-0.0143</v>
      </c>
      <c r="H13" s="11" t="str">
        <f t="shared" si="1"/>
        <v>Loss</v>
      </c>
      <c r="I13" s="16">
        <f t="shared" si="2"/>
        <v>71.372</v>
      </c>
      <c r="J13" s="10" t="str">
        <f t="shared" si="3"/>
        <v>LVO</v>
      </c>
      <c r="K13" s="1" t="b">
        <f t="shared" si="4"/>
        <v>0</v>
      </c>
    </row>
    <row r="14">
      <c r="A14" s="20" t="s">
        <v>7237</v>
      </c>
      <c r="B14" s="21">
        <v>42272.0</v>
      </c>
      <c r="C14" s="22">
        <v>1044.63</v>
      </c>
      <c r="D14" s="22">
        <v>3.0</v>
      </c>
      <c r="E14" s="23">
        <v>0.0</v>
      </c>
      <c r="F14" s="22">
        <v>240.2649</v>
      </c>
      <c r="G14" s="23">
        <v>0.23</v>
      </c>
      <c r="H14" s="11" t="str">
        <f t="shared" si="1"/>
        <v>Profit</v>
      </c>
      <c r="I14" s="16">
        <f t="shared" si="2"/>
        <v>940.167</v>
      </c>
      <c r="J14" s="10" t="str">
        <f t="shared" si="3"/>
        <v>HVO</v>
      </c>
      <c r="K14" s="1" t="b">
        <f t="shared" si="4"/>
        <v>0</v>
      </c>
    </row>
    <row r="15">
      <c r="A15" s="20" t="s">
        <v>7238</v>
      </c>
      <c r="B15" s="21">
        <v>42385.0</v>
      </c>
      <c r="C15" s="22">
        <v>11.648</v>
      </c>
      <c r="D15" s="22">
        <v>2.0</v>
      </c>
      <c r="E15" s="23">
        <v>0.2</v>
      </c>
      <c r="F15" s="22">
        <v>4.2224</v>
      </c>
      <c r="G15" s="23">
        <v>0.3625</v>
      </c>
      <c r="H15" s="11" t="str">
        <f t="shared" si="1"/>
        <v>Profit</v>
      </c>
      <c r="I15" s="16">
        <f t="shared" si="2"/>
        <v>11.648</v>
      </c>
      <c r="J15" s="10" t="str">
        <f t="shared" si="3"/>
        <v>LVO</v>
      </c>
      <c r="K15" s="1" t="b">
        <f t="shared" si="4"/>
        <v>0</v>
      </c>
    </row>
    <row r="16">
      <c r="A16" s="20" t="s">
        <v>7239</v>
      </c>
      <c r="B16" s="21">
        <v>42264.0</v>
      </c>
      <c r="C16" s="25">
        <v>3083.43</v>
      </c>
      <c r="D16" s="22">
        <v>7.0</v>
      </c>
      <c r="E16" s="26">
        <v>0.5</v>
      </c>
      <c r="F16" s="22">
        <v>-1665.0522</v>
      </c>
      <c r="G16" s="23">
        <v>-0.54</v>
      </c>
      <c r="H16" s="11" t="str">
        <f t="shared" si="1"/>
        <v>Loss</v>
      </c>
      <c r="I16" s="16">
        <f t="shared" si="2"/>
        <v>2775.087</v>
      </c>
      <c r="J16" s="10" t="str">
        <f t="shared" si="3"/>
        <v>HVO</v>
      </c>
      <c r="K16" s="27" t="b">
        <f t="shared" si="4"/>
        <v>1</v>
      </c>
    </row>
    <row r="17">
      <c r="C17" s="28"/>
      <c r="F17" s="29"/>
    </row>
    <row r="18">
      <c r="C18" s="30" t="s">
        <v>7240</v>
      </c>
      <c r="H18" s="31"/>
      <c r="I18" s="29"/>
    </row>
    <row r="19">
      <c r="C19" s="32">
        <f>COUNTIF(C2:C16,"&gt;50")</f>
        <v>9</v>
      </c>
      <c r="G19" s="7" t="s">
        <v>7241</v>
      </c>
      <c r="H19" s="31">
        <v>449.0</v>
      </c>
      <c r="I19" s="29"/>
      <c r="J19" s="7">
        <f>countif(J2:J16,"HVO")</f>
        <v>4</v>
      </c>
      <c r="K19" s="7" t="s">
        <v>7242</v>
      </c>
    </row>
    <row r="20">
      <c r="F20" s="7" t="s">
        <v>7242</v>
      </c>
      <c r="G20" s="7" t="s">
        <v>7243</v>
      </c>
      <c r="J20" s="1">
        <f>COUNTIF(J2:J16,"LVO")</f>
        <v>11</v>
      </c>
      <c r="K20" s="7" t="s">
        <v>7244</v>
      </c>
    </row>
    <row r="21">
      <c r="F21" s="7" t="s">
        <v>7245</v>
      </c>
      <c r="G21" s="7" t="s">
        <v>7244</v>
      </c>
    </row>
    <row r="22">
      <c r="I22" s="7" t="s">
        <v>7246</v>
      </c>
    </row>
    <row r="24">
      <c r="H24" s="7" t="s">
        <v>7242</v>
      </c>
    </row>
    <row r="25">
      <c r="I25" s="7" t="s">
        <v>7247</v>
      </c>
    </row>
    <row r="26">
      <c r="I26" s="7" t="s">
        <v>7248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2021-04-23T07:40:13Z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2025-04-18T16:13:11Z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cec6adb7-34a0-4f0f-80ef-bdf474a44c88</vt:lpwstr>
  </property>
  <property fmtid="{D5CDD505-2E9C-101B-9397-08002B2CF9AE}" pid="8" name="MSIP_Label_defa4170-0d19-0005-0004-bc88714345d2_ActionId">
    <vt:lpwstr>64d0bcc8-0801-42c1-8782-025c6e227c5c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50, 3, 0, 1</vt:lpwstr>
  </property>
</Properties>
</file>